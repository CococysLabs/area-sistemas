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  <sheet state="visible" name="S15" sheetId="17" r:id="rId20"/>
    <sheet state="hidden" name="Videos de Ayuda" sheetId="18" r:id="rId21"/>
  </sheets>
  <definedNames/>
  <calcPr/>
  <extLst>
    <ext uri="GoogleSheetsCustomDataVersion2">
      <go:sheetsCustomData xmlns:go="http://customooxmlschemas.google.com/" r:id="rId22" roundtripDataChecksum="alm1QdlUXFpGBRfDSzrr5xW6zPCNbW2rpE2IKwg/Ix4="/>
    </ext>
  </extLst>
</workbook>
</file>

<file path=xl/sharedStrings.xml><?xml version="1.0" encoding="utf-8"?>
<sst xmlns="http://schemas.openxmlformats.org/spreadsheetml/2006/main" count="744" uniqueCount="183">
  <si>
    <t>Numero</t>
  </si>
  <si>
    <t>Nombre de la Meta</t>
  </si>
  <si>
    <t>Descripcion de la Meta</t>
  </si>
  <si>
    <t>Comprender los fundamentos de la economía y su terminología</t>
  </si>
  <si>
    <t>Familiarizarse con las definiciones, principios básicos y divisiones de la economía. Entender los postulados económicos y cómo estos guían la toma de decisiones.</t>
  </si>
  <si>
    <t>Aplicar conceptos microeconómicos en el análisis de mercado</t>
  </si>
  <si>
    <t>Estudiar la demanda y la oferta, los factores que influyen en sus curvas y el concepto de elasticidad. Explicar cómo se determina el equilibrio de mercado y cómo se ajusta ante cambios en la oferta o la demanda.</t>
  </si>
  <si>
    <t>Identificar las estructuras de mercado y su impacto en la economía</t>
  </si>
  <si>
    <t>Identificar y caracterizar las distintas estructuras de mercado. Analizar cómo las diferentes estructuras afectan los precios, la producción, la eficiencia y el bienestar económico.</t>
  </si>
  <si>
    <t>Comprender la Teoría Keynesiana</t>
  </si>
  <si>
    <t>Profundizar en los conceptos fundamentales de la teoría keynesiana, incluyendo el papel de la demanda agregada y la intervención del gobierno en la economía.</t>
  </si>
  <si>
    <t>Analizar el Producto Interno Bruto</t>
  </si>
  <si>
    <t>Estudiar los diferentes métodos de cálculo del PIB y sus componentes para comprender cómo se refleja la actividad económica de un país.</t>
  </si>
  <si>
    <t>Evaluar la Inflación y su Impacto Económico</t>
  </si>
  <si>
    <t xml:space="preserve">Investigar las causas y efectos de la inflación en la economía, así como los diferentes tipos de inflación. </t>
  </si>
  <si>
    <t>Identificar Fases de los Ciclos Económicos</t>
  </si>
  <si>
    <t>Utilizar indicadores económicos para predecir ciclos futuros y comprender cómo las políticas económicas pueden mitigar sus efectos negativos en la población.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</si>
  <si>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</si>
  <si>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</si>
  <si>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</si>
  <si>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</si>
  <si>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</si>
  <si>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</si>
  <si>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</si>
  <si>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Fundamentos y definiciones generales de la Economía</t>
  </si>
  <si>
    <t>Definiciones generales de economía</t>
  </si>
  <si>
    <t>Concepto de Economía</t>
  </si>
  <si>
    <t>Primer examen corto</t>
  </si>
  <si>
    <t>Economía positiva vs economía normativa</t>
  </si>
  <si>
    <t>Divisiones de la economía: microeconomía y macroeconomía</t>
  </si>
  <si>
    <t>Historia y evolución del pensamiento económico</t>
  </si>
  <si>
    <t>Relación de la economía con otras disciplinas</t>
  </si>
  <si>
    <t>Escasez y la necesidad de elección</t>
  </si>
  <si>
    <t>Importancia de la economía en la vida diaria y en la toma de decisiones</t>
  </si>
  <si>
    <t>Primer examen parcial</t>
  </si>
  <si>
    <t>Postulados económicos</t>
  </si>
  <si>
    <t>Principio de racionalidad de las decisiones económicas</t>
  </si>
  <si>
    <t>La ley de la oferta y la demanda</t>
  </si>
  <si>
    <t>El principio del costo de oportunidad</t>
  </si>
  <si>
    <t>La importancia de los incentivos en la toma de decisiones</t>
  </si>
  <si>
    <t>La maximización de la utilidad y el comportamiento del consumidor</t>
  </si>
  <si>
    <t>El principio de la ventaja comparativa</t>
  </si>
  <si>
    <t>La eficiencia en la asignación de recursos</t>
  </si>
  <si>
    <t>Ciclo de flujo de bienes, servicios y capital</t>
  </si>
  <si>
    <t>Flujo circular de la economía: agentes económicos</t>
  </si>
  <si>
    <t>Corriente real</t>
  </si>
  <si>
    <t>Corriente nominal</t>
  </si>
  <si>
    <t>Interacción entre los mercados de bienes, servicios y factores de producción</t>
  </si>
  <si>
    <t>El papel de los intermediarios financieros en el flujo de capital</t>
  </si>
  <si>
    <t>Relación entre el consumo, la inversión y el ahorro</t>
  </si>
  <si>
    <t>Cómo afectan las políticas monetarias y fiscales al flujo económico</t>
  </si>
  <si>
    <t>Teoría de valor subjetivo</t>
  </si>
  <si>
    <t>Origen y desarrollo histórico de la teoría del valor subjetivo</t>
  </si>
  <si>
    <t>Diferencia entre valor objetivo y valor subjetivo</t>
  </si>
  <si>
    <t>La utilidad marginal y su papel en la valoración de los bienes</t>
  </si>
  <si>
    <t>Teoría del valor trabajo vs teoría del valor subjetivo</t>
  </si>
  <si>
    <t>Críticas y limitaciones de la teoría del valor subjetivo</t>
  </si>
  <si>
    <t>Aplicaciones de la teoría del valor subjetivo en la fijación de precios</t>
  </si>
  <si>
    <t>Relación entre la teoría del valor subjetivo y el comportamiento del consumidor</t>
  </si>
  <si>
    <t>Microeconomía: Demanda y oferta</t>
  </si>
  <si>
    <t>Demanda</t>
  </si>
  <si>
    <t>Demanda individual</t>
  </si>
  <si>
    <t>Segundo examen parcial</t>
  </si>
  <si>
    <t>Demanda de mercado</t>
  </si>
  <si>
    <t>La ley de la demanda y su relación con los precios</t>
  </si>
  <si>
    <t>Función y forma de la curva de demanda</t>
  </si>
  <si>
    <t>Factores que desplazan la curva de demanda</t>
  </si>
  <si>
    <t>Elasticidad precio de la demanda: definición, cálculo e interpretación</t>
  </si>
  <si>
    <t>Inelasticidad precio demanda</t>
  </si>
  <si>
    <t>Oferta</t>
  </si>
  <si>
    <t>Oferta individual</t>
  </si>
  <si>
    <t>Oferta de mercado</t>
  </si>
  <si>
    <t>La ley de la oferta y su relación con los precios</t>
  </si>
  <si>
    <t>Función y forma de la curva de oferta</t>
  </si>
  <si>
    <t>Factores que desplazan la curva de oferta</t>
  </si>
  <si>
    <t>Elasticidad precio de la oferta: definición, cálculo e interpretación</t>
  </si>
  <si>
    <t>Inelasticidad precio de la demanda</t>
  </si>
  <si>
    <t>Equilibrio de mercado</t>
  </si>
  <si>
    <t>Concepto de equilibrio de mercado</t>
  </si>
  <si>
    <t>Determinación del precio y cantidad de equilibrio</t>
  </si>
  <si>
    <t>Cambios en el equilibrio de mercado debido a variaciones en la oferta y la demanda</t>
  </si>
  <si>
    <t>Excedente del consumidor y excedente del productor</t>
  </si>
  <si>
    <t>Efectos de los precios máximos y mínimos</t>
  </si>
  <si>
    <t>Equilibrio de la empresa en mercados competitivos</t>
  </si>
  <si>
    <t>Ajuste del mercado ante desequilibrios</t>
  </si>
  <si>
    <t>Estructuras de mercado</t>
  </si>
  <si>
    <t>Clasificación de las estructuras de mercado</t>
  </si>
  <si>
    <t>Características de la competencia perfecta</t>
  </si>
  <si>
    <t>Monopolio</t>
  </si>
  <si>
    <t>Oligopolio</t>
  </si>
  <si>
    <t>Competencia monopolista</t>
  </si>
  <si>
    <t>Comparación entre las distintas estructuras de mercado</t>
  </si>
  <si>
    <t>Intervención del gobierno en los diferentes mercados y regulación antimonopolio</t>
  </si>
  <si>
    <t>Macroeconomía: Teoría y aplicaciones</t>
  </si>
  <si>
    <t>Teoría Keynesiana y la Demanda Agregada</t>
  </si>
  <si>
    <t>Fundamentos de la teoría keynesiana</t>
  </si>
  <si>
    <t>Tercer examen parcial</t>
  </si>
  <si>
    <t>Papel del consumo en la demanda agregada</t>
  </si>
  <si>
    <t>Inversión y su impacto en la demanda agregada</t>
  </si>
  <si>
    <t>Gasto público como herramienta de política fiscal</t>
  </si>
  <si>
    <t>Efecto del tipo de interés en la demanda agregada</t>
  </si>
  <si>
    <t>La relación entre la inflación y la demanda agregada</t>
  </si>
  <si>
    <t>Críticas a la teoría keynesiana</t>
  </si>
  <si>
    <t>Producto Interno Bruto (PIB)</t>
  </si>
  <si>
    <t>Definición y componentes del PIB</t>
  </si>
  <si>
    <t>Métodos de cálculo del PIB: método de producción, ingreso y gasto</t>
  </si>
  <si>
    <t>PIB nominal vs. PIB real</t>
  </si>
  <si>
    <t>Limitaciones del PIB como indicador económico</t>
  </si>
  <si>
    <t>PIB per cápita y su relevancia</t>
  </si>
  <si>
    <t>Comparación del PIB entre países</t>
  </si>
  <si>
    <t>El impacto del PIB en la política económica</t>
  </si>
  <si>
    <t>Inflación y Tipo de Cambio</t>
  </si>
  <si>
    <t>Tipos de inflación: moderada, galopante y hiperinflación</t>
  </si>
  <si>
    <t>Causas de la inflación: demanda y costos</t>
  </si>
  <si>
    <t>Medición de la inflación: índice de precios al consumidor (IPC)</t>
  </si>
  <si>
    <t>Relación entre inflación y tipo de cambio</t>
  </si>
  <si>
    <t>Efectos de la inflación en la economía</t>
  </si>
  <si>
    <t>Estrategias de control de la inflación</t>
  </si>
  <si>
    <t>Impacto del tipo de cambio en el comercio exterior</t>
  </si>
  <si>
    <t>Ciclos Económicos</t>
  </si>
  <si>
    <t>Fases del ciclo económico: expansión, pico, contracción y recesión</t>
  </si>
  <si>
    <t>Segundo examen corto</t>
  </si>
  <si>
    <t>Indicadores adelantados y rezagados</t>
  </si>
  <si>
    <t>Causas de los ciclos económicos</t>
  </si>
  <si>
    <t>Teorías sobre ciclos económicos: clásicos vs. keynesianos</t>
  </si>
  <si>
    <t>Impacto de los ciclos económicos en el empleo</t>
  </si>
  <si>
    <t>Efectos de los ciclos económicos en la inversión</t>
  </si>
  <si>
    <t>Políticas para mitigar los efectos de los ciclos económicos</t>
  </si>
  <si>
    <t>Política económica</t>
  </si>
  <si>
    <t>Impuestos Directos e Indirectos</t>
  </si>
  <si>
    <t>Definición y tipos de impuestos directos</t>
  </si>
  <si>
    <t>Ensayo</t>
  </si>
  <si>
    <t>Definición y tipos de impuestos indirectos</t>
  </si>
  <si>
    <t>Efectos de los impuestos en la economía</t>
  </si>
  <si>
    <t>Progresividad y regresividad de los impuestos</t>
  </si>
  <si>
    <t>Evasión fiscal y elusión fiscal</t>
  </si>
  <si>
    <t>Relación entre impuestos y gasto público</t>
  </si>
  <si>
    <t>Reformas fiscales y su impacto en la economía</t>
  </si>
  <si>
    <t>Indicadores Económicos</t>
  </si>
  <si>
    <t>Tipos de indicadores económicos: adelantados, coincidentes y rezagados</t>
  </si>
  <si>
    <t>Indicadores de crecimiento: PIB, tasa de empleo</t>
  </si>
  <si>
    <t>Indicadores de inflación: IPC, deflactor del PIB</t>
  </si>
  <si>
    <t>Indicadores de mercado: tasas de interés, índices bursátiles</t>
  </si>
  <si>
    <t>Indicadores de comercio exterior: balanza comercial, exportaciones e importaciones</t>
  </si>
  <si>
    <t>Indicadores de bienestar: índice de desarrollo humano (IDH)</t>
  </si>
  <si>
    <t>Importancia de los indicadores en la formulación de políticas económicas</t>
  </si>
  <si>
    <t>Políticas Monetarias</t>
  </si>
  <si>
    <t>Definición y Objetivos de la Política Monetaria</t>
  </si>
  <si>
    <t>Investigacion 2</t>
  </si>
  <si>
    <t>Instrumentos de la Política Monetaria</t>
  </si>
  <si>
    <t>Tipos de Políticas Monetarias</t>
  </si>
  <si>
    <t>Efectos de la Política Monetaria en la Economía</t>
  </si>
  <si>
    <t>La Independencia del Banco Central</t>
  </si>
  <si>
    <t>Crisis Monetarias y Respuestas de Política Monetaria</t>
  </si>
  <si>
    <t>Política Monetaria en Economías Emergentes</t>
  </si>
  <si>
    <t>Mes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</si>
  <si>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</si>
  <si>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</si>
  <si>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</si>
  <si>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</si>
  <si>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</si>
  <si>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</si>
  <si>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</si>
  <si>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</si>
  <si>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</si>
  <si>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</si>
  <si>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</si>
  <si>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Concepto de economía</t>
  </si>
  <si>
    <t>X</t>
  </si>
  <si>
    <t>Tiempo Total en minutos</t>
  </si>
  <si>
    <t>Total Ponderacion</t>
  </si>
  <si>
    <t>x</t>
  </si>
  <si>
    <t>Marzo</t>
  </si>
  <si>
    <t>Abril</t>
  </si>
  <si>
    <t>Hola</t>
  </si>
  <si>
    <t>Estos videos pueden ayudarte en esta fase.  No son los unicos pero te pueden orientar.</t>
  </si>
  <si>
    <t>https://www.youtube.com/watch?v=ScUjxQKew8w&amp;list=PL0hSg7EfpImPPBvCDcdKdWv8ghCTadoyi&amp;index=6</t>
  </si>
  <si>
    <t>https://www.youtube.com/watch?v=ZbqzVbZec34&amp;list=PL0hSg7EfpImPPBvCDcdKdWv8ghCTadoyi&amp;index=1</t>
  </si>
  <si>
    <t>Preguntale a chatgpt</t>
  </si>
  <si>
    <t>pasos para realizar una analisis de contexto para poder diseñar un curso de ..... en la carrera de ingenieria en ciencias y sistemas</t>
  </si>
  <si>
    <t>Que dudas tiene un estudiantes que desea aprender ....</t>
  </si>
  <si>
    <t>En el rol de catedratico universitario que imparte el curso de .....   realizar el diseño curricular</t>
  </si>
  <si>
    <t xml:space="preserve">Recuerda que la IA es una herramienta  y  tu eres el Ingeniero que crea IA's.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</si>
</sst>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>
      <sz val="14.0"/>
      <color theme="1"/>
      <name val="Arial"/>
    </font>
    <font/>
    <font>
      <color theme="1"/>
      <name val="Arial"/>
      <scheme val="minor"/>
    </font>
    <font>
      <sz val="16.0"/>
      <color theme="1"/>
      <name val="Arial"/>
    </font>
    <font>
      <sz val="14.0"/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color rgb="FF000000"/>
      <name val="Arial"/>
    </font>
    <font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sz val="10.0"/>
      <color theme="1"/>
      <name val="Arial Rounded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 shrinkToFit="0" vertical="center" wrapText="1"/>
    </xf>
    <xf borderId="5" fillId="3" fontId="9" numFmtId="0" xfId="0" applyBorder="1" applyFill="1" applyFont="1"/>
    <xf borderId="1" fillId="0" fontId="10" numFmtId="0" xfId="0" applyAlignment="1" applyBorder="1" applyFont="1">
      <alignment readingOrder="0" shrinkToFit="0" wrapText="1"/>
    </xf>
    <xf borderId="0" fillId="0" fontId="10" numFmtId="0" xfId="0" applyFont="1"/>
    <xf borderId="1" fillId="2" fontId="11" numFmtId="0" xfId="0" applyAlignment="1" applyBorder="1" applyFont="1">
      <alignment horizontal="left" readingOrder="0" shrinkToFit="0" wrapText="1"/>
    </xf>
    <xf borderId="1" fillId="2" fontId="11" numFmtId="0" xfId="0" applyAlignment="1" applyBorder="1" applyFont="1">
      <alignment readingOrder="0" shrinkToFit="0" wrapText="1"/>
    </xf>
    <xf borderId="6" fillId="4" fontId="9" numFmtId="0" xfId="0" applyBorder="1" applyFill="1" applyFont="1"/>
    <xf borderId="7" fillId="4" fontId="9" numFmtId="0" xfId="0" applyBorder="1" applyFont="1"/>
    <xf borderId="7" fillId="4" fontId="9" numFmtId="0" xfId="0" applyAlignment="1" applyBorder="1" applyFont="1">
      <alignment horizontal="center"/>
    </xf>
    <xf borderId="5" fillId="4" fontId="9" numFmtId="0" xfId="0" applyAlignment="1" applyBorder="1" applyFont="1">
      <alignment horizontal="center"/>
    </xf>
    <xf borderId="8" fillId="0" fontId="5" numFmtId="0" xfId="0" applyBorder="1" applyFont="1"/>
    <xf borderId="6" fillId="4" fontId="9" numFmtId="0" xfId="0" applyAlignment="1" applyBorder="1" applyFont="1">
      <alignment horizontal="center" shrinkToFit="0" wrapText="1"/>
    </xf>
    <xf borderId="1" fillId="5" fontId="12" numFmtId="0" xfId="0" applyBorder="1" applyFill="1" applyFont="1"/>
    <xf borderId="1" fillId="5" fontId="13" numFmtId="0" xfId="0" applyBorder="1" applyFont="1"/>
    <xf borderId="2" fillId="5" fontId="13" numFmtId="0" xfId="0" applyBorder="1" applyFont="1"/>
    <xf borderId="9" fillId="0" fontId="5" numFmtId="0" xfId="0" applyBorder="1" applyFont="1"/>
    <xf borderId="6" fillId="4" fontId="9" numFmtId="0" xfId="0" applyAlignment="1" applyBorder="1" applyFont="1">
      <alignment horizontal="center"/>
    </xf>
    <xf borderId="6" fillId="4" fontId="14" numFmtId="0" xfId="0" applyAlignment="1" applyBorder="1" applyFont="1">
      <alignment horizontal="center"/>
    </xf>
    <xf borderId="2" fillId="5" fontId="12" numFmtId="0" xfId="0" applyBorder="1" applyFont="1"/>
    <xf borderId="10" fillId="0" fontId="5" numFmtId="0" xfId="0" applyBorder="1" applyFont="1"/>
    <xf borderId="4" fillId="0" fontId="13" numFmtId="0" xfId="0" applyAlignment="1" applyBorder="1" applyFont="1">
      <alignment horizontal="right" readingOrder="0" shrinkToFit="0" wrapText="1"/>
    </xf>
    <xf borderId="4" fillId="0" fontId="12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horizontal="left" shrinkToFit="0" vertical="bottom" wrapText="1"/>
    </xf>
    <xf borderId="4" fillId="0" fontId="12" numFmtId="0" xfId="0" applyAlignment="1" applyBorder="1" applyFont="1">
      <alignment horizontal="right" readingOrder="0" shrinkToFit="0" wrapText="1"/>
    </xf>
    <xf borderId="1" fillId="0" fontId="10" numFmtId="0" xfId="0" applyBorder="1" applyFont="1"/>
    <xf borderId="1" fillId="0" fontId="13" numFmtId="0" xfId="0" applyAlignment="1" applyBorder="1" applyFont="1">
      <alignment horizontal="right" readingOrder="0" shrinkToFit="0" wrapText="1"/>
    </xf>
    <xf borderId="1" fillId="0" fontId="12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shrinkToFit="0" vertical="bottom" wrapText="1"/>
    </xf>
    <xf borderId="1" fillId="0" fontId="12" numFmtId="0" xfId="0" applyAlignment="1" applyBorder="1" applyFont="1">
      <alignment horizontal="right" readingOrder="0" shrinkToFit="0" wrapText="1"/>
    </xf>
    <xf borderId="1" fillId="0" fontId="10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0" fillId="0" fontId="15" numFmtId="0" xfId="0" applyFont="1"/>
    <xf borderId="0" fillId="0" fontId="10" numFmtId="0" xfId="0" applyAlignment="1" applyFont="1">
      <alignment shrinkToFit="0" wrapText="1"/>
    </xf>
    <xf borderId="0" fillId="0" fontId="16" numFmtId="0" xfId="0" applyFont="1"/>
    <xf borderId="4" fillId="0" fontId="10" numFmtId="0" xfId="0" applyBorder="1" applyFont="1"/>
    <xf borderId="1" fillId="0" fontId="13" numFmtId="0" xfId="0" applyAlignment="1" applyBorder="1" applyFont="1">
      <alignment horizontal="left" readingOrder="0" shrinkToFit="0" wrapText="1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1" fillId="0" fontId="6" numFmtId="10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ScUjxQKew8w&amp;list=PL0hSg7EfpImPPBvCDcdKdWv8ghCTadoyi&amp;index=6" TargetMode="External"/><Relationship Id="rId2" Type="http://schemas.openxmlformats.org/officeDocument/2006/relationships/hyperlink" Target="https://www.youtube.com/watch?v=ZbqzVbZec34&amp;list=PL0hSg7EfpImPPBvCDcdKdWv8ghCTadoyi&amp;index=1" TargetMode="External"/><Relationship Id="rId3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8.5"/>
    <col customWidth="1" min="3" max="3" width="33.38"/>
  </cols>
  <sheetData>
    <row r="1" ht="30.0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2" t="s">
        <v>4</v>
      </c>
    </row>
    <row r="3" ht="77.25" customHeight="1">
      <c r="A3" s="2">
        <v>2.0</v>
      </c>
      <c r="B3" s="3" t="s">
        <v>5</v>
      </c>
      <c r="C3" s="2" t="s">
        <v>6</v>
      </c>
    </row>
    <row r="4" ht="63.0" customHeight="1">
      <c r="A4" s="2">
        <v>3.0</v>
      </c>
      <c r="B4" s="4" t="s">
        <v>7</v>
      </c>
      <c r="C4" s="5" t="s">
        <v>8</v>
      </c>
    </row>
    <row r="5" ht="70.5" customHeight="1">
      <c r="A5" s="2">
        <v>4.0</v>
      </c>
      <c r="B5" s="4" t="s">
        <v>9</v>
      </c>
      <c r="C5" s="5" t="s">
        <v>10</v>
      </c>
    </row>
    <row r="6" ht="53.25" customHeight="1">
      <c r="A6" s="2">
        <v>5.0</v>
      </c>
      <c r="B6" s="4" t="s">
        <v>11</v>
      </c>
      <c r="C6" s="5" t="s">
        <v>12</v>
      </c>
    </row>
    <row r="7" ht="47.25" customHeight="1">
      <c r="A7" s="2">
        <v>6.0</v>
      </c>
      <c r="B7" s="4" t="s">
        <v>13</v>
      </c>
      <c r="C7" s="5" t="s">
        <v>14</v>
      </c>
    </row>
    <row r="8" ht="56.25" customHeight="1">
      <c r="A8" s="2">
        <v>7.0</v>
      </c>
      <c r="B8" s="4" t="s">
        <v>15</v>
      </c>
      <c r="C8" s="5" t="s">
        <v>16</v>
      </c>
    </row>
    <row r="9" ht="39.0" customHeight="1">
      <c r="A9" s="2">
        <v>8.0</v>
      </c>
      <c r="B9" s="4"/>
      <c r="C9" s="2"/>
    </row>
    <row r="10" ht="32.25" customHeight="1">
      <c r="A10" s="2">
        <v>9.0</v>
      </c>
      <c r="B10" s="4"/>
      <c r="C10" s="2"/>
    </row>
    <row r="11" ht="15.75" customHeight="1">
      <c r="A11" s="6"/>
      <c r="B11" s="6"/>
      <c r="C11" s="6"/>
    </row>
    <row r="12" ht="15.75" customHeight="1">
      <c r="A12" s="6"/>
      <c r="B12" s="6"/>
      <c r="C12" s="6"/>
    </row>
    <row r="13" ht="15.75" customHeight="1">
      <c r="A13" s="6"/>
      <c r="B13" s="6"/>
      <c r="C13" s="6"/>
    </row>
    <row r="14" ht="15.75" customHeight="1">
      <c r="A14" s="6"/>
      <c r="B14" s="6"/>
      <c r="C14" s="6"/>
    </row>
    <row r="15" ht="15.75" customHeight="1">
      <c r="A15" s="6"/>
      <c r="B15" s="6"/>
      <c r="C15" s="6"/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6" max="6" width="63.38"/>
    <col customWidth="1" min="7" max="7" width="44.25"/>
  </cols>
  <sheetData>
    <row r="1" ht="15.75" customHeight="1">
      <c r="A1" s="7" t="s">
        <v>17</v>
      </c>
      <c r="B1" s="2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</row>
    <row r="2" ht="15.75" customHeight="1">
      <c r="A2" s="8">
        <v>1.0</v>
      </c>
      <c r="B2" s="9" t="s">
        <v>24</v>
      </c>
      <c r="C2" s="8">
        <v>1.0</v>
      </c>
      <c r="D2" s="10" t="s">
        <v>25</v>
      </c>
      <c r="E2" s="7">
        <v>1.0</v>
      </c>
      <c r="F2" s="7" t="s">
        <v>26</v>
      </c>
      <c r="G2" s="11" t="s">
        <v>27</v>
      </c>
    </row>
    <row r="3" ht="15.75" customHeight="1">
      <c r="A3" s="12"/>
      <c r="B3" s="12"/>
      <c r="C3" s="12"/>
      <c r="D3" s="12"/>
      <c r="E3" s="7">
        <v>2.0</v>
      </c>
      <c r="F3" s="7" t="s">
        <v>28</v>
      </c>
      <c r="G3" s="12"/>
    </row>
    <row r="4" ht="15.75" customHeight="1">
      <c r="A4" s="12"/>
      <c r="B4" s="12"/>
      <c r="C4" s="12"/>
      <c r="D4" s="12"/>
      <c r="E4" s="7">
        <v>3.0</v>
      </c>
      <c r="F4" s="7" t="s">
        <v>29</v>
      </c>
      <c r="G4" s="12"/>
    </row>
    <row r="5" ht="15.75" customHeight="1">
      <c r="A5" s="12"/>
      <c r="B5" s="12"/>
      <c r="C5" s="12"/>
      <c r="D5" s="12"/>
      <c r="E5" s="7">
        <v>4.0</v>
      </c>
      <c r="F5" s="7" t="s">
        <v>30</v>
      </c>
      <c r="G5" s="12"/>
    </row>
    <row r="6" ht="15.75" customHeight="1">
      <c r="A6" s="12"/>
      <c r="B6" s="12"/>
      <c r="C6" s="12"/>
      <c r="D6" s="12"/>
      <c r="E6" s="7">
        <v>5.0</v>
      </c>
      <c r="F6" s="7" t="s">
        <v>31</v>
      </c>
      <c r="G6" s="12"/>
    </row>
    <row r="7" ht="15.75" customHeight="1">
      <c r="A7" s="12"/>
      <c r="B7" s="12"/>
      <c r="C7" s="12"/>
      <c r="D7" s="12"/>
      <c r="E7" s="7">
        <v>6.0</v>
      </c>
      <c r="F7" s="7" t="s">
        <v>32</v>
      </c>
      <c r="G7" s="13"/>
    </row>
    <row r="8" ht="15.75" customHeight="1">
      <c r="A8" s="12"/>
      <c r="B8" s="12"/>
      <c r="C8" s="13"/>
      <c r="D8" s="13"/>
      <c r="E8" s="7">
        <v>7.0</v>
      </c>
      <c r="F8" s="7" t="s">
        <v>33</v>
      </c>
      <c r="G8" s="11" t="s">
        <v>34</v>
      </c>
    </row>
    <row r="9" ht="15.75" customHeight="1">
      <c r="A9" s="12"/>
      <c r="B9" s="12"/>
      <c r="C9" s="8">
        <v>2.0</v>
      </c>
      <c r="D9" s="10" t="s">
        <v>35</v>
      </c>
      <c r="E9" s="7">
        <v>1.0</v>
      </c>
      <c r="F9" s="7" t="s">
        <v>36</v>
      </c>
      <c r="G9" s="12"/>
    </row>
    <row r="10" ht="15.75" customHeight="1">
      <c r="A10" s="12"/>
      <c r="B10" s="12"/>
      <c r="C10" s="12"/>
      <c r="D10" s="12"/>
      <c r="E10" s="7">
        <v>2.0</v>
      </c>
      <c r="F10" s="7" t="s">
        <v>37</v>
      </c>
      <c r="G10" s="12"/>
    </row>
    <row r="11" ht="15.75" customHeight="1">
      <c r="A11" s="12"/>
      <c r="B11" s="12"/>
      <c r="C11" s="12"/>
      <c r="D11" s="12"/>
      <c r="E11" s="7">
        <v>3.0</v>
      </c>
      <c r="F11" s="7" t="s">
        <v>38</v>
      </c>
      <c r="G11" s="12"/>
    </row>
    <row r="12" ht="15.75" customHeight="1">
      <c r="A12" s="12"/>
      <c r="B12" s="12"/>
      <c r="C12" s="12"/>
      <c r="D12" s="12"/>
      <c r="E12" s="7">
        <v>4.0</v>
      </c>
      <c r="F12" s="7" t="s">
        <v>39</v>
      </c>
      <c r="G12" s="12"/>
    </row>
    <row r="13" ht="15.75" customHeight="1">
      <c r="A13" s="12"/>
      <c r="B13" s="12"/>
      <c r="C13" s="12"/>
      <c r="D13" s="12"/>
      <c r="E13" s="7">
        <v>5.0</v>
      </c>
      <c r="F13" s="7" t="s">
        <v>40</v>
      </c>
      <c r="G13" s="12"/>
    </row>
    <row r="14" ht="15.75" customHeight="1">
      <c r="A14" s="12"/>
      <c r="B14" s="12"/>
      <c r="C14" s="12"/>
      <c r="D14" s="12"/>
      <c r="E14" s="7">
        <v>6.0</v>
      </c>
      <c r="F14" s="7" t="s">
        <v>41</v>
      </c>
      <c r="G14" s="12"/>
    </row>
    <row r="15" ht="15.75" customHeight="1">
      <c r="A15" s="12"/>
      <c r="B15" s="12"/>
      <c r="C15" s="13"/>
      <c r="D15" s="13"/>
      <c r="E15" s="7">
        <v>7.0</v>
      </c>
      <c r="F15" s="7" t="s">
        <v>42</v>
      </c>
      <c r="G15" s="12"/>
    </row>
    <row r="16" ht="15.75" customHeight="1">
      <c r="A16" s="12"/>
      <c r="B16" s="12"/>
      <c r="C16" s="8">
        <v>3.0</v>
      </c>
      <c r="D16" s="10" t="s">
        <v>43</v>
      </c>
      <c r="E16" s="7">
        <v>1.0</v>
      </c>
      <c r="F16" s="7" t="s">
        <v>44</v>
      </c>
      <c r="G16" s="12"/>
    </row>
    <row r="17" ht="15.75" customHeight="1">
      <c r="A17" s="12"/>
      <c r="B17" s="12"/>
      <c r="C17" s="12"/>
      <c r="D17" s="12"/>
      <c r="E17" s="7">
        <v>2.0</v>
      </c>
      <c r="F17" s="14" t="s">
        <v>45</v>
      </c>
      <c r="G17" s="12"/>
    </row>
    <row r="18" ht="15.75" customHeight="1">
      <c r="A18" s="12"/>
      <c r="B18" s="12"/>
      <c r="C18" s="12"/>
      <c r="D18" s="12"/>
      <c r="E18" s="7">
        <v>3.0</v>
      </c>
      <c r="F18" s="15" t="s">
        <v>46</v>
      </c>
      <c r="G18" s="12"/>
    </row>
    <row r="19" ht="15.75" customHeight="1">
      <c r="A19" s="12"/>
      <c r="B19" s="12"/>
      <c r="C19" s="12"/>
      <c r="D19" s="12"/>
      <c r="E19" s="7">
        <v>4.0</v>
      </c>
      <c r="F19" s="7" t="s">
        <v>47</v>
      </c>
      <c r="G19" s="12"/>
    </row>
    <row r="20" ht="15.75" customHeight="1">
      <c r="A20" s="12"/>
      <c r="B20" s="12"/>
      <c r="C20" s="12"/>
      <c r="D20" s="12"/>
      <c r="E20" s="7">
        <v>5.0</v>
      </c>
      <c r="F20" s="7" t="s">
        <v>48</v>
      </c>
      <c r="G20" s="12"/>
    </row>
    <row r="21" ht="15.75" customHeight="1">
      <c r="A21" s="12"/>
      <c r="B21" s="12"/>
      <c r="C21" s="12"/>
      <c r="D21" s="12"/>
      <c r="E21" s="7">
        <v>6.0</v>
      </c>
      <c r="F21" s="7" t="s">
        <v>49</v>
      </c>
      <c r="G21" s="12"/>
    </row>
    <row r="22" ht="15.75" customHeight="1">
      <c r="A22" s="12"/>
      <c r="B22" s="12"/>
      <c r="C22" s="13"/>
      <c r="D22" s="13"/>
      <c r="E22" s="7">
        <v>7.0</v>
      </c>
      <c r="F22" s="7" t="s">
        <v>50</v>
      </c>
      <c r="G22" s="12"/>
    </row>
    <row r="23" ht="15.75" customHeight="1">
      <c r="A23" s="12"/>
      <c r="B23" s="12"/>
      <c r="C23" s="8">
        <v>4.0</v>
      </c>
      <c r="D23" s="10" t="s">
        <v>51</v>
      </c>
      <c r="E23" s="7">
        <v>1.0</v>
      </c>
      <c r="F23" s="7" t="s">
        <v>52</v>
      </c>
      <c r="G23" s="12"/>
    </row>
    <row r="24" ht="15.75" customHeight="1">
      <c r="A24" s="12"/>
      <c r="B24" s="12"/>
      <c r="C24" s="12"/>
      <c r="D24" s="12"/>
      <c r="E24" s="7">
        <v>2.0</v>
      </c>
      <c r="F24" s="7" t="s">
        <v>53</v>
      </c>
      <c r="G24" s="12"/>
    </row>
    <row r="25" ht="15.75" customHeight="1">
      <c r="A25" s="12"/>
      <c r="B25" s="12"/>
      <c r="C25" s="12"/>
      <c r="D25" s="12"/>
      <c r="E25" s="7">
        <v>3.0</v>
      </c>
      <c r="F25" s="7" t="s">
        <v>54</v>
      </c>
      <c r="G25" s="12"/>
    </row>
    <row r="26" ht="15.75" customHeight="1">
      <c r="A26" s="12"/>
      <c r="B26" s="12"/>
      <c r="C26" s="12"/>
      <c r="D26" s="12"/>
      <c r="E26" s="7">
        <v>4.0</v>
      </c>
      <c r="F26" s="7" t="s">
        <v>55</v>
      </c>
      <c r="G26" s="12"/>
    </row>
    <row r="27" ht="15.75" customHeight="1">
      <c r="A27" s="12"/>
      <c r="B27" s="12"/>
      <c r="C27" s="12"/>
      <c r="D27" s="12"/>
      <c r="E27" s="7">
        <v>5.0</v>
      </c>
      <c r="F27" s="7" t="s">
        <v>56</v>
      </c>
      <c r="G27" s="12"/>
    </row>
    <row r="28" ht="15.75" customHeight="1">
      <c r="A28" s="12"/>
      <c r="B28" s="12"/>
      <c r="C28" s="12"/>
      <c r="D28" s="12"/>
      <c r="E28" s="7">
        <v>6.0</v>
      </c>
      <c r="F28" s="7" t="s">
        <v>57</v>
      </c>
      <c r="G28" s="12"/>
    </row>
    <row r="29" ht="15.75" customHeight="1">
      <c r="A29" s="13"/>
      <c r="B29" s="13"/>
      <c r="C29" s="13"/>
      <c r="D29" s="13"/>
      <c r="E29" s="7">
        <v>7.0</v>
      </c>
      <c r="F29" s="7" t="s">
        <v>58</v>
      </c>
      <c r="G29" s="13"/>
    </row>
    <row r="30" ht="15.75" customHeight="1">
      <c r="A30" s="8">
        <v>2.0</v>
      </c>
      <c r="B30" s="16" t="s">
        <v>59</v>
      </c>
      <c r="C30" s="8">
        <v>5.0</v>
      </c>
      <c r="D30" s="10" t="s">
        <v>60</v>
      </c>
      <c r="E30" s="7">
        <v>1.0</v>
      </c>
      <c r="F30" s="7" t="s">
        <v>61</v>
      </c>
      <c r="G30" s="11" t="s">
        <v>62</v>
      </c>
    </row>
    <row r="31" ht="15.75" customHeight="1">
      <c r="A31" s="12"/>
      <c r="B31" s="12"/>
      <c r="C31" s="12"/>
      <c r="D31" s="12"/>
      <c r="E31" s="7">
        <v>2.0</v>
      </c>
      <c r="F31" s="7" t="s">
        <v>63</v>
      </c>
      <c r="G31" s="12"/>
    </row>
    <row r="32" ht="15.75" customHeight="1">
      <c r="A32" s="12"/>
      <c r="B32" s="12"/>
      <c r="C32" s="12"/>
      <c r="D32" s="12"/>
      <c r="E32" s="7">
        <v>3.0</v>
      </c>
      <c r="F32" s="17" t="s">
        <v>64</v>
      </c>
      <c r="G32" s="12"/>
    </row>
    <row r="33" ht="15.75" customHeight="1">
      <c r="A33" s="12"/>
      <c r="B33" s="12"/>
      <c r="C33" s="12"/>
      <c r="D33" s="12"/>
      <c r="E33" s="7">
        <v>4.0</v>
      </c>
      <c r="F33" s="7" t="s">
        <v>65</v>
      </c>
      <c r="G33" s="12"/>
    </row>
    <row r="34" ht="15.75" customHeight="1">
      <c r="A34" s="12"/>
      <c r="B34" s="12"/>
      <c r="C34" s="12"/>
      <c r="D34" s="12"/>
      <c r="E34" s="7">
        <v>5.0</v>
      </c>
      <c r="F34" s="17" t="s">
        <v>66</v>
      </c>
      <c r="G34" s="12"/>
    </row>
    <row r="35" ht="15.75" customHeight="1">
      <c r="A35" s="12"/>
      <c r="B35" s="12"/>
      <c r="C35" s="12"/>
      <c r="D35" s="12"/>
      <c r="E35" s="7">
        <v>6.0</v>
      </c>
      <c r="F35" s="7" t="s">
        <v>67</v>
      </c>
      <c r="G35" s="12"/>
    </row>
    <row r="36" ht="15.75" customHeight="1">
      <c r="A36" s="12"/>
      <c r="B36" s="12"/>
      <c r="C36" s="13"/>
      <c r="D36" s="13"/>
      <c r="E36" s="7">
        <v>7.0</v>
      </c>
      <c r="F36" s="7" t="s">
        <v>68</v>
      </c>
      <c r="G36" s="12"/>
    </row>
    <row r="37" ht="15.75" customHeight="1">
      <c r="A37" s="12"/>
      <c r="B37" s="12"/>
      <c r="C37" s="8">
        <v>6.0</v>
      </c>
      <c r="D37" s="10" t="s">
        <v>69</v>
      </c>
      <c r="E37" s="7">
        <v>1.0</v>
      </c>
      <c r="F37" s="7" t="s">
        <v>70</v>
      </c>
      <c r="G37" s="12"/>
    </row>
    <row r="38" ht="15.75" customHeight="1">
      <c r="A38" s="12"/>
      <c r="B38" s="12"/>
      <c r="C38" s="12"/>
      <c r="D38" s="12"/>
      <c r="E38" s="7">
        <v>2.0</v>
      </c>
      <c r="F38" s="7" t="s">
        <v>71</v>
      </c>
      <c r="G38" s="12"/>
    </row>
    <row r="39" ht="15.75" customHeight="1">
      <c r="A39" s="12"/>
      <c r="B39" s="12"/>
      <c r="C39" s="12"/>
      <c r="D39" s="12"/>
      <c r="E39" s="7">
        <v>3.0</v>
      </c>
      <c r="F39" s="17" t="s">
        <v>72</v>
      </c>
      <c r="G39" s="12"/>
    </row>
    <row r="40" ht="15.75" customHeight="1">
      <c r="A40" s="12"/>
      <c r="B40" s="12"/>
      <c r="C40" s="12"/>
      <c r="D40" s="12"/>
      <c r="E40" s="7">
        <v>4.0</v>
      </c>
      <c r="F40" s="7" t="s">
        <v>73</v>
      </c>
      <c r="G40" s="12"/>
    </row>
    <row r="41" ht="15.75" customHeight="1">
      <c r="A41" s="12"/>
      <c r="B41" s="12"/>
      <c r="C41" s="12"/>
      <c r="D41" s="12"/>
      <c r="E41" s="7">
        <v>5.0</v>
      </c>
      <c r="F41" s="7" t="s">
        <v>74</v>
      </c>
      <c r="G41" s="12"/>
    </row>
    <row r="42" ht="15.75" customHeight="1">
      <c r="A42" s="12"/>
      <c r="B42" s="12"/>
      <c r="C42" s="12"/>
      <c r="D42" s="12"/>
      <c r="E42" s="7">
        <v>6.0</v>
      </c>
      <c r="F42" s="7" t="s">
        <v>75</v>
      </c>
      <c r="G42" s="12"/>
    </row>
    <row r="43" ht="15.75" customHeight="1">
      <c r="A43" s="12"/>
      <c r="B43" s="12"/>
      <c r="C43" s="13"/>
      <c r="D43" s="13"/>
      <c r="E43" s="7">
        <v>7.0</v>
      </c>
      <c r="F43" s="7" t="s">
        <v>76</v>
      </c>
      <c r="G43" s="12"/>
    </row>
    <row r="44" ht="15.75" customHeight="1">
      <c r="A44" s="12"/>
      <c r="B44" s="12"/>
      <c r="C44" s="8">
        <v>7.0</v>
      </c>
      <c r="D44" s="10" t="s">
        <v>77</v>
      </c>
      <c r="E44" s="7">
        <v>1.0</v>
      </c>
      <c r="F44" s="7" t="s">
        <v>78</v>
      </c>
      <c r="G44" s="12"/>
    </row>
    <row r="45" ht="15.75" customHeight="1">
      <c r="A45" s="12"/>
      <c r="B45" s="12"/>
      <c r="C45" s="12"/>
      <c r="D45" s="12"/>
      <c r="E45" s="7">
        <v>2.0</v>
      </c>
      <c r="F45" s="7" t="s">
        <v>79</v>
      </c>
      <c r="G45" s="12"/>
    </row>
    <row r="46" ht="15.75" customHeight="1">
      <c r="A46" s="12"/>
      <c r="B46" s="12"/>
      <c r="C46" s="12"/>
      <c r="D46" s="12"/>
      <c r="E46" s="7">
        <v>3.0</v>
      </c>
      <c r="F46" s="7" t="s">
        <v>80</v>
      </c>
      <c r="G46" s="12"/>
    </row>
    <row r="47" ht="15.75" customHeight="1">
      <c r="A47" s="12"/>
      <c r="B47" s="12"/>
      <c r="C47" s="12"/>
      <c r="D47" s="12"/>
      <c r="E47" s="7">
        <v>4.0</v>
      </c>
      <c r="F47" s="7" t="s">
        <v>81</v>
      </c>
      <c r="G47" s="12"/>
    </row>
    <row r="48" ht="15.75" customHeight="1">
      <c r="A48" s="12"/>
      <c r="B48" s="12"/>
      <c r="C48" s="12"/>
      <c r="D48" s="12"/>
      <c r="E48" s="7">
        <v>5.0</v>
      </c>
      <c r="F48" s="7" t="s">
        <v>82</v>
      </c>
      <c r="G48" s="12"/>
    </row>
    <row r="49" ht="15.75" customHeight="1">
      <c r="A49" s="12"/>
      <c r="B49" s="12"/>
      <c r="C49" s="12"/>
      <c r="D49" s="12"/>
      <c r="E49" s="7">
        <v>6.0</v>
      </c>
      <c r="F49" s="7" t="s">
        <v>83</v>
      </c>
      <c r="G49" s="12"/>
    </row>
    <row r="50" ht="15.75" customHeight="1">
      <c r="A50" s="12"/>
      <c r="B50" s="12"/>
      <c r="C50" s="13"/>
      <c r="D50" s="13"/>
      <c r="E50" s="7">
        <v>7.0</v>
      </c>
      <c r="F50" s="7" t="s">
        <v>84</v>
      </c>
      <c r="G50" s="12"/>
    </row>
    <row r="51" ht="15.75" customHeight="1">
      <c r="A51" s="12"/>
      <c r="B51" s="12"/>
      <c r="C51" s="8">
        <v>8.0</v>
      </c>
      <c r="D51" s="10" t="s">
        <v>85</v>
      </c>
      <c r="E51" s="7">
        <v>1.0</v>
      </c>
      <c r="F51" s="7" t="s">
        <v>86</v>
      </c>
      <c r="G51" s="12"/>
    </row>
    <row r="52" ht="15.75" customHeight="1">
      <c r="A52" s="12"/>
      <c r="B52" s="12"/>
      <c r="C52" s="12"/>
      <c r="D52" s="12"/>
      <c r="E52" s="7">
        <v>2.0</v>
      </c>
      <c r="F52" s="7" t="s">
        <v>87</v>
      </c>
      <c r="G52" s="12"/>
    </row>
    <row r="53" ht="15.75" customHeight="1">
      <c r="A53" s="12"/>
      <c r="B53" s="12"/>
      <c r="C53" s="12"/>
      <c r="D53" s="12"/>
      <c r="E53" s="7">
        <v>3.0</v>
      </c>
      <c r="F53" s="7" t="s">
        <v>88</v>
      </c>
      <c r="G53" s="12"/>
    </row>
    <row r="54" ht="15.75" customHeight="1">
      <c r="A54" s="12"/>
      <c r="B54" s="12"/>
      <c r="C54" s="12"/>
      <c r="D54" s="12"/>
      <c r="E54" s="7">
        <v>4.0</v>
      </c>
      <c r="F54" s="7" t="s">
        <v>89</v>
      </c>
      <c r="G54" s="12"/>
    </row>
    <row r="55" ht="15.75" customHeight="1">
      <c r="A55" s="12"/>
      <c r="B55" s="12"/>
      <c r="C55" s="12"/>
      <c r="D55" s="12"/>
      <c r="E55" s="7">
        <v>5.0</v>
      </c>
      <c r="F55" s="7" t="s">
        <v>90</v>
      </c>
      <c r="G55" s="12"/>
    </row>
    <row r="56" ht="15.75" customHeight="1">
      <c r="A56" s="12"/>
      <c r="B56" s="12"/>
      <c r="C56" s="12"/>
      <c r="D56" s="12"/>
      <c r="E56" s="7">
        <v>6.0</v>
      </c>
      <c r="F56" s="7" t="s">
        <v>91</v>
      </c>
      <c r="G56" s="12"/>
    </row>
    <row r="57" ht="15.75" customHeight="1">
      <c r="A57" s="13"/>
      <c r="B57" s="13"/>
      <c r="C57" s="13"/>
      <c r="D57" s="13"/>
      <c r="E57" s="7">
        <v>7.0</v>
      </c>
      <c r="F57" s="7" t="s">
        <v>92</v>
      </c>
      <c r="G57" s="13"/>
    </row>
    <row r="58" ht="15.75" customHeight="1">
      <c r="A58" s="8">
        <v>3.0</v>
      </c>
      <c r="B58" s="9" t="s">
        <v>93</v>
      </c>
      <c r="C58" s="8">
        <v>9.0</v>
      </c>
      <c r="D58" s="10" t="s">
        <v>94</v>
      </c>
      <c r="E58" s="7">
        <v>1.0</v>
      </c>
      <c r="F58" s="7" t="s">
        <v>95</v>
      </c>
      <c r="G58" s="11" t="s">
        <v>96</v>
      </c>
    </row>
    <row r="59" ht="15.75" customHeight="1">
      <c r="A59" s="12"/>
      <c r="B59" s="12"/>
      <c r="C59" s="12"/>
      <c r="D59" s="12"/>
      <c r="E59" s="7">
        <v>2.0</v>
      </c>
      <c r="F59" s="7" t="s">
        <v>97</v>
      </c>
      <c r="G59" s="12"/>
    </row>
    <row r="60" ht="15.75" customHeight="1">
      <c r="A60" s="12"/>
      <c r="B60" s="12"/>
      <c r="C60" s="12"/>
      <c r="D60" s="12"/>
      <c r="E60" s="7">
        <v>3.0</v>
      </c>
      <c r="F60" s="7" t="s">
        <v>98</v>
      </c>
      <c r="G60" s="12"/>
    </row>
    <row r="61" ht="15.75" customHeight="1">
      <c r="A61" s="12"/>
      <c r="B61" s="12"/>
      <c r="C61" s="12"/>
      <c r="D61" s="12"/>
      <c r="E61" s="7">
        <v>4.0</v>
      </c>
      <c r="F61" s="7" t="s">
        <v>99</v>
      </c>
      <c r="G61" s="12"/>
    </row>
    <row r="62" ht="15.75" customHeight="1">
      <c r="A62" s="12"/>
      <c r="B62" s="12"/>
      <c r="C62" s="12"/>
      <c r="D62" s="12"/>
      <c r="E62" s="7">
        <v>5.0</v>
      </c>
      <c r="F62" s="17" t="s">
        <v>100</v>
      </c>
      <c r="G62" s="12"/>
    </row>
    <row r="63" ht="15.75" customHeight="1">
      <c r="A63" s="12"/>
      <c r="B63" s="12"/>
      <c r="C63" s="12"/>
      <c r="D63" s="12"/>
      <c r="E63" s="7">
        <v>6.0</v>
      </c>
      <c r="F63" s="7" t="s">
        <v>101</v>
      </c>
      <c r="G63" s="12"/>
    </row>
    <row r="64" ht="15.75" customHeight="1">
      <c r="A64" s="12"/>
      <c r="B64" s="12"/>
      <c r="C64" s="13"/>
      <c r="D64" s="13"/>
      <c r="E64" s="7">
        <v>7.0</v>
      </c>
      <c r="F64" s="17" t="s">
        <v>102</v>
      </c>
      <c r="G64" s="12"/>
    </row>
    <row r="65" ht="15.75" customHeight="1">
      <c r="A65" s="12"/>
      <c r="B65" s="12"/>
      <c r="C65" s="8">
        <v>10.0</v>
      </c>
      <c r="D65" s="10" t="s">
        <v>103</v>
      </c>
      <c r="E65" s="7">
        <v>1.0</v>
      </c>
      <c r="F65" s="7" t="s">
        <v>104</v>
      </c>
      <c r="G65" s="12"/>
    </row>
    <row r="66" ht="15.75" customHeight="1">
      <c r="A66" s="12"/>
      <c r="B66" s="12"/>
      <c r="C66" s="12"/>
      <c r="D66" s="12"/>
      <c r="E66" s="7">
        <v>2.0</v>
      </c>
      <c r="F66" s="7" t="s">
        <v>105</v>
      </c>
      <c r="G66" s="12"/>
    </row>
    <row r="67" ht="15.75" customHeight="1">
      <c r="A67" s="12"/>
      <c r="B67" s="12"/>
      <c r="C67" s="12"/>
      <c r="D67" s="12"/>
      <c r="E67" s="7">
        <v>3.0</v>
      </c>
      <c r="F67" s="7" t="s">
        <v>106</v>
      </c>
      <c r="G67" s="12"/>
    </row>
    <row r="68" ht="15.75" customHeight="1">
      <c r="A68" s="12"/>
      <c r="B68" s="12"/>
      <c r="C68" s="12"/>
      <c r="D68" s="12"/>
      <c r="E68" s="7">
        <v>4.0</v>
      </c>
      <c r="F68" s="7" t="s">
        <v>107</v>
      </c>
      <c r="G68" s="12"/>
    </row>
    <row r="69" ht="15.75" customHeight="1">
      <c r="A69" s="12"/>
      <c r="B69" s="12"/>
      <c r="C69" s="12"/>
      <c r="D69" s="12"/>
      <c r="E69" s="7">
        <v>5.0</v>
      </c>
      <c r="F69" s="7" t="s">
        <v>108</v>
      </c>
      <c r="G69" s="12"/>
    </row>
    <row r="70" ht="15.75" customHeight="1">
      <c r="A70" s="12"/>
      <c r="B70" s="12"/>
      <c r="C70" s="12"/>
      <c r="D70" s="12"/>
      <c r="E70" s="7">
        <v>6.0</v>
      </c>
      <c r="F70" s="7" t="s">
        <v>109</v>
      </c>
      <c r="G70" s="12"/>
    </row>
    <row r="71" ht="15.75" customHeight="1">
      <c r="A71" s="12"/>
      <c r="B71" s="12"/>
      <c r="C71" s="13"/>
      <c r="D71" s="13"/>
      <c r="E71" s="7">
        <v>7.0</v>
      </c>
      <c r="F71" s="7" t="s">
        <v>110</v>
      </c>
      <c r="G71" s="12"/>
    </row>
    <row r="72" ht="15.75" customHeight="1">
      <c r="A72" s="12"/>
      <c r="B72" s="12"/>
      <c r="C72" s="8">
        <v>11.0</v>
      </c>
      <c r="D72" s="10" t="s">
        <v>111</v>
      </c>
      <c r="E72" s="7">
        <v>1.0</v>
      </c>
      <c r="F72" s="7" t="s">
        <v>112</v>
      </c>
      <c r="G72" s="12"/>
    </row>
    <row r="73" ht="15.75" customHeight="1">
      <c r="A73" s="12"/>
      <c r="B73" s="12"/>
      <c r="C73" s="12"/>
      <c r="D73" s="12"/>
      <c r="E73" s="7">
        <v>2.0</v>
      </c>
      <c r="F73" s="7" t="s">
        <v>113</v>
      </c>
      <c r="G73" s="12"/>
    </row>
    <row r="74" ht="15.75" customHeight="1">
      <c r="A74" s="12"/>
      <c r="B74" s="12"/>
      <c r="C74" s="12"/>
      <c r="D74" s="12"/>
      <c r="E74" s="7">
        <v>3.0</v>
      </c>
      <c r="F74" s="7" t="s">
        <v>114</v>
      </c>
      <c r="G74" s="12"/>
    </row>
    <row r="75" ht="15.75" customHeight="1">
      <c r="A75" s="12"/>
      <c r="B75" s="12"/>
      <c r="C75" s="12"/>
      <c r="D75" s="12"/>
      <c r="E75" s="7">
        <v>4.0</v>
      </c>
      <c r="F75" s="7" t="s">
        <v>115</v>
      </c>
      <c r="G75" s="12"/>
    </row>
    <row r="76" ht="15.75" customHeight="1">
      <c r="A76" s="12"/>
      <c r="B76" s="12"/>
      <c r="C76" s="12"/>
      <c r="D76" s="12"/>
      <c r="E76" s="7">
        <v>5.0</v>
      </c>
      <c r="F76" s="7" t="s">
        <v>116</v>
      </c>
      <c r="G76" s="12"/>
    </row>
    <row r="77" ht="15.75" customHeight="1">
      <c r="A77" s="12"/>
      <c r="B77" s="12"/>
      <c r="C77" s="12"/>
      <c r="D77" s="12"/>
      <c r="E77" s="7">
        <v>6.0</v>
      </c>
      <c r="F77" s="7" t="s">
        <v>117</v>
      </c>
      <c r="G77" s="12"/>
    </row>
    <row r="78" ht="15.75" customHeight="1">
      <c r="A78" s="12"/>
      <c r="B78" s="12"/>
      <c r="C78" s="13"/>
      <c r="D78" s="13"/>
      <c r="E78" s="7">
        <v>7.0</v>
      </c>
      <c r="F78" s="7" t="s">
        <v>118</v>
      </c>
      <c r="G78" s="13"/>
    </row>
    <row r="79" ht="15.75" customHeight="1">
      <c r="A79" s="12"/>
      <c r="B79" s="12"/>
      <c r="C79" s="8">
        <v>12.0</v>
      </c>
      <c r="D79" s="10" t="s">
        <v>119</v>
      </c>
      <c r="E79" s="7">
        <v>1.0</v>
      </c>
      <c r="F79" s="7" t="s">
        <v>120</v>
      </c>
      <c r="G79" s="11" t="s">
        <v>121</v>
      </c>
    </row>
    <row r="80" ht="15.75" customHeight="1">
      <c r="A80" s="12"/>
      <c r="B80" s="12"/>
      <c r="C80" s="12"/>
      <c r="D80" s="12"/>
      <c r="E80" s="7">
        <v>2.0</v>
      </c>
      <c r="F80" s="7" t="s">
        <v>122</v>
      </c>
      <c r="G80" s="12"/>
    </row>
    <row r="81" ht="15.75" customHeight="1">
      <c r="A81" s="12"/>
      <c r="B81" s="12"/>
      <c r="C81" s="12"/>
      <c r="D81" s="12"/>
      <c r="E81" s="7">
        <v>3.0</v>
      </c>
      <c r="F81" s="7" t="s">
        <v>123</v>
      </c>
      <c r="G81" s="12"/>
    </row>
    <row r="82" ht="15.75" customHeight="1">
      <c r="A82" s="12"/>
      <c r="B82" s="12"/>
      <c r="C82" s="12"/>
      <c r="D82" s="12"/>
      <c r="E82" s="7">
        <v>4.0</v>
      </c>
      <c r="F82" s="7" t="s">
        <v>124</v>
      </c>
      <c r="G82" s="12"/>
    </row>
    <row r="83" ht="15.75" customHeight="1">
      <c r="A83" s="12"/>
      <c r="B83" s="12"/>
      <c r="C83" s="12"/>
      <c r="D83" s="12"/>
      <c r="E83" s="7">
        <v>5.0</v>
      </c>
      <c r="F83" s="7" t="s">
        <v>125</v>
      </c>
      <c r="G83" s="12"/>
    </row>
    <row r="84" ht="15.75" customHeight="1">
      <c r="A84" s="12"/>
      <c r="B84" s="12"/>
      <c r="C84" s="12"/>
      <c r="D84" s="12"/>
      <c r="E84" s="7">
        <v>6.0</v>
      </c>
      <c r="F84" s="7" t="s">
        <v>126</v>
      </c>
      <c r="G84" s="12"/>
    </row>
    <row r="85" ht="15.75" customHeight="1">
      <c r="A85" s="13"/>
      <c r="B85" s="13"/>
      <c r="C85" s="13"/>
      <c r="D85" s="13"/>
      <c r="E85" s="7">
        <v>7.0</v>
      </c>
      <c r="F85" s="7" t="s">
        <v>127</v>
      </c>
      <c r="G85" s="13"/>
    </row>
    <row r="86" ht="15.75" customHeight="1">
      <c r="A86" s="8">
        <v>4.0</v>
      </c>
      <c r="B86" s="9" t="s">
        <v>128</v>
      </c>
      <c r="C86" s="8">
        <v>13.0</v>
      </c>
      <c r="D86" s="10" t="s">
        <v>129</v>
      </c>
      <c r="E86" s="7">
        <v>1.0</v>
      </c>
      <c r="F86" s="7" t="s">
        <v>130</v>
      </c>
      <c r="G86" s="11" t="s">
        <v>131</v>
      </c>
    </row>
    <row r="87" ht="15.75" customHeight="1">
      <c r="A87" s="12"/>
      <c r="B87" s="12"/>
      <c r="C87" s="12"/>
      <c r="D87" s="12"/>
      <c r="E87" s="7">
        <v>2.0</v>
      </c>
      <c r="F87" s="7" t="s">
        <v>132</v>
      </c>
      <c r="G87" s="12"/>
    </row>
    <row r="88" ht="15.75" customHeight="1">
      <c r="A88" s="12"/>
      <c r="B88" s="12"/>
      <c r="C88" s="12"/>
      <c r="D88" s="12"/>
      <c r="E88" s="7">
        <v>3.0</v>
      </c>
      <c r="F88" s="7" t="s">
        <v>133</v>
      </c>
      <c r="G88" s="12"/>
    </row>
    <row r="89" ht="15.75" customHeight="1">
      <c r="A89" s="12"/>
      <c r="B89" s="12"/>
      <c r="C89" s="12"/>
      <c r="D89" s="12"/>
      <c r="E89" s="7">
        <v>4.0</v>
      </c>
      <c r="F89" s="7" t="s">
        <v>134</v>
      </c>
      <c r="G89" s="12"/>
    </row>
    <row r="90" ht="15.75" customHeight="1">
      <c r="A90" s="12"/>
      <c r="B90" s="12"/>
      <c r="C90" s="12"/>
      <c r="D90" s="12"/>
      <c r="E90" s="7">
        <v>5.0</v>
      </c>
      <c r="F90" s="7" t="s">
        <v>135</v>
      </c>
      <c r="G90" s="12"/>
    </row>
    <row r="91" ht="15.75" customHeight="1">
      <c r="A91" s="12"/>
      <c r="B91" s="12"/>
      <c r="C91" s="12"/>
      <c r="D91" s="12"/>
      <c r="E91" s="7">
        <v>6.0</v>
      </c>
      <c r="F91" s="7" t="s">
        <v>136</v>
      </c>
      <c r="G91" s="12"/>
    </row>
    <row r="92" ht="15.75" customHeight="1">
      <c r="A92" s="12"/>
      <c r="B92" s="12"/>
      <c r="C92" s="13"/>
      <c r="D92" s="13"/>
      <c r="E92" s="7">
        <v>7.0</v>
      </c>
      <c r="F92" s="7" t="s">
        <v>137</v>
      </c>
      <c r="G92" s="12"/>
    </row>
    <row r="93" ht="15.75" customHeight="1">
      <c r="A93" s="12"/>
      <c r="B93" s="12"/>
      <c r="C93" s="8">
        <v>14.0</v>
      </c>
      <c r="D93" s="10" t="s">
        <v>138</v>
      </c>
      <c r="E93" s="7">
        <v>1.0</v>
      </c>
      <c r="F93" s="7" t="s">
        <v>139</v>
      </c>
      <c r="G93" s="12"/>
    </row>
    <row r="94" ht="15.75" customHeight="1">
      <c r="A94" s="12"/>
      <c r="B94" s="12"/>
      <c r="C94" s="12"/>
      <c r="D94" s="12"/>
      <c r="E94" s="7">
        <v>2.0</v>
      </c>
      <c r="F94" s="7" t="s">
        <v>140</v>
      </c>
      <c r="G94" s="12"/>
    </row>
    <row r="95" ht="15.75" customHeight="1">
      <c r="A95" s="12"/>
      <c r="B95" s="12"/>
      <c r="C95" s="12"/>
      <c r="D95" s="12"/>
      <c r="E95" s="7">
        <v>3.0</v>
      </c>
      <c r="F95" s="7" t="s">
        <v>141</v>
      </c>
      <c r="G95" s="12"/>
    </row>
    <row r="96" ht="15.75" customHeight="1">
      <c r="A96" s="12"/>
      <c r="B96" s="12"/>
      <c r="C96" s="12"/>
      <c r="D96" s="12"/>
      <c r="E96" s="7">
        <v>4.0</v>
      </c>
      <c r="F96" s="7" t="s">
        <v>142</v>
      </c>
      <c r="G96" s="12"/>
    </row>
    <row r="97" ht="15.75" customHeight="1">
      <c r="A97" s="12"/>
      <c r="B97" s="12"/>
      <c r="C97" s="12"/>
      <c r="D97" s="12"/>
      <c r="E97" s="7">
        <v>5.0</v>
      </c>
      <c r="F97" s="7" t="s">
        <v>143</v>
      </c>
      <c r="G97" s="12"/>
    </row>
    <row r="98" ht="15.75" customHeight="1">
      <c r="A98" s="12"/>
      <c r="B98" s="12"/>
      <c r="C98" s="12"/>
      <c r="D98" s="12"/>
      <c r="E98" s="7">
        <v>6.0</v>
      </c>
      <c r="F98" s="7" t="s">
        <v>144</v>
      </c>
      <c r="G98" s="12"/>
    </row>
    <row r="99" ht="15.75" customHeight="1">
      <c r="A99" s="12"/>
      <c r="B99" s="12"/>
      <c r="C99" s="13"/>
      <c r="D99" s="13"/>
      <c r="E99" s="7">
        <v>7.0</v>
      </c>
      <c r="F99" s="7" t="s">
        <v>145</v>
      </c>
      <c r="G99" s="13"/>
    </row>
    <row r="100" ht="15.75" customHeight="1">
      <c r="A100" s="12"/>
      <c r="B100" s="12"/>
      <c r="C100" s="18">
        <v>15.0</v>
      </c>
      <c r="D100" s="19" t="s">
        <v>146</v>
      </c>
      <c r="E100" s="20">
        <v>1.0</v>
      </c>
      <c r="F100" s="20" t="s">
        <v>147</v>
      </c>
      <c r="G100" s="21" t="s">
        <v>148</v>
      </c>
    </row>
    <row r="101" ht="15.75" customHeight="1">
      <c r="A101" s="12"/>
      <c r="B101" s="12"/>
      <c r="C101" s="12"/>
      <c r="D101" s="12"/>
      <c r="E101" s="20">
        <v>2.0</v>
      </c>
      <c r="F101" s="20" t="s">
        <v>149</v>
      </c>
      <c r="G101" s="12"/>
    </row>
    <row r="102" ht="15.75" customHeight="1">
      <c r="A102" s="12"/>
      <c r="B102" s="12"/>
      <c r="C102" s="12"/>
      <c r="D102" s="12"/>
      <c r="E102" s="20">
        <v>3.0</v>
      </c>
      <c r="F102" s="20" t="s">
        <v>150</v>
      </c>
      <c r="G102" s="12"/>
    </row>
    <row r="103" ht="15.75" customHeight="1">
      <c r="A103" s="12"/>
      <c r="B103" s="12"/>
      <c r="C103" s="12"/>
      <c r="D103" s="12"/>
      <c r="E103" s="20">
        <v>4.0</v>
      </c>
      <c r="F103" s="20" t="s">
        <v>151</v>
      </c>
      <c r="G103" s="12"/>
    </row>
    <row r="104" ht="15.75" customHeight="1">
      <c r="A104" s="12"/>
      <c r="B104" s="12"/>
      <c r="C104" s="12"/>
      <c r="D104" s="12"/>
      <c r="E104" s="20">
        <v>5.0</v>
      </c>
      <c r="F104" s="20" t="s">
        <v>152</v>
      </c>
      <c r="G104" s="12"/>
    </row>
    <row r="105" ht="15.75" customHeight="1">
      <c r="A105" s="12"/>
      <c r="B105" s="12"/>
      <c r="C105" s="12"/>
      <c r="D105" s="12"/>
      <c r="E105" s="20">
        <v>6.0</v>
      </c>
      <c r="F105" s="20" t="s">
        <v>153</v>
      </c>
      <c r="G105" s="12"/>
    </row>
    <row r="106" ht="15.75" customHeight="1">
      <c r="A106" s="13"/>
      <c r="B106" s="13"/>
      <c r="C106" s="13"/>
      <c r="D106" s="13"/>
      <c r="E106" s="20">
        <v>7.0</v>
      </c>
      <c r="F106" s="20" t="s">
        <v>154</v>
      </c>
      <c r="G106" s="13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58:B85"/>
    <mergeCell ref="B86:B106"/>
    <mergeCell ref="C9:C15"/>
    <mergeCell ref="C16:C22"/>
    <mergeCell ref="B30:B57"/>
    <mergeCell ref="C30:C36"/>
    <mergeCell ref="C37:C43"/>
    <mergeCell ref="C44:C50"/>
    <mergeCell ref="C79:C85"/>
    <mergeCell ref="C100:C106"/>
    <mergeCell ref="A2:A29"/>
    <mergeCell ref="B2:B29"/>
    <mergeCell ref="C2:C8"/>
    <mergeCell ref="D2:D8"/>
    <mergeCell ref="G2:G7"/>
    <mergeCell ref="G8:G29"/>
    <mergeCell ref="D9:D15"/>
    <mergeCell ref="A30:A57"/>
    <mergeCell ref="A58:A85"/>
    <mergeCell ref="A86:A106"/>
    <mergeCell ref="C51:C57"/>
    <mergeCell ref="C58:C64"/>
    <mergeCell ref="D58:D64"/>
    <mergeCell ref="D65:D71"/>
    <mergeCell ref="G30:G57"/>
    <mergeCell ref="G58:G78"/>
    <mergeCell ref="G79:G85"/>
    <mergeCell ref="G86:G99"/>
    <mergeCell ref="G100:G106"/>
    <mergeCell ref="D16:D22"/>
    <mergeCell ref="C23:C29"/>
    <mergeCell ref="D23:D29"/>
    <mergeCell ref="D30:D36"/>
    <mergeCell ref="D37:D43"/>
    <mergeCell ref="D44:D50"/>
    <mergeCell ref="D51:D57"/>
    <mergeCell ref="C65:C71"/>
    <mergeCell ref="C72:C78"/>
    <mergeCell ref="D72:D78"/>
    <mergeCell ref="D79:D85"/>
    <mergeCell ref="D86:D92"/>
    <mergeCell ref="C86:C92"/>
    <mergeCell ref="C93:C99"/>
    <mergeCell ref="D93:D99"/>
    <mergeCell ref="D100:D10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1.0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25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1">
        <v>1.0</v>
      </c>
      <c r="B9" s="42" t="s">
        <v>167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6">
        <v>2.0</v>
      </c>
      <c r="B10" s="47" t="s">
        <v>28</v>
      </c>
      <c r="C10" s="47" t="s">
        <v>168</v>
      </c>
      <c r="D10" s="48"/>
      <c r="E10" s="48"/>
      <c r="F10" s="48"/>
      <c r="G10" s="48"/>
      <c r="H10" s="48"/>
      <c r="I10" s="48"/>
      <c r="J10" s="49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6">
        <v>3.0</v>
      </c>
      <c r="B11" s="47" t="s">
        <v>29</v>
      </c>
      <c r="C11" s="47" t="s">
        <v>168</v>
      </c>
      <c r="D11" s="48"/>
      <c r="E11" s="48"/>
      <c r="F11" s="48"/>
      <c r="G11" s="48"/>
      <c r="H11" s="48"/>
      <c r="I11" s="48"/>
      <c r="J11" s="49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6">
        <v>4.0</v>
      </c>
      <c r="B12" s="47" t="s">
        <v>30</v>
      </c>
      <c r="C12" s="47" t="s">
        <v>168</v>
      </c>
      <c r="D12" s="47" t="s">
        <v>168</v>
      </c>
      <c r="E12" s="48"/>
      <c r="F12" s="48"/>
      <c r="G12" s="48"/>
      <c r="H12" s="47" t="s">
        <v>168</v>
      </c>
      <c r="I12" s="48"/>
      <c r="J12" s="49">
        <v>30.0</v>
      </c>
      <c r="K12" s="45"/>
      <c r="L12" s="50">
        <v>1.0</v>
      </c>
      <c r="M12" s="45">
        <f t="shared" si="1"/>
        <v>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6">
        <v>5.0</v>
      </c>
      <c r="B13" s="47" t="s">
        <v>31</v>
      </c>
      <c r="C13" s="48"/>
      <c r="D13" s="47" t="s">
        <v>168</v>
      </c>
      <c r="E13" s="48"/>
      <c r="F13" s="48"/>
      <c r="G13" s="48"/>
      <c r="H13" s="48"/>
      <c r="I13" s="48"/>
      <c r="J13" s="49">
        <v>10.0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6">
        <v>6.0</v>
      </c>
      <c r="B14" s="47" t="s">
        <v>32</v>
      </c>
      <c r="C14" s="47" t="s">
        <v>168</v>
      </c>
      <c r="D14" s="48"/>
      <c r="E14" s="48"/>
      <c r="F14" s="48"/>
      <c r="G14" s="48"/>
      <c r="H14" s="48"/>
      <c r="I14" s="48"/>
      <c r="J14" s="49">
        <v>15.0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6">
        <v>7.0</v>
      </c>
      <c r="B15" s="47" t="s">
        <v>33</v>
      </c>
      <c r="C15" s="48"/>
      <c r="D15" s="48"/>
      <c r="E15" s="47" t="s">
        <v>168</v>
      </c>
      <c r="F15" s="48"/>
      <c r="G15" s="48"/>
      <c r="H15" s="48"/>
      <c r="I15" s="48"/>
      <c r="J15" s="49">
        <v>10.0</v>
      </c>
      <c r="K15" s="45"/>
      <c r="L15" s="45"/>
      <c r="M15" s="45">
        <f t="shared" si="1"/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110</v>
      </c>
      <c r="K16" s="24"/>
      <c r="L16" s="53" t="s">
        <v>170</v>
      </c>
      <c r="M16" s="24">
        <f>sum(M9:M14)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1.0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2.0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35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47" t="s">
        <v>36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47" t="s">
        <v>37</v>
      </c>
      <c r="C10" s="48"/>
      <c r="D10" s="56" t="s">
        <v>171</v>
      </c>
      <c r="E10" s="48"/>
      <c r="F10" s="48"/>
      <c r="G10" s="48"/>
      <c r="H10" s="48"/>
      <c r="I10" s="48"/>
      <c r="J10" s="49">
        <v>10.0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47" t="s">
        <v>38</v>
      </c>
      <c r="C11" s="47" t="s">
        <v>168</v>
      </c>
      <c r="D11" s="48"/>
      <c r="E11" s="48"/>
      <c r="F11" s="48"/>
      <c r="G11" s="48"/>
      <c r="H11" s="48"/>
      <c r="I11" s="48"/>
      <c r="J11" s="49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47" t="s">
        <v>39</v>
      </c>
      <c r="C12" s="48"/>
      <c r="D12" s="48"/>
      <c r="E12" s="47" t="s">
        <v>168</v>
      </c>
      <c r="F12" s="48"/>
      <c r="G12" s="48"/>
      <c r="H12" s="48"/>
      <c r="I12" s="48"/>
      <c r="J12" s="49">
        <v>10.0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47" t="s">
        <v>40</v>
      </c>
      <c r="C13" s="47" t="s">
        <v>168</v>
      </c>
      <c r="D13" s="48"/>
      <c r="E13" s="48"/>
      <c r="F13" s="48"/>
      <c r="G13" s="48"/>
      <c r="H13" s="48"/>
      <c r="I13" s="48"/>
      <c r="J13" s="49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47" t="s">
        <v>41</v>
      </c>
      <c r="C14" s="47" t="s">
        <v>168</v>
      </c>
      <c r="D14" s="48"/>
      <c r="E14" s="48"/>
      <c r="F14" s="48"/>
      <c r="G14" s="48"/>
      <c r="H14" s="48"/>
      <c r="I14" s="48"/>
      <c r="J14" s="49">
        <v>15.0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5">
        <v>7.0</v>
      </c>
      <c r="B15" s="47" t="s">
        <v>42</v>
      </c>
      <c r="C15" s="48"/>
      <c r="D15" s="48"/>
      <c r="E15" s="47" t="s">
        <v>168</v>
      </c>
      <c r="F15" s="48"/>
      <c r="G15" s="48"/>
      <c r="H15" s="48"/>
      <c r="I15" s="48"/>
      <c r="J15" s="49">
        <v>10.0</v>
      </c>
      <c r="K15" s="45"/>
      <c r="L15" s="45"/>
      <c r="M15" s="45">
        <f t="shared" si="1"/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90</v>
      </c>
      <c r="K16" s="24"/>
      <c r="L16" s="53" t="s">
        <v>170</v>
      </c>
      <c r="M16" s="24">
        <f>sum(M9:M14)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1.0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3.0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43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1">
        <v>1.0</v>
      </c>
      <c r="B9" s="47" t="s">
        <v>44</v>
      </c>
      <c r="C9" s="42" t="s">
        <v>168</v>
      </c>
      <c r="D9" s="42" t="s">
        <v>168</v>
      </c>
      <c r="E9" s="43"/>
      <c r="F9" s="43"/>
      <c r="G9" s="43"/>
      <c r="H9" s="43"/>
      <c r="I9" s="43"/>
      <c r="J9" s="44">
        <v>25.0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6">
        <v>2.0</v>
      </c>
      <c r="B10" s="47" t="s">
        <v>45</v>
      </c>
      <c r="C10" s="47" t="s">
        <v>168</v>
      </c>
      <c r="D10" s="48"/>
      <c r="E10" s="48"/>
      <c r="F10" s="48"/>
      <c r="G10" s="48"/>
      <c r="H10" s="48"/>
      <c r="I10" s="48"/>
      <c r="J10" s="49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6">
        <v>3.0</v>
      </c>
      <c r="B11" s="47" t="s">
        <v>46</v>
      </c>
      <c r="C11" s="47" t="s">
        <v>168</v>
      </c>
      <c r="D11" s="48"/>
      <c r="E11" s="48"/>
      <c r="F11" s="48"/>
      <c r="G11" s="48"/>
      <c r="H11" s="48"/>
      <c r="I11" s="48"/>
      <c r="J11" s="49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6">
        <v>4.0</v>
      </c>
      <c r="B12" s="47" t="s">
        <v>47</v>
      </c>
      <c r="C12" s="47" t="s">
        <v>168</v>
      </c>
      <c r="D12" s="48"/>
      <c r="E12" s="48"/>
      <c r="F12" s="48"/>
      <c r="G12" s="48"/>
      <c r="H12" s="48"/>
      <c r="I12" s="48"/>
      <c r="J12" s="49">
        <v>15.0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6">
        <v>5.0</v>
      </c>
      <c r="B13" s="47" t="s">
        <v>48</v>
      </c>
      <c r="C13" s="47" t="s">
        <v>168</v>
      </c>
      <c r="D13" s="48"/>
      <c r="E13" s="48"/>
      <c r="F13" s="48"/>
      <c r="G13" s="48"/>
      <c r="H13" s="48"/>
      <c r="I13" s="48"/>
      <c r="J13" s="49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6">
        <v>6.0</v>
      </c>
      <c r="B14" s="47" t="s">
        <v>49</v>
      </c>
      <c r="C14" s="47" t="s">
        <v>168</v>
      </c>
      <c r="D14" s="48"/>
      <c r="E14" s="48"/>
      <c r="F14" s="48"/>
      <c r="G14" s="48"/>
      <c r="H14" s="48"/>
      <c r="I14" s="48"/>
      <c r="J14" s="49">
        <v>15.0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6">
        <v>7.0</v>
      </c>
      <c r="B15" s="47" t="s">
        <v>50</v>
      </c>
      <c r="C15" s="48"/>
      <c r="D15" s="48"/>
      <c r="E15" s="47" t="s">
        <v>168</v>
      </c>
      <c r="F15" s="48"/>
      <c r="G15" s="48"/>
      <c r="H15" s="48"/>
      <c r="I15" s="48"/>
      <c r="J15" s="49">
        <v>10.0</v>
      </c>
      <c r="K15" s="45"/>
      <c r="L15" s="45"/>
      <c r="M15" s="45">
        <f t="shared" si="1"/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110</v>
      </c>
      <c r="K16" s="24"/>
      <c r="L16" s="53" t="s">
        <v>170</v>
      </c>
      <c r="M16" s="24">
        <f>sum(M9:M14)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1.0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4.0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51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1">
        <v>1.0</v>
      </c>
      <c r="B9" s="47" t="s">
        <v>52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6">
        <v>2.0</v>
      </c>
      <c r="B10" s="47" t="s">
        <v>53</v>
      </c>
      <c r="C10" s="47" t="s">
        <v>168</v>
      </c>
      <c r="D10" s="48"/>
      <c r="E10" s="48"/>
      <c r="F10" s="48"/>
      <c r="G10" s="48"/>
      <c r="H10" s="48"/>
      <c r="I10" s="48"/>
      <c r="J10" s="49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6">
        <v>3.0</v>
      </c>
      <c r="B11" s="47" t="s">
        <v>54</v>
      </c>
      <c r="C11" s="47" t="s">
        <v>168</v>
      </c>
      <c r="D11" s="48"/>
      <c r="E11" s="48"/>
      <c r="F11" s="48"/>
      <c r="G11" s="48"/>
      <c r="H11" s="48"/>
      <c r="I11" s="48"/>
      <c r="J11" s="49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6">
        <v>4.0</v>
      </c>
      <c r="B12" s="47" t="s">
        <v>55</v>
      </c>
      <c r="C12" s="47" t="s">
        <v>168</v>
      </c>
      <c r="D12" s="48"/>
      <c r="E12" s="48"/>
      <c r="F12" s="48"/>
      <c r="G12" s="48"/>
      <c r="H12" s="48"/>
      <c r="I12" s="48"/>
      <c r="J12" s="49">
        <v>15.0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6">
        <v>5.0</v>
      </c>
      <c r="B13" s="47" t="s">
        <v>56</v>
      </c>
      <c r="C13" s="48"/>
      <c r="D13" s="48"/>
      <c r="E13" s="47" t="s">
        <v>168</v>
      </c>
      <c r="F13" s="48"/>
      <c r="G13" s="48"/>
      <c r="H13" s="48"/>
      <c r="I13" s="48"/>
      <c r="J13" s="49">
        <v>10.0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6">
        <v>6.0</v>
      </c>
      <c r="B14" s="47" t="s">
        <v>57</v>
      </c>
      <c r="C14" s="47" t="s">
        <v>168</v>
      </c>
      <c r="D14" s="48"/>
      <c r="E14" s="48"/>
      <c r="F14" s="48"/>
      <c r="G14" s="48"/>
      <c r="H14" s="48"/>
      <c r="I14" s="48"/>
      <c r="J14" s="49">
        <v>15.0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6">
        <v>7.0</v>
      </c>
      <c r="B15" s="47" t="s">
        <v>58</v>
      </c>
      <c r="C15" s="47" t="s">
        <v>168</v>
      </c>
      <c r="D15" s="48"/>
      <c r="E15" s="48"/>
      <c r="F15" s="48"/>
      <c r="G15" s="48"/>
      <c r="H15" s="48"/>
      <c r="I15" s="48"/>
      <c r="J15" s="49">
        <v>15.0</v>
      </c>
      <c r="K15" s="45"/>
      <c r="L15" s="45"/>
      <c r="M15" s="45">
        <f t="shared" si="1"/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100</v>
      </c>
      <c r="K16" s="24"/>
      <c r="L16" s="53" t="s">
        <v>170</v>
      </c>
      <c r="M16" s="24">
        <f>sum(M9:M14)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2.0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5.0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59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60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47" t="s">
        <v>61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47" t="s">
        <v>63</v>
      </c>
      <c r="C10" s="47" t="s">
        <v>168</v>
      </c>
      <c r="D10" s="48"/>
      <c r="E10" s="48"/>
      <c r="F10" s="48"/>
      <c r="G10" s="48"/>
      <c r="H10" s="48"/>
      <c r="I10" s="48"/>
      <c r="J10" s="49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47" t="s">
        <v>64</v>
      </c>
      <c r="C11" s="48"/>
      <c r="D11" s="48"/>
      <c r="E11" s="47" t="s">
        <v>168</v>
      </c>
      <c r="F11" s="48"/>
      <c r="G11" s="48"/>
      <c r="H11" s="48"/>
      <c r="I11" s="48"/>
      <c r="J11" s="49">
        <v>10.0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47" t="s">
        <v>65</v>
      </c>
      <c r="C12" s="47" t="s">
        <v>168</v>
      </c>
      <c r="D12" s="48"/>
      <c r="E12" s="48"/>
      <c r="F12" s="48"/>
      <c r="G12" s="47" t="s">
        <v>168</v>
      </c>
      <c r="H12" s="48"/>
      <c r="I12" s="48"/>
      <c r="J12" s="49">
        <v>20.0</v>
      </c>
      <c r="K12" s="50">
        <v>1.0</v>
      </c>
      <c r="L12" s="45"/>
      <c r="M12" s="45">
        <f t="shared" si="1"/>
        <v>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47" t="s">
        <v>66</v>
      </c>
      <c r="C13" s="47" t="s">
        <v>168</v>
      </c>
      <c r="D13" s="48"/>
      <c r="E13" s="48"/>
      <c r="F13" s="48"/>
      <c r="G13" s="48"/>
      <c r="H13" s="48"/>
      <c r="I13" s="48"/>
      <c r="J13" s="49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47" t="s">
        <v>67</v>
      </c>
      <c r="C14" s="47" t="s">
        <v>168</v>
      </c>
      <c r="D14" s="48"/>
      <c r="E14" s="48"/>
      <c r="F14" s="48"/>
      <c r="G14" s="47" t="s">
        <v>168</v>
      </c>
      <c r="H14" s="48"/>
      <c r="I14" s="48"/>
      <c r="J14" s="49">
        <v>20.0</v>
      </c>
      <c r="K14" s="50">
        <v>1.0</v>
      </c>
      <c r="L14" s="45"/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5">
        <v>7.0</v>
      </c>
      <c r="B15" s="47" t="s">
        <v>68</v>
      </c>
      <c r="C15" s="47" t="s">
        <v>168</v>
      </c>
      <c r="D15" s="48"/>
      <c r="E15" s="48"/>
      <c r="F15" s="48"/>
      <c r="G15" s="47" t="s">
        <v>168</v>
      </c>
      <c r="H15" s="48"/>
      <c r="I15" s="48"/>
      <c r="J15" s="49">
        <v>20.0</v>
      </c>
      <c r="K15" s="50">
        <v>1.0</v>
      </c>
      <c r="L15" s="45"/>
      <c r="M15" s="45">
        <f t="shared" si="1"/>
        <v>1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115</v>
      </c>
      <c r="K16" s="24"/>
      <c r="L16" s="53" t="s">
        <v>170</v>
      </c>
      <c r="M16" s="24">
        <f>SUM(M9:M15)</f>
        <v>3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2.0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6.0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59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69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47" t="s">
        <v>70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47" t="s">
        <v>71</v>
      </c>
      <c r="C10" s="47" t="s">
        <v>168</v>
      </c>
      <c r="D10" s="48"/>
      <c r="E10" s="48"/>
      <c r="F10" s="48"/>
      <c r="G10" s="48"/>
      <c r="H10" s="48"/>
      <c r="I10" s="48"/>
      <c r="J10" s="49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47" t="s">
        <v>72</v>
      </c>
      <c r="C11" s="48"/>
      <c r="D11" s="47" t="s">
        <v>168</v>
      </c>
      <c r="E11" s="48"/>
      <c r="F11" s="48"/>
      <c r="G11" s="48"/>
      <c r="H11" s="48"/>
      <c r="I11" s="48"/>
      <c r="J11" s="49">
        <v>10.0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47" t="s">
        <v>73</v>
      </c>
      <c r="C12" s="47" t="s">
        <v>168</v>
      </c>
      <c r="D12" s="48"/>
      <c r="E12" s="48"/>
      <c r="F12" s="48"/>
      <c r="G12" s="47" t="s">
        <v>168</v>
      </c>
      <c r="H12" s="48"/>
      <c r="I12" s="48"/>
      <c r="J12" s="49">
        <v>20.0</v>
      </c>
      <c r="K12" s="50">
        <v>1.0</v>
      </c>
      <c r="L12" s="45"/>
      <c r="M12" s="45">
        <f t="shared" si="1"/>
        <v>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47" t="s">
        <v>74</v>
      </c>
      <c r="C13" s="47" t="s">
        <v>168</v>
      </c>
      <c r="D13" s="48"/>
      <c r="E13" s="48"/>
      <c r="F13" s="48"/>
      <c r="G13" s="48"/>
      <c r="H13" s="48"/>
      <c r="I13" s="48"/>
      <c r="J13" s="49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47" t="s">
        <v>75</v>
      </c>
      <c r="C14" s="47" t="s">
        <v>168</v>
      </c>
      <c r="D14" s="48"/>
      <c r="E14" s="48"/>
      <c r="F14" s="48"/>
      <c r="G14" s="47" t="s">
        <v>168</v>
      </c>
      <c r="H14" s="48"/>
      <c r="I14" s="48"/>
      <c r="J14" s="49">
        <v>20.0</v>
      </c>
      <c r="K14" s="50">
        <v>1.0</v>
      </c>
      <c r="L14" s="45"/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47" t="s">
        <v>76</v>
      </c>
      <c r="C15" s="47" t="s">
        <v>168</v>
      </c>
      <c r="D15" s="48"/>
      <c r="E15" s="48"/>
      <c r="F15" s="48"/>
      <c r="G15" s="47" t="s">
        <v>168</v>
      </c>
      <c r="H15" s="48"/>
      <c r="I15" s="48"/>
      <c r="J15" s="49">
        <v>20.0</v>
      </c>
      <c r="K15" s="50">
        <v>1.0</v>
      </c>
      <c r="L15" s="45"/>
      <c r="M15" s="45">
        <f t="shared" si="1"/>
        <v>1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115</v>
      </c>
      <c r="K16" s="24"/>
      <c r="L16" s="53" t="s">
        <v>170</v>
      </c>
      <c r="M16" s="24">
        <f>SUM(M9:M15)</f>
        <v>3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2.0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7.0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59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77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47" t="s">
        <v>78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47" t="s">
        <v>79</v>
      </c>
      <c r="C10" s="47" t="s">
        <v>168</v>
      </c>
      <c r="D10" s="48"/>
      <c r="E10" s="48"/>
      <c r="F10" s="47" t="s">
        <v>168</v>
      </c>
      <c r="G10" s="48"/>
      <c r="H10" s="48"/>
      <c r="I10" s="48"/>
      <c r="J10" s="49">
        <v>30.0</v>
      </c>
      <c r="K10" s="50">
        <v>1.0</v>
      </c>
      <c r="L10" s="45"/>
      <c r="M10" s="45">
        <f t="shared" si="1"/>
        <v>1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47" t="s">
        <v>80</v>
      </c>
      <c r="C11" s="47" t="s">
        <v>168</v>
      </c>
      <c r="D11" s="48"/>
      <c r="E11" s="48"/>
      <c r="F11" s="48"/>
      <c r="G11" s="48"/>
      <c r="H11" s="48"/>
      <c r="I11" s="48"/>
      <c r="J11" s="49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47" t="s">
        <v>81</v>
      </c>
      <c r="C12" s="47" t="s">
        <v>168</v>
      </c>
      <c r="D12" s="48"/>
      <c r="E12" s="48"/>
      <c r="F12" s="48"/>
      <c r="G12" s="48"/>
      <c r="H12" s="48"/>
      <c r="I12" s="48"/>
      <c r="J12" s="49">
        <v>15.0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47" t="s">
        <v>82</v>
      </c>
      <c r="C13" s="47" t="s">
        <v>168</v>
      </c>
      <c r="D13" s="48"/>
      <c r="E13" s="48"/>
      <c r="F13" s="48"/>
      <c r="G13" s="48"/>
      <c r="H13" s="48"/>
      <c r="I13" s="48"/>
      <c r="J13" s="49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47" t="s">
        <v>83</v>
      </c>
      <c r="C14" s="48"/>
      <c r="D14" s="48"/>
      <c r="E14" s="47" t="s">
        <v>168</v>
      </c>
      <c r="F14" s="48"/>
      <c r="G14" s="48"/>
      <c r="H14" s="48"/>
      <c r="I14" s="48"/>
      <c r="J14" s="49">
        <v>10.0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5">
        <v>7.0</v>
      </c>
      <c r="B15" s="47" t="s">
        <v>84</v>
      </c>
      <c r="C15" s="48"/>
      <c r="D15" s="47" t="s">
        <v>168</v>
      </c>
      <c r="E15" s="48"/>
      <c r="F15" s="48"/>
      <c r="G15" s="48"/>
      <c r="H15" s="48"/>
      <c r="I15" s="48"/>
      <c r="J15" s="49">
        <v>10.0</v>
      </c>
      <c r="K15" s="45"/>
      <c r="L15" s="45"/>
      <c r="M15" s="45">
        <f t="shared" si="1"/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110</v>
      </c>
      <c r="K16" s="24"/>
      <c r="L16" s="53" t="s">
        <v>170</v>
      </c>
      <c r="M16" s="24">
        <f>sum(M9:M14)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>
        <v>2.0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8.0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59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85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47" t="s">
        <v>86</v>
      </c>
      <c r="C9" s="42" t="s">
        <v>168</v>
      </c>
      <c r="D9" s="43"/>
      <c r="E9" s="43"/>
      <c r="F9" s="43"/>
      <c r="G9" s="43"/>
      <c r="H9" s="43"/>
      <c r="I9" s="43"/>
      <c r="J9" s="44">
        <v>15.0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47" t="s">
        <v>87</v>
      </c>
      <c r="C10" s="47" t="s">
        <v>168</v>
      </c>
      <c r="D10" s="48"/>
      <c r="E10" s="48"/>
      <c r="F10" s="48"/>
      <c r="G10" s="48"/>
      <c r="H10" s="48"/>
      <c r="I10" s="48"/>
      <c r="J10" s="49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47" t="s">
        <v>88</v>
      </c>
      <c r="C11" s="47" t="s">
        <v>168</v>
      </c>
      <c r="D11" s="48"/>
      <c r="E11" s="48"/>
      <c r="F11" s="48"/>
      <c r="G11" s="48"/>
      <c r="H11" s="48"/>
      <c r="I11" s="48"/>
      <c r="J11" s="49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47" t="s">
        <v>89</v>
      </c>
      <c r="C12" s="47" t="s">
        <v>168</v>
      </c>
      <c r="D12" s="48"/>
      <c r="E12" s="48"/>
      <c r="F12" s="48"/>
      <c r="G12" s="48"/>
      <c r="H12" s="48"/>
      <c r="I12" s="48"/>
      <c r="J12" s="49">
        <v>15.0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47" t="s">
        <v>90</v>
      </c>
      <c r="C13" s="47" t="s">
        <v>168</v>
      </c>
      <c r="D13" s="48"/>
      <c r="E13" s="48"/>
      <c r="F13" s="48"/>
      <c r="G13" s="48"/>
      <c r="H13" s="48"/>
      <c r="I13" s="48"/>
      <c r="J13" s="49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47" t="s">
        <v>91</v>
      </c>
      <c r="C14" s="48"/>
      <c r="D14" s="47" t="s">
        <v>168</v>
      </c>
      <c r="E14" s="48"/>
      <c r="F14" s="48"/>
      <c r="G14" s="48"/>
      <c r="H14" s="47" t="s">
        <v>168</v>
      </c>
      <c r="I14" s="48"/>
      <c r="J14" s="49">
        <v>15.0</v>
      </c>
      <c r="K14" s="50">
        <v>1.0</v>
      </c>
      <c r="L14" s="45"/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45">
        <v>7.0</v>
      </c>
      <c r="B15" s="47" t="s">
        <v>92</v>
      </c>
      <c r="C15" s="48"/>
      <c r="D15" s="48"/>
      <c r="E15" s="47" t="s">
        <v>168</v>
      </c>
      <c r="F15" s="48"/>
      <c r="G15" s="48"/>
      <c r="H15" s="48"/>
      <c r="I15" s="48"/>
      <c r="J15" s="49">
        <v>10.0</v>
      </c>
      <c r="K15" s="45"/>
      <c r="L15" s="45"/>
      <c r="M15" s="45">
        <f t="shared" si="1"/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100</v>
      </c>
      <c r="K16" s="24"/>
      <c r="L16" s="53" t="s">
        <v>170</v>
      </c>
      <c r="M16" s="24">
        <f>sum(M9:M14)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9.0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93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94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20" t="s">
        <v>95</v>
      </c>
      <c r="C9" s="55" t="s">
        <v>171</v>
      </c>
      <c r="D9" s="57"/>
      <c r="E9" s="57"/>
      <c r="F9" s="57"/>
      <c r="G9" s="57"/>
      <c r="H9" s="57"/>
      <c r="I9" s="57"/>
      <c r="J9" s="57">
        <f>if(C9="X",$C$7,0)+if(D9="X",$D$7,0)+if(E9="X",$E$7,0)+if(F9="X",$F$7,0)+if(G9="X",$G$7,0)+if(H9="X",$H$7,0)+if(I9="X",$I$7,0)</f>
        <v>15</v>
      </c>
      <c r="K9" s="7"/>
      <c r="L9" s="45"/>
      <c r="M9" s="45">
        <f t="shared" ref="M9:M14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97</v>
      </c>
      <c r="C10" s="50" t="s">
        <v>171</v>
      </c>
      <c r="D10" s="45"/>
      <c r="E10" s="45"/>
      <c r="F10" s="45"/>
      <c r="G10" s="45"/>
      <c r="H10" s="45"/>
      <c r="I10" s="45"/>
      <c r="J10" s="58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98</v>
      </c>
      <c r="C11" s="45"/>
      <c r="D11" s="45"/>
      <c r="E11" s="50" t="s">
        <v>171</v>
      </c>
      <c r="F11" s="45"/>
      <c r="G11" s="45"/>
      <c r="H11" s="45"/>
      <c r="I11" s="45"/>
      <c r="J11" s="57">
        <f t="shared" ref="J11:J12" si="2">if(D11="X",$D$7,0)+if(E11="X",$E$7,0)+if(F11="X",$F$7,0)+if(G11="X",$G$7,0)+if(H11="X",$H$7,0)+if(I11="X",$I$7,0)</f>
        <v>10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99</v>
      </c>
      <c r="C12" s="45"/>
      <c r="D12" s="45"/>
      <c r="E12" s="50" t="s">
        <v>171</v>
      </c>
      <c r="F12" s="45"/>
      <c r="G12" s="45"/>
      <c r="H12" s="45"/>
      <c r="I12" s="45"/>
      <c r="J12" s="57">
        <f t="shared" si="2"/>
        <v>10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100</v>
      </c>
      <c r="C13" s="50" t="s">
        <v>171</v>
      </c>
      <c r="D13" s="45"/>
      <c r="E13" s="45"/>
      <c r="F13" s="45"/>
      <c r="G13" s="45"/>
      <c r="H13" s="45"/>
      <c r="I13" s="45"/>
      <c r="J13" s="58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101</v>
      </c>
      <c r="C14" s="45"/>
      <c r="D14" s="45"/>
      <c r="E14" s="45"/>
      <c r="F14" s="45"/>
      <c r="G14" s="45"/>
      <c r="H14" s="45"/>
      <c r="I14" s="50" t="s">
        <v>171</v>
      </c>
      <c r="J14" s="58">
        <v>15.0</v>
      </c>
      <c r="K14" s="50"/>
      <c r="L14" s="50">
        <v>1.0</v>
      </c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102</v>
      </c>
      <c r="C15" s="45"/>
      <c r="D15" s="50" t="s">
        <v>171</v>
      </c>
      <c r="E15" s="45"/>
      <c r="F15" s="45"/>
      <c r="G15" s="45"/>
      <c r="H15" s="45"/>
      <c r="I15" s="45"/>
      <c r="J15" s="14">
        <v>10.0</v>
      </c>
      <c r="K15" s="45"/>
      <c r="L15" s="45"/>
      <c r="M15" s="4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90</v>
      </c>
      <c r="K16" s="24"/>
      <c r="L16" s="53" t="s">
        <v>170</v>
      </c>
      <c r="M16" s="24">
        <f>sum(M9:M14)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1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10.0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93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103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20" t="s">
        <v>104</v>
      </c>
      <c r="C9" s="57" t="s">
        <v>171</v>
      </c>
      <c r="D9" s="57"/>
      <c r="E9" s="57"/>
      <c r="F9" s="57"/>
      <c r="G9" s="57"/>
      <c r="H9" s="57"/>
      <c r="I9" s="57"/>
      <c r="J9" s="57">
        <f>if(C9="X",$C$7,0)+if(D9="X",$D$7,0)+if(E9="X",$E$7,0)+if(F9="X",$F$7,0)+if(G9="X",$G$7,0)+if(H9="X",$H$7,0)+if(I9="X",$I$7,0)</f>
        <v>15</v>
      </c>
      <c r="K9" s="7"/>
      <c r="L9" s="45"/>
      <c r="M9" s="45">
        <f t="shared" ref="M9:M14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105</v>
      </c>
      <c r="C10" s="45"/>
      <c r="D10" s="45"/>
      <c r="E10" s="45"/>
      <c r="F10" s="45"/>
      <c r="G10" s="50" t="s">
        <v>171</v>
      </c>
      <c r="H10" s="45"/>
      <c r="I10" s="45"/>
      <c r="J10" s="57">
        <f>if(D10="X",$D$7,0)+if(E10="X",$E$7,0)+if(F10="X",$F$7,0)+if(G10="X",$G$7,0)+if(H10="X",$H$7,0)+if(I10="X",$I$7,0)</f>
        <v>5</v>
      </c>
      <c r="K10" s="50">
        <v>1.0</v>
      </c>
      <c r="L10" s="45"/>
      <c r="M10" s="45">
        <f t="shared" si="1"/>
        <v>1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106</v>
      </c>
      <c r="C11" s="50" t="s">
        <v>171</v>
      </c>
      <c r="D11" s="45"/>
      <c r="E11" s="45"/>
      <c r="F11" s="45"/>
      <c r="G11" s="45"/>
      <c r="H11" s="45"/>
      <c r="I11" s="45"/>
      <c r="J11" s="58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107</v>
      </c>
      <c r="C12" s="45"/>
      <c r="D12" s="45"/>
      <c r="E12" s="45"/>
      <c r="F12" s="45"/>
      <c r="G12" s="45"/>
      <c r="H12" s="50" t="s">
        <v>171</v>
      </c>
      <c r="I12" s="45"/>
      <c r="J12" s="57">
        <f t="shared" ref="J12:J13" si="2">if(D12="X",$D$7,0)+if(E12="X",$E$7,0)+if(F12="X",$F$7,0)+if(G12="X",$G$7,0)+if(H12="X",$H$7,0)+if(I12="X",$I$7,0)</f>
        <v>5</v>
      </c>
      <c r="K12" s="45"/>
      <c r="L12" s="50">
        <v>1.0</v>
      </c>
      <c r="M12" s="45">
        <f t="shared" si="1"/>
        <v>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108</v>
      </c>
      <c r="C13" s="45"/>
      <c r="D13" s="45"/>
      <c r="E13" s="50" t="s">
        <v>171</v>
      </c>
      <c r="F13" s="45"/>
      <c r="G13" s="45"/>
      <c r="H13" s="45"/>
      <c r="I13" s="50" t="s">
        <v>171</v>
      </c>
      <c r="J13" s="57">
        <f t="shared" si="2"/>
        <v>25</v>
      </c>
      <c r="K13" s="45"/>
      <c r="L13" s="50">
        <v>1.0</v>
      </c>
      <c r="M13" s="45">
        <f t="shared" si="1"/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109</v>
      </c>
      <c r="C14" s="50" t="s">
        <v>171</v>
      </c>
      <c r="D14" s="45"/>
      <c r="E14" s="50" t="s">
        <v>171</v>
      </c>
      <c r="F14" s="45"/>
      <c r="G14" s="45"/>
      <c r="H14" s="45"/>
      <c r="I14" s="45"/>
      <c r="J14" s="58">
        <v>25.0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110</v>
      </c>
      <c r="C15" s="45"/>
      <c r="D15" s="50" t="s">
        <v>171</v>
      </c>
      <c r="E15" s="45"/>
      <c r="F15" s="45"/>
      <c r="G15" s="45"/>
      <c r="H15" s="45"/>
      <c r="I15" s="45"/>
      <c r="J15" s="14">
        <v>10.0</v>
      </c>
      <c r="K15" s="45"/>
      <c r="L15" s="45"/>
      <c r="M15" s="4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100</v>
      </c>
      <c r="K16" s="24"/>
      <c r="L16" s="53" t="s">
        <v>170</v>
      </c>
      <c r="M16" s="24">
        <f>sum(M9:M14)</f>
        <v>3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7.2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11.0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93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111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5">
        <v>1.0</v>
      </c>
      <c r="B9" s="20" t="s">
        <v>112</v>
      </c>
      <c r="C9" s="7" t="s">
        <v>171</v>
      </c>
      <c r="D9" s="7"/>
      <c r="E9" s="7"/>
      <c r="F9" s="7"/>
      <c r="G9" s="7"/>
      <c r="H9" s="7"/>
      <c r="I9" s="7"/>
      <c r="J9" s="7">
        <f>if(C9="X",$C$7,0)+if(D9="X",$D$7,0)+if(E9="X",$E$7,0)+if(F9="X",$F$7,0)+if(G9="X",$G$7,0)+if(H9="X",$H$7,0)+if(I9="X",$I$7,0)</f>
        <v>15</v>
      </c>
      <c r="K9" s="7"/>
      <c r="L9" s="45"/>
      <c r="M9" s="45">
        <f t="shared" ref="M9:M14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113</v>
      </c>
      <c r="C10" s="50" t="s">
        <v>171</v>
      </c>
      <c r="D10" s="45"/>
      <c r="E10" s="45"/>
      <c r="F10" s="45"/>
      <c r="G10" s="45"/>
      <c r="H10" s="45"/>
      <c r="I10" s="45"/>
      <c r="J10" s="14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114</v>
      </c>
      <c r="C11" s="50"/>
      <c r="D11" s="45"/>
      <c r="E11" s="50" t="s">
        <v>171</v>
      </c>
      <c r="F11" s="45"/>
      <c r="G11" s="45"/>
      <c r="H11" s="45"/>
      <c r="I11" s="45"/>
      <c r="J11" s="14">
        <v>10.0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115</v>
      </c>
      <c r="C12" s="50"/>
      <c r="D12" s="45"/>
      <c r="E12" s="45"/>
      <c r="F12" s="45"/>
      <c r="G12" s="45"/>
      <c r="H12" s="45"/>
      <c r="I12" s="50" t="s">
        <v>171</v>
      </c>
      <c r="J12" s="14">
        <v>15.0</v>
      </c>
      <c r="K12" s="45"/>
      <c r="L12" s="50">
        <v>1.0</v>
      </c>
      <c r="M12" s="45">
        <f t="shared" si="1"/>
        <v>1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116</v>
      </c>
      <c r="C13" s="50"/>
      <c r="D13" s="50" t="s">
        <v>171</v>
      </c>
      <c r="E13" s="45"/>
      <c r="F13" s="45"/>
      <c r="G13" s="45"/>
      <c r="H13" s="45"/>
      <c r="I13" s="45"/>
      <c r="J13" s="14">
        <v>10.0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117</v>
      </c>
      <c r="C14" s="50" t="s">
        <v>171</v>
      </c>
      <c r="D14" s="45"/>
      <c r="E14" s="45"/>
      <c r="F14" s="45"/>
      <c r="G14" s="45"/>
      <c r="H14" s="45"/>
      <c r="I14" s="50" t="s">
        <v>171</v>
      </c>
      <c r="J14" s="14">
        <v>30.0</v>
      </c>
      <c r="K14" s="45"/>
      <c r="L14" s="50">
        <v>1.0</v>
      </c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118</v>
      </c>
      <c r="C15" s="45"/>
      <c r="D15" s="45"/>
      <c r="E15" s="45"/>
      <c r="F15" s="45"/>
      <c r="G15" s="45"/>
      <c r="H15" s="45"/>
      <c r="I15" s="45"/>
      <c r="J15" s="7"/>
      <c r="K15" s="45"/>
      <c r="L15" s="45"/>
      <c r="M15" s="4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SUM(J7:J14)</f>
        <v>95</v>
      </c>
      <c r="K16" s="24"/>
      <c r="L16" s="53" t="s">
        <v>170</v>
      </c>
      <c r="M16" s="24">
        <f>sum(M9:M14)</f>
        <v>2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2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7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12.0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93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119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5">
        <v>1.0</v>
      </c>
      <c r="B9" s="20" t="s">
        <v>120</v>
      </c>
      <c r="C9" s="7" t="s">
        <v>171</v>
      </c>
      <c r="D9" s="7"/>
      <c r="E9" s="7"/>
      <c r="F9" s="7"/>
      <c r="G9" s="7"/>
      <c r="H9" s="7"/>
      <c r="I9" s="7"/>
      <c r="J9" s="7">
        <f>if(C9="X",$C$7,0)+if(D9="X",$D$7,0)+if(E9="X",$E$7,0)+if(F9="X",$F$7,0)+if(G9="X",$G$7,0)+if(H9="X",$H$7,0)+if(I9="X",$I$7,0)</f>
        <v>15</v>
      </c>
      <c r="K9" s="7"/>
      <c r="L9" s="45"/>
      <c r="M9" s="45">
        <f t="shared" ref="M9:M14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122</v>
      </c>
      <c r="C10" s="50" t="s">
        <v>171</v>
      </c>
      <c r="D10" s="45"/>
      <c r="E10" s="45"/>
      <c r="F10" s="45"/>
      <c r="G10" s="45"/>
      <c r="H10" s="50"/>
      <c r="I10" s="45"/>
      <c r="J10" s="14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123</v>
      </c>
      <c r="C11" s="50"/>
      <c r="D11" s="50" t="s">
        <v>171</v>
      </c>
      <c r="E11" s="45"/>
      <c r="F11" s="45"/>
      <c r="G11" s="45"/>
      <c r="H11" s="50"/>
      <c r="I11" s="45"/>
      <c r="J11" s="14">
        <v>10.0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124</v>
      </c>
      <c r="C12" s="50" t="s">
        <v>171</v>
      </c>
      <c r="D12" s="45"/>
      <c r="E12" s="50" t="s">
        <v>171</v>
      </c>
      <c r="F12" s="45"/>
      <c r="G12" s="45"/>
      <c r="H12" s="45"/>
      <c r="I12" s="45"/>
      <c r="J12" s="14">
        <v>25.0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125</v>
      </c>
      <c r="C13" s="50" t="s">
        <v>171</v>
      </c>
      <c r="D13" s="45"/>
      <c r="E13" s="45"/>
      <c r="F13" s="45"/>
      <c r="G13" s="45"/>
      <c r="H13" s="45"/>
      <c r="I13" s="45"/>
      <c r="J13" s="14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126</v>
      </c>
      <c r="C14" s="45"/>
      <c r="D14" s="50"/>
      <c r="E14" s="45"/>
      <c r="F14" s="45"/>
      <c r="G14" s="45"/>
      <c r="H14" s="45"/>
      <c r="I14" s="50" t="s">
        <v>171</v>
      </c>
      <c r="J14" s="7">
        <f>if(D14="X",$D$7,0)+if(E14="X",$E$7,0)+if(F14="X",$F$7,0)+if(G14="X",$G$7,0)+if(H14="X",$H$7,0)+if(I14="X",$I$7,0)</f>
        <v>15</v>
      </c>
      <c r="K14" s="45"/>
      <c r="L14" s="50">
        <v>1.0</v>
      </c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127</v>
      </c>
      <c r="C15" s="45"/>
      <c r="D15" s="45"/>
      <c r="E15" s="50" t="s">
        <v>171</v>
      </c>
      <c r="F15" s="45"/>
      <c r="G15" s="45"/>
      <c r="H15" s="45"/>
      <c r="I15" s="45"/>
      <c r="J15" s="14">
        <v>10.0</v>
      </c>
      <c r="K15" s="45"/>
      <c r="L15" s="45"/>
      <c r="M15" s="4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105</v>
      </c>
      <c r="K16" s="24"/>
      <c r="L16" s="53" t="s">
        <v>170</v>
      </c>
      <c r="M16" s="24">
        <f>sum(M9:M14)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13.0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128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129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55">
        <v>1.0</v>
      </c>
      <c r="B9" s="59" t="s">
        <v>130</v>
      </c>
      <c r="C9" s="57"/>
      <c r="D9" s="57"/>
      <c r="E9" s="58" t="s">
        <v>171</v>
      </c>
      <c r="F9" s="57"/>
      <c r="G9" s="57"/>
      <c r="H9" s="57"/>
      <c r="I9" s="57"/>
      <c r="J9" s="57">
        <f>if(C9="X",$C$7,0)+if(D9="X",$D$7,0)+if(E9="X",$E$7,0)+if(F9="X",$F$7,0)+if(G9="X",$G$7,0)+if(H9="X",$H$7,0)+if(I9="X",$I$7,0)</f>
        <v>10</v>
      </c>
      <c r="K9" s="7"/>
      <c r="L9" s="45"/>
      <c r="M9" s="45">
        <f t="shared" ref="M9:M14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132</v>
      </c>
      <c r="C10" s="50"/>
      <c r="D10" s="45"/>
      <c r="E10" s="50" t="s">
        <v>171</v>
      </c>
      <c r="F10" s="45"/>
      <c r="G10" s="45"/>
      <c r="H10" s="45"/>
      <c r="I10" s="45"/>
      <c r="J10" s="58">
        <v>10.0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133</v>
      </c>
      <c r="C11" s="50" t="s">
        <v>171</v>
      </c>
      <c r="D11" s="50"/>
      <c r="E11" s="45"/>
      <c r="F11" s="45"/>
      <c r="G11" s="45"/>
      <c r="H11" s="45"/>
      <c r="I11" s="45"/>
      <c r="J11" s="58">
        <v>15.0</v>
      </c>
      <c r="K11" s="45"/>
      <c r="L11" s="45"/>
      <c r="M11" s="45">
        <f t="shared" si="1"/>
        <v>0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134</v>
      </c>
      <c r="C12" s="50" t="s">
        <v>171</v>
      </c>
      <c r="D12" s="45"/>
      <c r="E12" s="45"/>
      <c r="F12" s="45"/>
      <c r="G12" s="45"/>
      <c r="H12" s="45"/>
      <c r="I12" s="45"/>
      <c r="J12" s="14">
        <v>15.0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135</v>
      </c>
      <c r="C13" s="50" t="s">
        <v>171</v>
      </c>
      <c r="D13" s="45"/>
      <c r="E13" s="45"/>
      <c r="F13" s="45"/>
      <c r="G13" s="45"/>
      <c r="H13" s="45"/>
      <c r="I13" s="45"/>
      <c r="J13" s="14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136</v>
      </c>
      <c r="C14" s="45"/>
      <c r="D14" s="45"/>
      <c r="E14" s="45"/>
      <c r="F14" s="45"/>
      <c r="G14" s="50"/>
      <c r="H14" s="50"/>
      <c r="I14" s="50" t="s">
        <v>171</v>
      </c>
      <c r="J14" s="7">
        <f>if(D14="X",$D$7,0)+if(E14="X",$E$7,0)+if(F14="X",$F$7,0)+if(G14="X",$G$7,0)+if(H14="X",$H$7,0)+if(I14="X",$I$7,0)</f>
        <v>15</v>
      </c>
      <c r="K14" s="45"/>
      <c r="L14" s="50">
        <v>1.0</v>
      </c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137</v>
      </c>
      <c r="C15" s="45"/>
      <c r="D15" s="45"/>
      <c r="E15" s="50"/>
      <c r="F15" s="50" t="s">
        <v>171</v>
      </c>
      <c r="G15" s="45"/>
      <c r="H15" s="50"/>
      <c r="I15" s="50"/>
      <c r="J15" s="14">
        <v>15.0</v>
      </c>
      <c r="K15" s="50">
        <v>1.0</v>
      </c>
      <c r="L15" s="45"/>
      <c r="M15" s="4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95</v>
      </c>
      <c r="K16" s="24"/>
      <c r="L16" s="53" t="s">
        <v>170</v>
      </c>
      <c r="M16" s="24">
        <f>sum(M9:M14)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3.38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14.0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128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138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5">
        <v>1.0</v>
      </c>
      <c r="B9" s="20" t="s">
        <v>139</v>
      </c>
      <c r="C9" s="7"/>
      <c r="D9" s="7"/>
      <c r="E9" s="7"/>
      <c r="F9" s="7"/>
      <c r="G9" s="14" t="s">
        <v>171</v>
      </c>
      <c r="H9" s="7"/>
      <c r="I9" s="7"/>
      <c r="J9" s="7">
        <f>if(C9="X",$C$7,0)+if(D9="X",$D$7,0)+if(E9="X",$E$7,0)+if(F9="X",$F$7,0)+if(G9="X",$G$7,0)+if(H9="X",$H$7,0)+if(I9="X",$I$7,0)</f>
        <v>5</v>
      </c>
      <c r="K9" s="14">
        <v>1.0</v>
      </c>
      <c r="L9" s="45"/>
      <c r="M9" s="45">
        <f t="shared" ref="M9:M14" si="1">sum(K9:L9)</f>
        <v>1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140</v>
      </c>
      <c r="C10" s="50"/>
      <c r="D10" s="45"/>
      <c r="E10" s="50" t="s">
        <v>171</v>
      </c>
      <c r="F10" s="45"/>
      <c r="G10" s="45"/>
      <c r="H10" s="45"/>
      <c r="I10" s="45"/>
      <c r="J10" s="14">
        <v>10.0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141</v>
      </c>
      <c r="C11" s="50" t="s">
        <v>171</v>
      </c>
      <c r="D11" s="45"/>
      <c r="E11" s="45"/>
      <c r="F11" s="45"/>
      <c r="G11" s="45"/>
      <c r="H11" s="50" t="s">
        <v>171</v>
      </c>
      <c r="I11" s="45"/>
      <c r="J11" s="14">
        <v>20.0</v>
      </c>
      <c r="K11" s="45"/>
      <c r="L11" s="50">
        <v>1.0</v>
      </c>
      <c r="M11" s="45">
        <f t="shared" si="1"/>
        <v>1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142</v>
      </c>
      <c r="C12" s="50" t="s">
        <v>171</v>
      </c>
      <c r="D12" s="45"/>
      <c r="E12" s="45"/>
      <c r="F12" s="45"/>
      <c r="G12" s="45"/>
      <c r="H12" s="45"/>
      <c r="I12" s="45"/>
      <c r="J12" s="14">
        <v>15.0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143</v>
      </c>
      <c r="C13" s="50" t="s">
        <v>171</v>
      </c>
      <c r="D13" s="45"/>
      <c r="E13" s="45"/>
      <c r="F13" s="45"/>
      <c r="G13" s="45"/>
      <c r="H13" s="45"/>
      <c r="I13" s="45"/>
      <c r="J13" s="14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144</v>
      </c>
      <c r="C14" s="50"/>
      <c r="D14" s="45"/>
      <c r="E14" s="50" t="s">
        <v>171</v>
      </c>
      <c r="F14" s="45"/>
      <c r="G14" s="45"/>
      <c r="H14" s="45"/>
      <c r="I14" s="45"/>
      <c r="J14" s="14">
        <v>10.0</v>
      </c>
      <c r="K14" s="45"/>
      <c r="L14" s="45"/>
      <c r="M14" s="45">
        <f t="shared" si="1"/>
        <v>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145</v>
      </c>
      <c r="C15" s="45"/>
      <c r="D15" s="50" t="s">
        <v>171</v>
      </c>
      <c r="E15" s="45"/>
      <c r="F15" s="45"/>
      <c r="G15" s="45"/>
      <c r="H15" s="45"/>
      <c r="I15" s="50" t="s">
        <v>171</v>
      </c>
      <c r="J15" s="14">
        <v>25.0</v>
      </c>
      <c r="K15" s="45"/>
      <c r="L15" s="45"/>
      <c r="M15" s="45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100</v>
      </c>
      <c r="K16" s="24"/>
      <c r="L16" s="53" t="s">
        <v>170</v>
      </c>
      <c r="M16" s="24">
        <f>sum(M9:M14)</f>
        <v>2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2" t="s">
        <v>155</v>
      </c>
      <c r="B1" s="23" t="s">
        <v>173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5.75" customHeight="1">
      <c r="A2" s="22" t="s">
        <v>156</v>
      </c>
      <c r="B2" s="25">
        <v>15.0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22" t="s">
        <v>18</v>
      </c>
      <c r="B3" s="26" t="s">
        <v>128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5.75" customHeight="1">
      <c r="A4" s="22" t="s">
        <v>20</v>
      </c>
      <c r="B4" s="23" t="s">
        <v>146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75" customHeight="1">
      <c r="A6" s="27" t="s">
        <v>21</v>
      </c>
      <c r="B6" s="28" t="s">
        <v>157</v>
      </c>
      <c r="C6" s="29" t="s">
        <v>158</v>
      </c>
      <c r="D6" s="29" t="s">
        <v>159</v>
      </c>
      <c r="E6" s="29" t="s">
        <v>160</v>
      </c>
      <c r="F6" s="30" t="s">
        <v>161</v>
      </c>
      <c r="G6" s="31"/>
      <c r="H6" s="30" t="s">
        <v>162</v>
      </c>
      <c r="I6" s="31"/>
      <c r="J6" s="32" t="s">
        <v>163</v>
      </c>
      <c r="K6" s="33" t="s">
        <v>161</v>
      </c>
      <c r="L6" s="34" t="s">
        <v>162</v>
      </c>
      <c r="M6" s="35" t="s">
        <v>164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5.75" customHeight="1">
      <c r="A7" s="36"/>
      <c r="B7" s="28" t="s">
        <v>165</v>
      </c>
      <c r="C7" s="37">
        <v>15.0</v>
      </c>
      <c r="D7" s="37">
        <v>10.0</v>
      </c>
      <c r="E7" s="38">
        <v>10.0</v>
      </c>
      <c r="F7" s="37">
        <v>15.0</v>
      </c>
      <c r="G7" s="37">
        <v>5.0</v>
      </c>
      <c r="H7" s="37">
        <v>5.0</v>
      </c>
      <c r="I7" s="37">
        <v>15.0</v>
      </c>
      <c r="J7" s="36"/>
      <c r="K7" s="39" t="s">
        <v>166</v>
      </c>
      <c r="L7" s="39" t="s">
        <v>166</v>
      </c>
      <c r="M7" s="1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5.75" customHeight="1">
      <c r="A8" s="40"/>
      <c r="B8" s="27" t="s">
        <v>22</v>
      </c>
      <c r="C8" s="40"/>
      <c r="D8" s="40"/>
      <c r="E8" s="40"/>
      <c r="F8" s="40"/>
      <c r="G8" s="40"/>
      <c r="H8" s="40"/>
      <c r="I8" s="40"/>
      <c r="J8" s="40"/>
      <c r="K8" s="13"/>
      <c r="L8" s="13"/>
      <c r="M8" s="1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27.0" customHeight="1">
      <c r="A9" s="45">
        <v>1.0</v>
      </c>
      <c r="B9" s="20" t="s">
        <v>147</v>
      </c>
      <c r="C9" s="7" t="s">
        <v>171</v>
      </c>
      <c r="D9" s="7"/>
      <c r="E9" s="7"/>
      <c r="F9" s="7"/>
      <c r="G9" s="7"/>
      <c r="H9" s="7"/>
      <c r="I9" s="7"/>
      <c r="J9" s="7">
        <f>if(C9="X",$C$7,0)+if(D9="X",$D$7,0)+if(E9="X",$E$7,0)+if(F9="X",$F$7,0)+if(G9="X",$G$7,0)+if(H9="X",$H$7,0)+if(I9="X",$I$7,0)</f>
        <v>15</v>
      </c>
      <c r="K9" s="7"/>
      <c r="L9" s="45"/>
      <c r="M9" s="45">
        <f t="shared" ref="M9:M15" si="1">sum(K9:L9)</f>
        <v>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5.75" customHeight="1">
      <c r="A10" s="45">
        <v>2.0</v>
      </c>
      <c r="B10" s="20" t="s">
        <v>149</v>
      </c>
      <c r="C10" s="50" t="s">
        <v>171</v>
      </c>
      <c r="D10" s="45"/>
      <c r="E10" s="45"/>
      <c r="F10" s="45"/>
      <c r="G10" s="45"/>
      <c r="H10" s="45"/>
      <c r="I10" s="45"/>
      <c r="J10" s="14">
        <v>15.0</v>
      </c>
      <c r="K10" s="45"/>
      <c r="L10" s="45"/>
      <c r="M10" s="45">
        <f t="shared" si="1"/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45">
        <v>3.0</v>
      </c>
      <c r="B11" s="20" t="s">
        <v>150</v>
      </c>
      <c r="C11" s="50"/>
      <c r="D11" s="45"/>
      <c r="E11" s="50" t="s">
        <v>171</v>
      </c>
      <c r="F11" s="45"/>
      <c r="G11" s="45"/>
      <c r="H11" s="50" t="s">
        <v>171</v>
      </c>
      <c r="I11" s="45"/>
      <c r="J11" s="14">
        <v>15.0</v>
      </c>
      <c r="K11" s="45"/>
      <c r="L11" s="50">
        <v>1.0</v>
      </c>
      <c r="M11" s="45">
        <f t="shared" si="1"/>
        <v>1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45">
        <v>4.0</v>
      </c>
      <c r="B12" s="20" t="s">
        <v>151</v>
      </c>
      <c r="C12" s="45"/>
      <c r="D12" s="50" t="s">
        <v>171</v>
      </c>
      <c r="E12" s="45"/>
      <c r="F12" s="45"/>
      <c r="G12" s="45"/>
      <c r="H12" s="45"/>
      <c r="I12" s="45"/>
      <c r="J12" s="7">
        <f>if(D12="X",$D$7,0)+if(E12="X",$E$7,0)+if(F12="X",$F$7,0)+if(G12="X",$G$7,0)+if(H12="X",$H$7,0)+if(I12="X",$I$7,0)</f>
        <v>10</v>
      </c>
      <c r="K12" s="45"/>
      <c r="L12" s="45"/>
      <c r="M12" s="45">
        <f t="shared" si="1"/>
        <v>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5.75" customHeight="1">
      <c r="A13" s="45">
        <v>5.0</v>
      </c>
      <c r="B13" s="20" t="s">
        <v>152</v>
      </c>
      <c r="C13" s="50" t="s">
        <v>171</v>
      </c>
      <c r="D13" s="45"/>
      <c r="E13" s="45"/>
      <c r="F13" s="45"/>
      <c r="G13" s="45"/>
      <c r="H13" s="45"/>
      <c r="I13" s="45"/>
      <c r="J13" s="14">
        <v>15.0</v>
      </c>
      <c r="K13" s="45"/>
      <c r="L13" s="45"/>
      <c r="M13" s="45">
        <f t="shared" si="1"/>
        <v>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5.75" customHeight="1">
      <c r="A14" s="45">
        <v>6.0</v>
      </c>
      <c r="B14" s="20" t="s">
        <v>153</v>
      </c>
      <c r="C14" s="45"/>
      <c r="D14" s="45"/>
      <c r="E14" s="50" t="s">
        <v>171</v>
      </c>
      <c r="F14" s="45"/>
      <c r="G14" s="45"/>
      <c r="H14" s="45"/>
      <c r="I14" s="50" t="s">
        <v>171</v>
      </c>
      <c r="J14" s="7">
        <f>if(D14="X",$D$7,0)+if(E14="X",$E$7,0)+if(F14="X",$F$7,0)+if(G14="X",$G$7,0)+if(H14="X",$H$7,0)+if(I14="X",$I$7,0)</f>
        <v>25</v>
      </c>
      <c r="K14" s="45"/>
      <c r="L14" s="50">
        <v>1.0</v>
      </c>
      <c r="M14" s="45">
        <f t="shared" si="1"/>
        <v>1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5.75" customHeight="1">
      <c r="A15" s="50">
        <v>7.0</v>
      </c>
      <c r="B15" s="20" t="s">
        <v>154</v>
      </c>
      <c r="C15" s="45"/>
      <c r="D15" s="45"/>
      <c r="E15" s="45"/>
      <c r="F15" s="45"/>
      <c r="G15" s="45"/>
      <c r="H15" s="50" t="s">
        <v>171</v>
      </c>
      <c r="I15" s="45"/>
      <c r="J15" s="14">
        <v>5.0</v>
      </c>
      <c r="K15" s="45"/>
      <c r="L15" s="50">
        <v>1.0</v>
      </c>
      <c r="M15" s="45">
        <f t="shared" si="1"/>
        <v>1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51" t="s">
        <v>169</v>
      </c>
      <c r="J16" s="52">
        <f>SUM(J7:J15)</f>
        <v>100</v>
      </c>
      <c r="K16" s="24"/>
      <c r="L16" s="53" t="s">
        <v>170</v>
      </c>
      <c r="M16" s="24">
        <f>SUM(M9:M15)</f>
        <v>3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5.75" customHeight="1">
      <c r="A18" s="54"/>
      <c r="B18" s="60"/>
      <c r="C18" s="24"/>
      <c r="D18" s="24"/>
      <c r="E18" s="24"/>
      <c r="F18" s="24"/>
      <c r="G18" s="24"/>
      <c r="H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5.75" customHeight="1">
      <c r="A19" s="54"/>
      <c r="B19" s="24"/>
      <c r="C19" s="24"/>
      <c r="D19" s="24"/>
      <c r="E19" s="24"/>
      <c r="F19" s="24"/>
      <c r="G19" s="24"/>
      <c r="H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54"/>
      <c r="B20" s="24"/>
      <c r="C20" s="24"/>
      <c r="D20" s="24"/>
      <c r="E20" s="24"/>
      <c r="F20" s="24"/>
      <c r="G20" s="24"/>
      <c r="H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 t="s">
        <v>174</v>
      </c>
    </row>
    <row r="2">
      <c r="A2" s="17" t="s">
        <v>175</v>
      </c>
    </row>
    <row r="4">
      <c r="A4" s="61" t="s">
        <v>176</v>
      </c>
    </row>
    <row r="5">
      <c r="A5" s="61" t="s">
        <v>177</v>
      </c>
    </row>
    <row r="8">
      <c r="A8" s="17" t="s">
        <v>178</v>
      </c>
    </row>
    <row r="9">
      <c r="A9" s="17">
        <v>1.0</v>
      </c>
      <c r="B9" s="6" t="s">
        <v>179</v>
      </c>
      <c r="H9" s="6"/>
    </row>
    <row r="10">
      <c r="A10" s="17">
        <v>2.0</v>
      </c>
      <c r="B10" s="6" t="s">
        <v>180</v>
      </c>
      <c r="H10" s="6"/>
    </row>
    <row r="11">
      <c r="A11" s="17">
        <v>3.0</v>
      </c>
      <c r="B11" s="6" t="s">
        <v>181</v>
      </c>
      <c r="H11" s="6"/>
    </row>
    <row r="12">
      <c r="B12" s="6"/>
      <c r="C12" s="6"/>
      <c r="D12" s="6"/>
      <c r="E12" s="6"/>
      <c r="F12" s="6"/>
      <c r="G12" s="6"/>
      <c r="H12" s="6"/>
    </row>
    <row r="13">
      <c r="A13" s="17" t="s">
        <v>182</v>
      </c>
      <c r="B13" s="6"/>
      <c r="C13" s="6"/>
      <c r="D13" s="6"/>
      <c r="E13" s="6"/>
      <c r="F13" s="6"/>
      <c r="G13" s="6"/>
      <c r="H13" s="6"/>
    </row>
  </sheetData>
  <mergeCells count="3">
    <mergeCell ref="B9:G9"/>
    <mergeCell ref="B10:G10"/>
    <mergeCell ref="B11:G11"/>
  </mergeCells>
  <hyperlinks>
    <hyperlink r:id="rId1" ref="A4"/>
    <hyperlink r:id="rId2" ref="A5"/>
  </hyperlinks>
  <drawing r:id="rId3"/>
</worksheet>
</file>
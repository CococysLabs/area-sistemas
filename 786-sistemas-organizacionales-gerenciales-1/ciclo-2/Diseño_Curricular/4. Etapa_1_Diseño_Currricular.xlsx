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S.12" sheetId="14" r:id="rId17"/>
    <sheet state="visible" name="Proyectos" sheetId="15" r:id="rId18"/>
    <sheet state="visible" name="Practicas" sheetId="16" r:id="rId19"/>
    <sheet state="visible" name="Tareas" sheetId="17" r:id="rId20"/>
    <sheet state="hidden" name="Metadata" sheetId="18" r:id="rId21"/>
    <sheet state="visible" name="Resumen de Ponderaciones" sheetId="19" r:id="rId22"/>
  </sheets>
  <definedNames/>
  <calcPr/>
</workbook>
</file>

<file path=xl/sharedStrings.xml><?xml version="1.0" encoding="utf-8"?>
<sst xmlns="http://schemas.openxmlformats.org/spreadsheetml/2006/main" count="1371" uniqueCount="246">
  <si>
    <t>Curso</t>
  </si>
  <si>
    <t>786 - Sistemas Organizacionales y Gerenciales 1</t>
  </si>
  <si>
    <r>
      <rPr>
        <rFont val="Arial"/>
        <color theme="1"/>
        <sz val="20.0"/>
      </rPr>
      <t xml:space="preserve">⬅️  </t>
    </r>
    <r>
      <rPr>
        <rFont val="Arial"/>
        <color theme="1"/>
        <sz val="13.0"/>
      </rPr>
      <t>Seleccióna el curso.</t>
    </r>
  </si>
  <si>
    <t>No.</t>
  </si>
  <si>
    <t>Competencia</t>
  </si>
  <si>
    <t>Unidad</t>
  </si>
  <si>
    <t>Tema</t>
  </si>
  <si>
    <t>Subtema</t>
  </si>
  <si>
    <t>Julio</t>
  </si>
  <si>
    <t>Semana</t>
  </si>
  <si>
    <t xml:space="preserve">revisa la evolución de los sistemas de información en la empresa mediante el análisis de casos históricos y actuales con el fin de identificar tendencias y áreas de mejora </t>
  </si>
  <si>
    <t>Evolución del sistema de información</t>
  </si>
  <si>
    <t>Definición de sistema de información</t>
  </si>
  <si>
    <t>Historia de los sistemas de información</t>
  </si>
  <si>
    <t>Tipos de sistemas de información</t>
  </si>
  <si>
    <t>Importancia en la empresa</t>
  </si>
  <si>
    <t>Desafíos actuales</t>
  </si>
  <si>
    <t>Ejemplos de sistemas en empresas</t>
  </si>
  <si>
    <t>Futuro de los sistemas de información</t>
  </si>
  <si>
    <t xml:space="preserve">moviliza habilidades de pensamiento crítico y resolución de problemas utilizando estudios de caso empresariales con el fin de fortalecer la toma de decisiones en entornos organizacionales </t>
  </si>
  <si>
    <t>Gestión de recursos de información</t>
  </si>
  <si>
    <t>Fuentes de información</t>
  </si>
  <si>
    <t>Clasificación de la información</t>
  </si>
  <si>
    <t>Herramientas de gestión</t>
  </si>
  <si>
    <t>Procesos de toma de decisiones</t>
  </si>
  <si>
    <t>Ejemplos de gestión efectiva</t>
  </si>
  <si>
    <t>Impacto en la organización</t>
  </si>
  <si>
    <t>Estudio de caso</t>
  </si>
  <si>
    <t xml:space="preserve">integra sistemas de información organizacionales (ERP, SCM, CRM) utilizando tecnologías de información y comunicación con el fin de apoyar la transformación digital y mejorar la toma de decisiones estratégicas </t>
  </si>
  <si>
    <t>Business Analytics</t>
  </si>
  <si>
    <t>Definición de Business Analytics</t>
  </si>
  <si>
    <t>Herramientas de análisis</t>
  </si>
  <si>
    <t>Importancia en la toma de decisiones</t>
  </si>
  <si>
    <t>Ejemplos de Business Analytics</t>
  </si>
  <si>
    <t>Casos de éxito</t>
  </si>
  <si>
    <t>Integración con sistemas de información</t>
  </si>
  <si>
    <t>Tendencias futuras</t>
  </si>
  <si>
    <t>La gestión del conocimiento</t>
  </si>
  <si>
    <t>Concepto de gestión del conocimiento</t>
  </si>
  <si>
    <t>Estrategias de gestión</t>
  </si>
  <si>
    <t>Herramientas tecnológicas</t>
  </si>
  <si>
    <t>Ejemplos de gestión del conocimiento</t>
  </si>
  <si>
    <t>Futuro de la gestión del conocimiento</t>
  </si>
  <si>
    <t>Papel estratégico de las TIC</t>
  </si>
  <si>
    <t>Definición de TIC</t>
  </si>
  <si>
    <t>Historia de las TIC</t>
  </si>
  <si>
    <t>Agosto</t>
  </si>
  <si>
    <t>Tipos de TIC</t>
  </si>
  <si>
    <t>Ejemplos de uso de TIC en empresas</t>
  </si>
  <si>
    <t>Futuro de las TIC</t>
  </si>
  <si>
    <t>Sistemas de información en negocios globales</t>
  </si>
  <si>
    <t>Definición de sistemas en negocios globales</t>
  </si>
  <si>
    <t>Impacto en la globalización</t>
  </si>
  <si>
    <t>Ejemplos de implementación</t>
  </si>
  <si>
    <t>Desafíos en la integración</t>
  </si>
  <si>
    <t>Impacto en la cultura empresarial</t>
  </si>
  <si>
    <t>Futuro de los negocios globales</t>
  </si>
  <si>
    <t>Global e-business y colaboración</t>
  </si>
  <si>
    <t>Definición de e-business</t>
  </si>
  <si>
    <t>Estrategias de colaboración</t>
  </si>
  <si>
    <t>Ejemplos de e-business</t>
  </si>
  <si>
    <t>Herramientas para e-business</t>
  </si>
  <si>
    <t>Desafíos en e-business</t>
  </si>
  <si>
    <t>Futuro del e-business</t>
  </si>
  <si>
    <t>Problemas éticos y sociales en sistemas</t>
  </si>
  <si>
    <t>Definición de problemas éticos</t>
  </si>
  <si>
    <t>Ejemplos de problemas éticos</t>
  </si>
  <si>
    <t>Impacto social de las TIC</t>
  </si>
  <si>
    <t>Casos de estudio</t>
  </si>
  <si>
    <t>Desafíos éticos en la implementación</t>
  </si>
  <si>
    <t>Futuro de la ética en TIC</t>
  </si>
  <si>
    <t>Conclusiones sobre problemas éticos</t>
  </si>
  <si>
    <t>Clases de sistemas de información</t>
  </si>
  <si>
    <t>Sistemas funcionales</t>
  </si>
  <si>
    <t>ERP</t>
  </si>
  <si>
    <t>SCM</t>
  </si>
  <si>
    <t>Septiembre</t>
  </si>
  <si>
    <t>CRM</t>
  </si>
  <si>
    <t>Sistemas distribuidos</t>
  </si>
  <si>
    <t>GIS</t>
  </si>
  <si>
    <t>Conclusiones sobre clases de sistemas</t>
  </si>
  <si>
    <t>Integración de sistemas</t>
  </si>
  <si>
    <t>Definición de integración</t>
  </si>
  <si>
    <t>Beneficios de la integración</t>
  </si>
  <si>
    <t>Ejemplos de integración</t>
  </si>
  <si>
    <t>Herramientas de integración</t>
  </si>
  <si>
    <t>Impacto en la eficiencia organizacional</t>
  </si>
  <si>
    <t>Futuro de la integración</t>
  </si>
  <si>
    <t>Arquitectura de sistemas</t>
  </si>
  <si>
    <t>Definición de arquitectura de sistemas</t>
  </si>
  <si>
    <t>Tipos de arquitectura</t>
  </si>
  <si>
    <t>Ejemplos de arquitecturas</t>
  </si>
  <si>
    <t>Herramientas para arquitecturas</t>
  </si>
  <si>
    <t>Futuro de la arquitectura de sistemas</t>
  </si>
  <si>
    <t>Conclusiones sobre arquitectura</t>
  </si>
  <si>
    <t xml:space="preserve">diseña soluciones de sistemas de información geográfica (GIS) y de inteligencia de negocios (BI) utilizando software especializado con el fin de optimizar la visualización y análisis de datos estratégicos </t>
  </si>
  <si>
    <t>El ciclo de vida de un sistema</t>
  </si>
  <si>
    <t>Definición del ciclo de vida</t>
  </si>
  <si>
    <t>Etapas del ciclo de vida</t>
  </si>
  <si>
    <t>Herramientas para el ciclo de vida</t>
  </si>
  <si>
    <t>Importancia del ciclo de vida</t>
  </si>
  <si>
    <t>Ejemplos de aplicación</t>
  </si>
  <si>
    <t>Desafíos en el ciclo de vida</t>
  </si>
  <si>
    <t>Octubre</t>
  </si>
  <si>
    <t>Futuro del ciclo de vida</t>
  </si>
  <si>
    <t xml:space="preserve">combina técnicas de trabajo en equipo y colaboración interdisciplinaria empleando metodologías ágiles de gestión de proyectos con el fin de fomentar la innovación y eficiencia organizacional </t>
  </si>
  <si>
    <t>E-learning</t>
  </si>
  <si>
    <t>Definición de e-learning</t>
  </si>
  <si>
    <t>Ventajas del e-learning</t>
  </si>
  <si>
    <t>Desafíos del e-learning</t>
  </si>
  <si>
    <t>Herramientas para e-learning</t>
  </si>
  <si>
    <t>Futuro del e-learning</t>
  </si>
  <si>
    <t>Conclusiones sobre e-learning</t>
  </si>
  <si>
    <t>Gamificación en educación</t>
  </si>
  <si>
    <t>Definición de plataformas educativas</t>
  </si>
  <si>
    <t>Ejemplos de plataformas educativas</t>
  </si>
  <si>
    <t>Ventajas de las plataformas</t>
  </si>
  <si>
    <t>Desafíos de las plataformas</t>
  </si>
  <si>
    <t>Futuro de las plataformas</t>
  </si>
  <si>
    <t>Conclusiones sobre plataformas</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</si>
  <si>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</si>
  <si>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</si>
  <si>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</si>
  <si>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</si>
  <si>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</si>
  <si>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</si>
  <si>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</si>
  <si>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</si>
  <si>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</si>
  <si>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</si>
  <si>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</si>
  <si>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</si>
  <si>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</si>
  <si>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</si>
  <si>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</si>
  <si>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</si>
  <si>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Responsabilidad
Valor: Cumplir con deberes y compromisos.</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</si>
  <si>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</si>
  <si>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</si>
  <si>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</si>
  <si>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</si>
  <si>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</si>
  <si>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</si>
  <si>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</si>
  <si>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</si>
  <si>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</si>
  <si>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</si>
  <si>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</si>
  <si>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</si>
  <si>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</si>
  <si>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</si>
  <si>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</si>
  <si>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</si>
  <si>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</si>
  <si>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</si>
  <si>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</si>
  <si>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</si>
  <si>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</si>
  <si>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</si>
  <si>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 xml:space="preserve">valida metodologías de gestión del cambio y rediseño de procesos organizativos utilizando modelos de cambio organizativo y técnicas de reingeniería con el fin de garantizar la incorporación efectiva de las TIC </t>
  </si>
  <si>
    <t xml:space="preserve">contrasta ideas, soluciones y propuestas relacionadas con sistemas de información utilizando herramientas de comunicación efectiva con el fin de facilitar la colaboración y comprensión en la organización </t>
  </si>
  <si>
    <t>Otros : puedes modificarlo e indicar que recurso usarias por ejemplo exposiciones</t>
  </si>
  <si>
    <t>Cierre</t>
  </si>
  <si>
    <t>Dudas</t>
  </si>
  <si>
    <t>Tiempo de resolución de dudas</t>
  </si>
  <si>
    <t>Respeto
Valor: Tratar a los demás con dignidad y cortesía.</t>
  </si>
  <si>
    <t>Perseverancia
Valor: Mantenerse constante ante los retos.</t>
  </si>
  <si>
    <t>Cuestionario</t>
  </si>
  <si>
    <t xml:space="preserve">Honestidad
Valor: Actuar con verdad y coherencia.
</t>
  </si>
  <si>
    <t>Colaboración
Valor: Trabajar juntos hacia un objetivo común.</t>
  </si>
  <si>
    <t>Innovación: Fomentar la capacidad de adaptarse a los cambios tecnológicos y proponer soluciones creativas en un entorno empresarial global.</t>
  </si>
  <si>
    <t>Resolver Dudas</t>
  </si>
  <si>
    <t>Responsabilidad: Promover la responsabilidad como valor clave al participar en entornos digitales y colaborativos, asumiendo compromisos éticos, profesionales y sociales al implementar o usar tecnologías en los negocios.</t>
  </si>
  <si>
    <t>x</t>
  </si>
  <si>
    <t>Dudas Proyecto/practica</t>
  </si>
  <si>
    <t>Integriadad: Fomentar la integridad como principio clave en el uso, diseño e implementación de tecnologías, promoviendo la honestidad, la ética profesional y la coherencia entre valores y acciones en el ámbito digital.</t>
  </si>
  <si>
    <t>Dudas practica/proyecto</t>
  </si>
  <si>
    <t>Eficiencia: Promover la eficiencia como valor esencial al diseñar, integrar y utilizar sistemas de información, buscando siempre optimizar recursos, procesos y resultados dentro de una organización.</t>
  </si>
  <si>
    <t>Planificación: Fomentar la planificación como valor clave para desarrollar, mantener y evolucionar sistemas de información de forma ordenada, sostenible y alineada con los objetivos de la organización.</t>
  </si>
  <si>
    <t>dudas proyecto/practica</t>
  </si>
  <si>
    <t>Compromiso: Fomentar el compromiso como valor esencial en entornos educativos digitales, donde la motivación, la constancia y la participación activa son claves para el aprendizaje efectivo</t>
  </si>
  <si>
    <t>Total Ponderacion de Proyectos</t>
  </si>
  <si>
    <t>Proyecto No. 1</t>
  </si>
  <si>
    <t>Nombre</t>
  </si>
  <si>
    <t>Proyecto Fase 1</t>
  </si>
  <si>
    <t>Horas aproximadas de realización</t>
  </si>
  <si>
    <t>Pronderación</t>
  </si>
  <si>
    <t>Semana en que se asignará el proyecto</t>
  </si>
  <si>
    <t>Competencias</t>
  </si>
  <si>
    <t>Breve Descripción</t>
  </si>
  <si>
    <t xml:space="preserve">
Este proyecto cuenta con 15 incisos, los cuales están divididos en 3 fases. El desarrollo del proyecto consiste en que el estudiante proponga un e-commerce y trabaje sobre él, elaborando un informe para cada inciso solicitado. Básicamente, el proyecto se basa en el e-commerce propuesto por el estudiante, y en él se ponen en práctica todos los conceptos aprendidos a lo largo del curso.</t>
  </si>
  <si>
    <t>Proyecto No. 2</t>
  </si>
  <si>
    <t xml:space="preserve">Proyecto Fase 3						</t>
  </si>
  <si>
    <t>Proyecto No. 3</t>
  </si>
  <si>
    <t>Proyecto Fase 3</t>
  </si>
  <si>
    <t>Total Ponderacion de Practicas</t>
  </si>
  <si>
    <t>Practica No. 1</t>
  </si>
  <si>
    <t>Practica 1</t>
  </si>
  <si>
    <t>Semana en que se asignará la practica</t>
  </si>
  <si>
    <t>semana 2</t>
  </si>
  <si>
    <t xml:space="preserve">revisar la evolución de los sistemas de información en la empresa mediante el análisis de casos históricos y actuales con el fin de identificar tendencias y áreas de mejora </t>
  </si>
  <si>
    <t xml:space="preserve">contrastar ideas, soluciones y propuestas relacionadas con sistemas de información utilizando herramientas de comunicación efectiva con el fin de facilitar la colaboración y comprensión en la organización </t>
  </si>
  <si>
    <t xml:space="preserve">diseñar soluciones de sistemas de información geográfica (GIS) y de inteligencia de negocios (BI) utilizando software especializado con el fin de optimizar la visualización y análisis de datos estratégicos </t>
  </si>
  <si>
    <t>En esta práctica, el estudiante debe diseñar una base de datos relacional, revisar información histórica de ventas para estructurar reportes y comunicar los hallazgos mediante un informe ejecutivo. Se evalúa la capacidad de diseñar modelos de datos, interpretar resultados analíticos y presentar información de forma visual y ejecutiva clara.</t>
  </si>
  <si>
    <t>Practica No. 2</t>
  </si>
  <si>
    <t>Practica 2</t>
  </si>
  <si>
    <t>4 semana</t>
  </si>
  <si>
    <t xml:space="preserve">integrar sistemas de información organizacionales (ERP, SCM, CRM) utilizando tecnologías de información y comunicación con el fin de apoyar la transformación digital y mejorar la toma de decisiones estratégicas </t>
  </si>
  <si>
    <t xml:space="preserve">validar metodologías de gestión del cambio y rediseño de procesos organizativos utilizando modelos de cambio organizativo y técnicas de reingeniería con el fin de garantizar la incorporación efectiva de las TIC </t>
  </si>
  <si>
    <t xml:space="preserve">movilizar habilidades de pensamiento crítico y resolución de problemas utilizando estudios de caso empresariales con el fin de fortalecer la toma de decisiones en entornos organizacionales </t>
  </si>
  <si>
    <t>En esta práctica, el estudiante debe integrar tecnologías digitales para crear una estrategia de adquisición de clientes, validar planes estratégicos mediante metodologías de planeación y comunicar su solución en un informe y mediante una landing page. Se evalúa la habilidad de diseñar estrategias digitales completas, construir ecosistemas tecnológicos y alinear objetivos empresariales.</t>
  </si>
  <si>
    <t>Practica No. 3</t>
  </si>
  <si>
    <t>Practica 3</t>
  </si>
  <si>
    <t>semana 6</t>
  </si>
  <si>
    <t>En esta práctica, el estudiante debe integrar tecnologías de información para crear una plataforma de e-commerce innovadora, diseñar productos digitales estratégicos basados en un análisis exhaustivo del mercado y validar sus estrategias mediante herramientas de análisis competitivo (PEST, SWOT, Porter, etc.). Se evaluará la capacidad de plantear soluciones digitales reales, realizar investigación de mercado aplicada, estructurar propuestas comerciales efectivas y planificar un proyecto en sprints de desarrollo.</t>
  </si>
  <si>
    <t>Practica No. 4</t>
  </si>
  <si>
    <t>Practica No. 5</t>
  </si>
  <si>
    <t>Practica No. 6</t>
  </si>
  <si>
    <t>Practica No. 7</t>
  </si>
  <si>
    <t>Total Ponderacion de Tareas</t>
  </si>
  <si>
    <t>Tarea No. 1</t>
  </si>
  <si>
    <t>Semana en que se asignará la tarea</t>
  </si>
  <si>
    <t>Tarea No. 2</t>
  </si>
  <si>
    <t>Tarea No. 3</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</si>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</sst>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b/>
      <color theme="1"/>
      <name val="Arial"/>
      <scheme val="minor"/>
    </font>
    <font>
      <color theme="1"/>
      <name val="Arial"/>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000000"/>
      <name val="Arial"/>
      <scheme val="minor"/>
    </font>
    <font/>
    <font>
      <color rgb="FF666666"/>
      <name val="Arial"/>
      <scheme val="minor"/>
    </font>
    <font>
      <b/>
      <color rgb="FFEFEFEF"/>
      <name val="Arial"/>
      <scheme val="minor"/>
    </font>
    <font>
      <b/>
      <color rgb="FF000000"/>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5" numFmtId="0" xfId="0" applyAlignment="1" applyBorder="1" applyFont="1">
      <alignment horizontal="center" readingOrder="0" shrinkToFit="0" vertical="center"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horizontal="center" readingOrder="0"/>
    </xf>
    <xf borderId="1" fillId="0" fontId="6" numFmtId="0" xfId="0" applyAlignment="1" applyBorder="1" applyFont="1">
      <alignment vertical="bottom"/>
    </xf>
    <xf borderId="1" fillId="0" fontId="6" numFmtId="0" xfId="0" applyAlignment="1" applyBorder="1" applyFont="1">
      <alignment vertical="bottom"/>
    </xf>
    <xf borderId="1" fillId="3" fontId="6"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readingOrder="0" shrinkToFit="0" wrapText="1"/>
    </xf>
    <xf borderId="0" fillId="0" fontId="8" numFmtId="0" xfId="0" applyAlignment="1" applyFont="1">
      <alignment readingOrder="0"/>
    </xf>
    <xf borderId="0" fillId="0" fontId="5" numFmtId="0" xfId="0" applyAlignment="1" applyFont="1">
      <alignment readingOrder="0"/>
    </xf>
    <xf borderId="0" fillId="0" fontId="1"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5" numFmtId="0" xfId="0" applyAlignment="1" applyBorder="1" applyFont="1">
      <alignment readingOrder="0"/>
    </xf>
    <xf borderId="1" fillId="0" fontId="11" numFmtId="0" xfId="0" applyAlignment="1" applyBorder="1" applyFont="1">
      <alignment readingOrder="0"/>
    </xf>
    <xf borderId="0" fillId="0" fontId="5" numFmtId="0" xfId="0" applyAlignment="1" applyFont="1">
      <alignment horizontal="center"/>
    </xf>
    <xf borderId="1" fillId="0" fontId="2" numFmtId="0" xfId="0" applyBorder="1" applyFont="1"/>
    <xf borderId="1" fillId="0" fontId="12" numFmtId="0" xfId="0" applyAlignment="1" applyBorder="1" applyFont="1">
      <alignment readingOrder="0"/>
    </xf>
    <xf borderId="1" fillId="0" fontId="12" numFmtId="0" xfId="0" applyBorder="1" applyFont="1"/>
    <xf borderId="0" fillId="6" fontId="2" numFmtId="0" xfId="0" applyFill="1" applyFont="1"/>
    <xf borderId="0" fillId="6" fontId="5" numFmtId="0" xfId="0" applyAlignment="1" applyFont="1">
      <alignment readingOrder="0"/>
    </xf>
    <xf borderId="0" fillId="0" fontId="2" numFmtId="0" xfId="0" applyFont="1"/>
    <xf borderId="0" fillId="0" fontId="9" numFmtId="0" xfId="0" applyAlignment="1" applyFont="1">
      <alignment readingOrder="0"/>
    </xf>
    <xf borderId="0" fillId="5" fontId="2" numFmtId="0" xfId="0" applyFont="1"/>
    <xf borderId="0" fillId="0" fontId="5" numFmtId="0" xfId="0" applyFont="1"/>
    <xf borderId="2" fillId="0" fontId="5" numFmtId="0" xfId="0" applyAlignment="1" applyBorder="1" applyFont="1">
      <alignment readingOrder="0"/>
    </xf>
    <xf borderId="3" fillId="0" fontId="5" numFmtId="0" xfId="0" applyAlignment="1" applyBorder="1" applyFont="1">
      <alignment readingOrder="0"/>
    </xf>
    <xf borderId="1" fillId="0" fontId="5" numFmtId="0" xfId="0" applyAlignment="1" applyBorder="1" applyFont="1">
      <alignment readingOrder="0" shrinkToFit="0" wrapText="1"/>
    </xf>
    <xf borderId="4" fillId="0" fontId="13" numFmtId="0" xfId="0" applyBorder="1" applyFont="1"/>
    <xf borderId="5" fillId="0" fontId="13" numFmtId="0" xfId="0" applyBorder="1" applyFont="1"/>
    <xf borderId="0" fillId="7" fontId="2" numFmtId="0" xfId="0" applyFill="1" applyFont="1"/>
    <xf borderId="0" fillId="7" fontId="2" numFmtId="0" xfId="0" applyAlignment="1" applyFont="1">
      <alignment readingOrder="0"/>
    </xf>
    <xf borderId="0" fillId="7" fontId="5" numFmtId="0" xfId="0" applyAlignment="1" applyFont="1">
      <alignment readingOrder="0"/>
    </xf>
    <xf borderId="1" fillId="0" fontId="14" numFmtId="0" xfId="0" applyAlignment="1" applyBorder="1" applyFont="1">
      <alignment readingOrder="0"/>
    </xf>
    <xf borderId="1" fillId="0" fontId="15" numFmtId="0" xfId="0" applyAlignment="1" applyBorder="1" applyFont="1">
      <alignment readingOrder="0"/>
    </xf>
    <xf borderId="1" fillId="0" fontId="16" numFmtId="0" xfId="0" applyAlignment="1" applyBorder="1" applyFont="1">
      <alignment readingOrder="0"/>
    </xf>
    <xf borderId="0" fillId="8" fontId="7" numFmtId="0" xfId="0" applyFill="1" applyFont="1"/>
    <xf borderId="0" fillId="9" fontId="2" numFmtId="0" xfId="0" applyAlignment="1" applyFill="1" applyFont="1">
      <alignment readingOrder="0"/>
    </xf>
    <xf borderId="0" fillId="9" fontId="2" numFmtId="0" xfId="0" applyFont="1"/>
    <xf borderId="0" fillId="6" fontId="7" numFmtId="0" xfId="0" applyAlignment="1" applyFont="1">
      <alignment readingOrder="0"/>
    </xf>
    <xf borderId="0" fillId="0" fontId="5" numFmtId="0" xfId="0" applyAlignment="1" applyFont="1">
      <alignment horizontal="left" readingOrder="0" vertical="center"/>
    </xf>
    <xf borderId="3" fillId="0" fontId="2" numFmtId="0" xfId="0" applyAlignment="1" applyBorder="1" applyFont="1">
      <alignment readingOrder="0"/>
    </xf>
    <xf borderId="6" fillId="0" fontId="13" numFmtId="0" xfId="0" applyBorder="1" applyFont="1"/>
    <xf borderId="7" fillId="0" fontId="13" numFmtId="0" xfId="0" applyBorder="1" applyFont="1"/>
    <xf borderId="3" fillId="6" fontId="2" numFmtId="0" xfId="0" applyAlignment="1" applyBorder="1" applyFont="1">
      <alignment readingOrder="0" shrinkToFit="0" wrapText="1"/>
    </xf>
    <xf borderId="0" fillId="10" fontId="7" numFmtId="0" xfId="0" applyFill="1" applyFont="1"/>
    <xf borderId="3" fillId="6" fontId="2" numFmtId="0" xfId="0" applyBorder="1" applyFont="1"/>
    <xf borderId="0" fillId="3" fontId="7" numFmtId="0" xfId="0" applyAlignment="1" applyFont="1">
      <alignment readingOrder="0"/>
    </xf>
    <xf borderId="0" fillId="0" fontId="2" numFmtId="49" xfId="0" applyFont="1" applyNumberFormat="1"/>
    <xf borderId="3" fillId="0" fontId="2" numFmtId="0" xfId="0" applyBorder="1" applyFont="1"/>
    <xf borderId="0" fillId="2" fontId="7" numFmtId="0" xfId="0" applyFont="1"/>
    <xf borderId="0" fillId="5" fontId="17" numFmtId="0" xfId="0" applyAlignment="1" applyFont="1">
      <alignment readingOrder="0"/>
    </xf>
    <xf borderId="0" fillId="5" fontId="7" numFmtId="0" xfId="0" applyFont="1"/>
    <xf borderId="0" fillId="7"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18" numFmtId="0" xfId="0" applyAlignment="1" applyFont="1">
      <alignment readingOrder="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9" t="s">
        <v>8</v>
      </c>
      <c r="G3" s="7" t="s">
        <v>9</v>
      </c>
    </row>
    <row r="4">
      <c r="A4" s="10">
        <v>1.0</v>
      </c>
      <c r="B4" s="11" t="s">
        <v>10</v>
      </c>
      <c r="C4" s="12">
        <v>1.0</v>
      </c>
      <c r="D4" s="13" t="s">
        <v>11</v>
      </c>
      <c r="E4" s="10" t="s">
        <v>12</v>
      </c>
      <c r="F4" s="10" t="s">
        <v>8</v>
      </c>
      <c r="G4" s="10">
        <v>1.0</v>
      </c>
    </row>
    <row r="5">
      <c r="A5" s="10">
        <v>2.0</v>
      </c>
      <c r="B5" s="11" t="s">
        <v>10</v>
      </c>
      <c r="C5" s="12">
        <v>1.0</v>
      </c>
      <c r="D5" s="13" t="s">
        <v>11</v>
      </c>
      <c r="E5" s="10" t="s">
        <v>13</v>
      </c>
      <c r="F5" s="10" t="s">
        <v>8</v>
      </c>
      <c r="G5" s="10">
        <v>1.0</v>
      </c>
    </row>
    <row r="6">
      <c r="A6" s="10">
        <v>3.0</v>
      </c>
      <c r="B6" s="11" t="s">
        <v>10</v>
      </c>
      <c r="C6" s="12">
        <v>1.0</v>
      </c>
      <c r="D6" s="13" t="s">
        <v>11</v>
      </c>
      <c r="E6" s="10" t="s">
        <v>14</v>
      </c>
      <c r="F6" s="10" t="s">
        <v>8</v>
      </c>
      <c r="G6" s="10">
        <v>1.0</v>
      </c>
    </row>
    <row r="7">
      <c r="A7" s="10">
        <v>4.0</v>
      </c>
      <c r="B7" s="11" t="s">
        <v>10</v>
      </c>
      <c r="C7" s="12">
        <v>1.0</v>
      </c>
      <c r="D7" s="13" t="s">
        <v>11</v>
      </c>
      <c r="E7" s="10" t="s">
        <v>15</v>
      </c>
      <c r="F7" s="10" t="s">
        <v>8</v>
      </c>
      <c r="G7" s="10">
        <v>1.0</v>
      </c>
    </row>
    <row r="8">
      <c r="A8" s="10">
        <v>5.0</v>
      </c>
      <c r="B8" s="11" t="s">
        <v>10</v>
      </c>
      <c r="C8" s="12">
        <v>1.0</v>
      </c>
      <c r="D8" s="13" t="s">
        <v>11</v>
      </c>
      <c r="E8" s="10" t="s">
        <v>16</v>
      </c>
      <c r="F8" s="10" t="s">
        <v>8</v>
      </c>
      <c r="G8" s="10">
        <v>1.0</v>
      </c>
    </row>
    <row r="9">
      <c r="A9" s="10">
        <v>6.0</v>
      </c>
      <c r="B9" s="11" t="s">
        <v>10</v>
      </c>
      <c r="C9" s="12">
        <v>1.0</v>
      </c>
      <c r="D9" s="14" t="s">
        <v>11</v>
      </c>
      <c r="E9" s="10" t="s">
        <v>17</v>
      </c>
      <c r="F9" s="10" t="s">
        <v>8</v>
      </c>
      <c r="G9" s="10">
        <v>1.0</v>
      </c>
    </row>
    <row r="10">
      <c r="A10" s="10">
        <v>7.0</v>
      </c>
      <c r="B10" s="11" t="s">
        <v>10</v>
      </c>
      <c r="C10" s="12">
        <v>1.0</v>
      </c>
      <c r="D10" s="14" t="s">
        <v>11</v>
      </c>
      <c r="E10" s="10" t="s">
        <v>18</v>
      </c>
      <c r="F10" s="10" t="s">
        <v>8</v>
      </c>
      <c r="G10" s="10">
        <v>1.0</v>
      </c>
    </row>
    <row r="11">
      <c r="A11" s="10">
        <v>8.0</v>
      </c>
      <c r="B11" s="11" t="s">
        <v>19</v>
      </c>
      <c r="C11" s="12">
        <v>1.0</v>
      </c>
      <c r="D11" s="14" t="s">
        <v>20</v>
      </c>
      <c r="E11" s="10" t="s">
        <v>21</v>
      </c>
      <c r="F11" s="10" t="s">
        <v>8</v>
      </c>
      <c r="G11" s="10">
        <v>1.0</v>
      </c>
    </row>
    <row r="12">
      <c r="A12" s="10">
        <v>9.0</v>
      </c>
      <c r="B12" s="11" t="s">
        <v>19</v>
      </c>
      <c r="C12" s="12">
        <v>1.0</v>
      </c>
      <c r="D12" s="14" t="s">
        <v>20</v>
      </c>
      <c r="E12" s="10" t="s">
        <v>22</v>
      </c>
      <c r="F12" s="10" t="s">
        <v>8</v>
      </c>
      <c r="G12" s="10">
        <v>1.0</v>
      </c>
    </row>
    <row r="13">
      <c r="A13" s="10">
        <v>10.0</v>
      </c>
      <c r="B13" s="11" t="s">
        <v>19</v>
      </c>
      <c r="C13" s="12">
        <v>1.0</v>
      </c>
      <c r="D13" s="14" t="s">
        <v>20</v>
      </c>
      <c r="E13" s="10" t="s">
        <v>23</v>
      </c>
      <c r="F13" s="10" t="s">
        <v>8</v>
      </c>
      <c r="G13" s="10">
        <v>2.0</v>
      </c>
    </row>
    <row r="14">
      <c r="A14" s="10">
        <v>11.0</v>
      </c>
      <c r="B14" s="11" t="s">
        <v>19</v>
      </c>
      <c r="C14" s="12">
        <v>1.0</v>
      </c>
      <c r="D14" s="14" t="s">
        <v>20</v>
      </c>
      <c r="E14" s="10" t="s">
        <v>24</v>
      </c>
      <c r="F14" s="10" t="s">
        <v>8</v>
      </c>
      <c r="G14" s="10">
        <v>2.0</v>
      </c>
    </row>
    <row r="15">
      <c r="A15" s="10">
        <v>12.0</v>
      </c>
      <c r="B15" s="11" t="s">
        <v>19</v>
      </c>
      <c r="C15" s="12">
        <v>1.0</v>
      </c>
      <c r="D15" s="14" t="s">
        <v>20</v>
      </c>
      <c r="E15" s="10" t="s">
        <v>25</v>
      </c>
      <c r="F15" s="10" t="s">
        <v>8</v>
      </c>
      <c r="G15" s="10">
        <v>2.0</v>
      </c>
    </row>
    <row r="16">
      <c r="A16" s="10">
        <v>13.0</v>
      </c>
      <c r="B16" s="11" t="s">
        <v>19</v>
      </c>
      <c r="C16" s="12">
        <v>1.0</v>
      </c>
      <c r="D16" s="14" t="s">
        <v>20</v>
      </c>
      <c r="E16" s="10" t="s">
        <v>26</v>
      </c>
      <c r="F16" s="10" t="s">
        <v>8</v>
      </c>
      <c r="G16" s="10">
        <v>2.0</v>
      </c>
    </row>
    <row r="17">
      <c r="A17" s="10">
        <v>14.0</v>
      </c>
      <c r="B17" s="11" t="s">
        <v>19</v>
      </c>
      <c r="C17" s="12">
        <v>1.0</v>
      </c>
      <c r="D17" s="14" t="s">
        <v>20</v>
      </c>
      <c r="E17" s="10" t="s">
        <v>27</v>
      </c>
      <c r="F17" s="10" t="s">
        <v>8</v>
      </c>
      <c r="G17" s="10">
        <v>2.0</v>
      </c>
    </row>
    <row r="18">
      <c r="A18" s="10">
        <v>15.0</v>
      </c>
      <c r="B18" s="11" t="s">
        <v>28</v>
      </c>
      <c r="C18" s="12">
        <v>1.0</v>
      </c>
      <c r="D18" s="14" t="s">
        <v>29</v>
      </c>
      <c r="E18" s="10" t="s">
        <v>30</v>
      </c>
      <c r="F18" s="10" t="s">
        <v>8</v>
      </c>
      <c r="G18" s="10">
        <v>2.0</v>
      </c>
    </row>
    <row r="19">
      <c r="A19" s="10">
        <v>16.0</v>
      </c>
      <c r="B19" s="11" t="s">
        <v>28</v>
      </c>
      <c r="C19" s="12">
        <v>1.0</v>
      </c>
      <c r="D19" s="14" t="s">
        <v>29</v>
      </c>
      <c r="E19" s="10" t="s">
        <v>31</v>
      </c>
      <c r="F19" s="10" t="s">
        <v>8</v>
      </c>
      <c r="G19" s="10">
        <v>2.0</v>
      </c>
    </row>
    <row r="20">
      <c r="A20" s="10">
        <v>17.0</v>
      </c>
      <c r="B20" s="11" t="s">
        <v>28</v>
      </c>
      <c r="C20" s="12">
        <v>1.0</v>
      </c>
      <c r="D20" s="14" t="s">
        <v>29</v>
      </c>
      <c r="E20" s="10" t="s">
        <v>32</v>
      </c>
      <c r="F20" s="10" t="s">
        <v>8</v>
      </c>
      <c r="G20" s="10">
        <v>3.0</v>
      </c>
    </row>
    <row r="21">
      <c r="A21" s="10">
        <v>18.0</v>
      </c>
      <c r="B21" s="11" t="s">
        <v>28</v>
      </c>
      <c r="C21" s="12">
        <v>1.0</v>
      </c>
      <c r="D21" s="14" t="s">
        <v>29</v>
      </c>
      <c r="E21" s="10" t="s">
        <v>33</v>
      </c>
      <c r="F21" s="10" t="s">
        <v>8</v>
      </c>
      <c r="G21" s="10">
        <v>3.0</v>
      </c>
    </row>
    <row r="22">
      <c r="A22" s="10">
        <v>19.0</v>
      </c>
      <c r="B22" s="11" t="s">
        <v>28</v>
      </c>
      <c r="C22" s="12">
        <v>1.0</v>
      </c>
      <c r="D22" s="14" t="s">
        <v>29</v>
      </c>
      <c r="E22" s="10" t="s">
        <v>34</v>
      </c>
      <c r="F22" s="10" t="s">
        <v>8</v>
      </c>
      <c r="G22" s="10">
        <v>3.0</v>
      </c>
    </row>
    <row r="23">
      <c r="A23" s="10">
        <v>20.0</v>
      </c>
      <c r="B23" s="11" t="s">
        <v>28</v>
      </c>
      <c r="C23" s="12">
        <v>1.0</v>
      </c>
      <c r="D23" s="14" t="s">
        <v>29</v>
      </c>
      <c r="E23" s="10" t="s">
        <v>35</v>
      </c>
      <c r="F23" s="10" t="s">
        <v>8</v>
      </c>
      <c r="G23" s="10">
        <v>3.0</v>
      </c>
    </row>
    <row r="24">
      <c r="A24" s="10">
        <v>21.0</v>
      </c>
      <c r="B24" s="11" t="s">
        <v>28</v>
      </c>
      <c r="C24" s="12">
        <v>1.0</v>
      </c>
      <c r="D24" s="14" t="s">
        <v>29</v>
      </c>
      <c r="E24" s="10" t="s">
        <v>36</v>
      </c>
      <c r="F24" s="10" t="s">
        <v>8</v>
      </c>
      <c r="G24" s="10">
        <v>3.0</v>
      </c>
    </row>
    <row r="25">
      <c r="A25" s="10">
        <v>22.0</v>
      </c>
      <c r="B25" s="11" t="s">
        <v>10</v>
      </c>
      <c r="C25" s="12">
        <v>1.0</v>
      </c>
      <c r="D25" s="14" t="s">
        <v>37</v>
      </c>
      <c r="E25" s="10" t="s">
        <v>38</v>
      </c>
      <c r="F25" s="10" t="s">
        <v>8</v>
      </c>
      <c r="G25" s="10">
        <v>3.0</v>
      </c>
    </row>
    <row r="26">
      <c r="A26" s="10">
        <v>23.0</v>
      </c>
      <c r="B26" s="11" t="s">
        <v>10</v>
      </c>
      <c r="C26" s="12">
        <v>1.0</v>
      </c>
      <c r="D26" s="14" t="s">
        <v>37</v>
      </c>
      <c r="E26" s="10" t="s">
        <v>39</v>
      </c>
      <c r="F26" s="10" t="s">
        <v>8</v>
      </c>
      <c r="G26" s="10">
        <v>3.0</v>
      </c>
    </row>
    <row r="27">
      <c r="A27" s="10">
        <v>24.0</v>
      </c>
      <c r="B27" s="11" t="s">
        <v>10</v>
      </c>
      <c r="C27" s="12">
        <v>1.0</v>
      </c>
      <c r="D27" s="14" t="s">
        <v>37</v>
      </c>
      <c r="E27" s="10" t="s">
        <v>40</v>
      </c>
      <c r="F27" s="10" t="s">
        <v>8</v>
      </c>
      <c r="G27" s="10">
        <v>4.0</v>
      </c>
    </row>
    <row r="28">
      <c r="A28" s="10">
        <v>25.0</v>
      </c>
      <c r="B28" s="11" t="s">
        <v>10</v>
      </c>
      <c r="C28" s="12">
        <v>1.0</v>
      </c>
      <c r="D28" s="14" t="s">
        <v>37</v>
      </c>
      <c r="E28" s="10" t="s">
        <v>26</v>
      </c>
      <c r="F28" s="10" t="s">
        <v>8</v>
      </c>
      <c r="G28" s="10">
        <v>4.0</v>
      </c>
    </row>
    <row r="29">
      <c r="A29" s="10">
        <v>26.0</v>
      </c>
      <c r="B29" s="11" t="s">
        <v>10</v>
      </c>
      <c r="C29" s="12">
        <v>1.0</v>
      </c>
      <c r="D29" s="14" t="s">
        <v>37</v>
      </c>
      <c r="E29" s="10" t="s">
        <v>41</v>
      </c>
      <c r="F29" s="10" t="s">
        <v>8</v>
      </c>
      <c r="G29" s="10">
        <v>4.0</v>
      </c>
    </row>
    <row r="30">
      <c r="A30" s="10">
        <v>27.0</v>
      </c>
      <c r="B30" s="11" t="s">
        <v>10</v>
      </c>
      <c r="C30" s="12">
        <v>1.0</v>
      </c>
      <c r="D30" s="14" t="s">
        <v>37</v>
      </c>
      <c r="E30" s="10" t="s">
        <v>27</v>
      </c>
      <c r="F30" s="10" t="s">
        <v>8</v>
      </c>
      <c r="G30" s="10">
        <v>4.0</v>
      </c>
    </row>
    <row r="31">
      <c r="A31" s="10">
        <v>28.0</v>
      </c>
      <c r="B31" s="11" t="s">
        <v>10</v>
      </c>
      <c r="C31" s="12">
        <v>1.0</v>
      </c>
      <c r="D31" s="14" t="s">
        <v>37</v>
      </c>
      <c r="E31" s="10" t="s">
        <v>42</v>
      </c>
      <c r="F31" s="10" t="s">
        <v>8</v>
      </c>
      <c r="G31" s="10">
        <v>4.0</v>
      </c>
    </row>
    <row r="32">
      <c r="A32" s="10">
        <v>29.0</v>
      </c>
      <c r="B32" s="11" t="s">
        <v>10</v>
      </c>
      <c r="C32" s="12">
        <v>2.0</v>
      </c>
      <c r="D32" s="14" t="s">
        <v>43</v>
      </c>
      <c r="E32" s="10" t="s">
        <v>44</v>
      </c>
      <c r="F32" s="10" t="s">
        <v>8</v>
      </c>
      <c r="G32" s="10">
        <v>4.0</v>
      </c>
    </row>
    <row r="33">
      <c r="A33" s="10">
        <v>30.0</v>
      </c>
      <c r="B33" s="11" t="s">
        <v>10</v>
      </c>
      <c r="C33" s="12">
        <v>2.0</v>
      </c>
      <c r="D33" s="14" t="s">
        <v>43</v>
      </c>
      <c r="E33" s="10" t="s">
        <v>45</v>
      </c>
      <c r="F33" s="10" t="s">
        <v>46</v>
      </c>
      <c r="G33" s="10">
        <v>5.0</v>
      </c>
    </row>
    <row r="34">
      <c r="A34" s="10">
        <v>31.0</v>
      </c>
      <c r="B34" s="11" t="s">
        <v>10</v>
      </c>
      <c r="C34" s="12">
        <v>2.0</v>
      </c>
      <c r="D34" s="14" t="s">
        <v>43</v>
      </c>
      <c r="E34" s="10" t="s">
        <v>47</v>
      </c>
      <c r="F34" s="10" t="s">
        <v>46</v>
      </c>
      <c r="G34" s="10">
        <v>5.0</v>
      </c>
    </row>
    <row r="35">
      <c r="A35" s="10">
        <v>32.0</v>
      </c>
      <c r="B35" s="11" t="s">
        <v>10</v>
      </c>
      <c r="C35" s="12">
        <v>2.0</v>
      </c>
      <c r="D35" s="14" t="s">
        <v>43</v>
      </c>
      <c r="E35" s="10" t="s">
        <v>15</v>
      </c>
      <c r="F35" s="10" t="s">
        <v>46</v>
      </c>
      <c r="G35" s="10">
        <v>5.0</v>
      </c>
    </row>
    <row r="36">
      <c r="A36" s="10">
        <v>33.0</v>
      </c>
      <c r="B36" s="11" t="s">
        <v>10</v>
      </c>
      <c r="C36" s="12">
        <v>2.0</v>
      </c>
      <c r="D36" s="14" t="s">
        <v>43</v>
      </c>
      <c r="E36" s="10" t="s">
        <v>16</v>
      </c>
      <c r="F36" s="10" t="s">
        <v>46</v>
      </c>
      <c r="G36" s="10">
        <v>5.0</v>
      </c>
    </row>
    <row r="37">
      <c r="A37" s="10">
        <v>34.0</v>
      </c>
      <c r="B37" s="11" t="s">
        <v>10</v>
      </c>
      <c r="C37" s="12">
        <v>2.0</v>
      </c>
      <c r="D37" s="14" t="s">
        <v>43</v>
      </c>
      <c r="E37" s="10" t="s">
        <v>48</v>
      </c>
      <c r="F37" s="10" t="s">
        <v>46</v>
      </c>
      <c r="G37" s="10">
        <v>5.0</v>
      </c>
    </row>
    <row r="38">
      <c r="A38" s="10">
        <v>35.0</v>
      </c>
      <c r="B38" s="11" t="s">
        <v>10</v>
      </c>
      <c r="C38" s="12">
        <v>2.0</v>
      </c>
      <c r="D38" s="14" t="s">
        <v>43</v>
      </c>
      <c r="E38" s="10" t="s">
        <v>49</v>
      </c>
      <c r="F38" s="10" t="s">
        <v>46</v>
      </c>
      <c r="G38" s="10">
        <v>5.0</v>
      </c>
    </row>
    <row r="39">
      <c r="A39" s="10">
        <v>36.0</v>
      </c>
      <c r="B39" s="11" t="s">
        <v>28</v>
      </c>
      <c r="C39" s="12">
        <v>2.0</v>
      </c>
      <c r="D39" s="15" t="s">
        <v>50</v>
      </c>
      <c r="E39" s="10" t="s">
        <v>51</v>
      </c>
      <c r="F39" s="10" t="s">
        <v>46</v>
      </c>
      <c r="G39" s="10">
        <v>5.0</v>
      </c>
    </row>
    <row r="40">
      <c r="A40" s="10">
        <v>37.0</v>
      </c>
      <c r="B40" s="11" t="s">
        <v>28</v>
      </c>
      <c r="C40" s="12">
        <v>2.0</v>
      </c>
      <c r="D40" s="15" t="s">
        <v>50</v>
      </c>
      <c r="E40" s="10" t="s">
        <v>52</v>
      </c>
      <c r="F40" s="10" t="s">
        <v>46</v>
      </c>
      <c r="G40" s="10">
        <v>6.0</v>
      </c>
    </row>
    <row r="41">
      <c r="A41" s="10">
        <v>38.0</v>
      </c>
      <c r="B41" s="11" t="s">
        <v>28</v>
      </c>
      <c r="C41" s="12">
        <v>2.0</v>
      </c>
      <c r="D41" s="15" t="s">
        <v>50</v>
      </c>
      <c r="E41" s="10" t="s">
        <v>53</v>
      </c>
      <c r="F41" s="10" t="s">
        <v>46</v>
      </c>
      <c r="G41" s="10">
        <v>6.0</v>
      </c>
    </row>
    <row r="42">
      <c r="A42" s="10">
        <v>39.0</v>
      </c>
      <c r="B42" s="11" t="s">
        <v>28</v>
      </c>
      <c r="C42" s="12">
        <v>2.0</v>
      </c>
      <c r="D42" s="15" t="s">
        <v>50</v>
      </c>
      <c r="E42" s="10" t="s">
        <v>54</v>
      </c>
      <c r="F42" s="10" t="s">
        <v>46</v>
      </c>
      <c r="G42" s="10">
        <v>6.0</v>
      </c>
    </row>
    <row r="43">
      <c r="A43" s="10">
        <v>40.0</v>
      </c>
      <c r="B43" s="11" t="s">
        <v>28</v>
      </c>
      <c r="C43" s="12">
        <v>2.0</v>
      </c>
      <c r="D43" s="15" t="s">
        <v>50</v>
      </c>
      <c r="E43" s="10" t="s">
        <v>40</v>
      </c>
      <c r="F43" s="10" t="s">
        <v>46</v>
      </c>
      <c r="G43" s="10">
        <v>6.0</v>
      </c>
    </row>
    <row r="44">
      <c r="A44" s="10">
        <v>41.0</v>
      </c>
      <c r="B44" s="11" t="s">
        <v>28</v>
      </c>
      <c r="C44" s="12">
        <v>2.0</v>
      </c>
      <c r="D44" s="15" t="s">
        <v>50</v>
      </c>
      <c r="E44" s="10" t="s">
        <v>55</v>
      </c>
      <c r="F44" s="10" t="s">
        <v>46</v>
      </c>
      <c r="G44" s="10">
        <v>6.0</v>
      </c>
    </row>
    <row r="45">
      <c r="A45" s="10">
        <v>42.0</v>
      </c>
      <c r="B45" s="11" t="s">
        <v>28</v>
      </c>
      <c r="C45" s="12">
        <v>2.0</v>
      </c>
      <c r="D45" s="15" t="s">
        <v>50</v>
      </c>
      <c r="E45" s="10" t="s">
        <v>56</v>
      </c>
      <c r="F45" s="10" t="s">
        <v>46</v>
      </c>
      <c r="G45" s="10">
        <v>6.0</v>
      </c>
    </row>
    <row r="46">
      <c r="A46" s="10">
        <v>43.0</v>
      </c>
      <c r="B46" s="11" t="s">
        <v>28</v>
      </c>
      <c r="C46" s="12">
        <v>2.0</v>
      </c>
      <c r="D46" s="14" t="s">
        <v>57</v>
      </c>
      <c r="E46" s="10" t="s">
        <v>58</v>
      </c>
      <c r="F46" s="10" t="s">
        <v>46</v>
      </c>
      <c r="G46" s="10">
        <v>6.0</v>
      </c>
    </row>
    <row r="47">
      <c r="A47" s="10">
        <v>44.0</v>
      </c>
      <c r="B47" s="11" t="s">
        <v>28</v>
      </c>
      <c r="C47" s="12">
        <v>2.0</v>
      </c>
      <c r="D47" s="14" t="s">
        <v>57</v>
      </c>
      <c r="E47" s="10" t="s">
        <v>59</v>
      </c>
      <c r="F47" s="10" t="s">
        <v>46</v>
      </c>
      <c r="G47" s="10">
        <v>7.0</v>
      </c>
    </row>
    <row r="48">
      <c r="A48" s="10">
        <v>45.0</v>
      </c>
      <c r="B48" s="11" t="s">
        <v>28</v>
      </c>
      <c r="C48" s="12">
        <v>2.0</v>
      </c>
      <c r="D48" s="14" t="s">
        <v>57</v>
      </c>
      <c r="E48" s="10" t="s">
        <v>60</v>
      </c>
      <c r="F48" s="10" t="s">
        <v>46</v>
      </c>
      <c r="G48" s="10">
        <v>7.0</v>
      </c>
    </row>
    <row r="49">
      <c r="A49" s="10">
        <v>46.0</v>
      </c>
      <c r="B49" s="11" t="s">
        <v>28</v>
      </c>
      <c r="C49" s="12">
        <v>2.0</v>
      </c>
      <c r="D49" s="14" t="s">
        <v>57</v>
      </c>
      <c r="E49" s="10" t="s">
        <v>61</v>
      </c>
      <c r="F49" s="10" t="s">
        <v>46</v>
      </c>
      <c r="G49" s="10">
        <v>7.0</v>
      </c>
    </row>
    <row r="50">
      <c r="A50" s="10">
        <v>47.0</v>
      </c>
      <c r="B50" s="11" t="s">
        <v>28</v>
      </c>
      <c r="C50" s="12">
        <v>2.0</v>
      </c>
      <c r="D50" s="14" t="s">
        <v>57</v>
      </c>
      <c r="E50" s="10" t="s">
        <v>34</v>
      </c>
      <c r="F50" s="10" t="s">
        <v>46</v>
      </c>
      <c r="G50" s="10">
        <v>7.0</v>
      </c>
    </row>
    <row r="51">
      <c r="A51" s="10">
        <v>48.0</v>
      </c>
      <c r="B51" s="11" t="s">
        <v>28</v>
      </c>
      <c r="C51" s="12">
        <v>2.0</v>
      </c>
      <c r="D51" s="14" t="s">
        <v>57</v>
      </c>
      <c r="E51" s="10" t="s">
        <v>62</v>
      </c>
      <c r="F51" s="10" t="s">
        <v>46</v>
      </c>
      <c r="G51" s="10">
        <v>7.0</v>
      </c>
    </row>
    <row r="52">
      <c r="A52" s="10">
        <v>49.0</v>
      </c>
      <c r="B52" s="11" t="s">
        <v>28</v>
      </c>
      <c r="C52" s="12">
        <v>2.0</v>
      </c>
      <c r="D52" s="14" t="s">
        <v>57</v>
      </c>
      <c r="E52" s="10" t="s">
        <v>63</v>
      </c>
      <c r="F52" s="10" t="s">
        <v>46</v>
      </c>
      <c r="G52" s="10">
        <v>7.0</v>
      </c>
    </row>
    <row r="53">
      <c r="A53" s="10">
        <v>50.0</v>
      </c>
      <c r="B53" s="11" t="s">
        <v>10</v>
      </c>
      <c r="C53" s="12">
        <v>2.0</v>
      </c>
      <c r="D53" s="14" t="s">
        <v>64</v>
      </c>
      <c r="E53" s="10" t="s">
        <v>65</v>
      </c>
      <c r="F53" s="10" t="s">
        <v>46</v>
      </c>
      <c r="G53" s="10">
        <v>7.0</v>
      </c>
    </row>
    <row r="54">
      <c r="A54" s="10">
        <v>51.0</v>
      </c>
      <c r="B54" s="11" t="s">
        <v>10</v>
      </c>
      <c r="C54" s="12">
        <v>2.0</v>
      </c>
      <c r="D54" s="14" t="s">
        <v>64</v>
      </c>
      <c r="E54" s="10" t="s">
        <v>66</v>
      </c>
      <c r="F54" s="10" t="s">
        <v>46</v>
      </c>
      <c r="G54" s="10">
        <v>8.0</v>
      </c>
    </row>
    <row r="55">
      <c r="A55" s="10">
        <v>52.0</v>
      </c>
      <c r="B55" s="11" t="s">
        <v>10</v>
      </c>
      <c r="C55" s="12">
        <v>2.0</v>
      </c>
      <c r="D55" s="14" t="s">
        <v>64</v>
      </c>
      <c r="E55" s="10" t="s">
        <v>67</v>
      </c>
      <c r="F55" s="10" t="s">
        <v>46</v>
      </c>
      <c r="G55" s="10">
        <v>8.0</v>
      </c>
    </row>
    <row r="56">
      <c r="A56" s="10">
        <v>53.0</v>
      </c>
      <c r="B56" s="11" t="s">
        <v>10</v>
      </c>
      <c r="C56" s="12">
        <v>2.0</v>
      </c>
      <c r="D56" s="14" t="s">
        <v>64</v>
      </c>
      <c r="E56" s="10" t="s">
        <v>68</v>
      </c>
      <c r="F56" s="10" t="s">
        <v>46</v>
      </c>
      <c r="G56" s="10">
        <v>8.0</v>
      </c>
    </row>
    <row r="57">
      <c r="A57" s="10">
        <v>54.0</v>
      </c>
      <c r="B57" s="11" t="s">
        <v>10</v>
      </c>
      <c r="C57" s="12">
        <v>2.0</v>
      </c>
      <c r="D57" s="14" t="s">
        <v>64</v>
      </c>
      <c r="E57" s="10" t="s">
        <v>69</v>
      </c>
      <c r="F57" s="10" t="s">
        <v>46</v>
      </c>
      <c r="G57" s="10">
        <v>8.0</v>
      </c>
    </row>
    <row r="58">
      <c r="A58" s="10">
        <v>55.0</v>
      </c>
      <c r="B58" s="11" t="s">
        <v>10</v>
      </c>
      <c r="C58" s="12">
        <v>2.0</v>
      </c>
      <c r="D58" s="14" t="s">
        <v>64</v>
      </c>
      <c r="E58" s="10" t="s">
        <v>70</v>
      </c>
      <c r="F58" s="10" t="s">
        <v>46</v>
      </c>
      <c r="G58" s="10">
        <v>8.0</v>
      </c>
    </row>
    <row r="59">
      <c r="A59" s="10">
        <v>56.0</v>
      </c>
      <c r="B59" s="11" t="s">
        <v>10</v>
      </c>
      <c r="C59" s="12">
        <v>2.0</v>
      </c>
      <c r="D59" s="14" t="s">
        <v>64</v>
      </c>
      <c r="E59" s="10" t="s">
        <v>71</v>
      </c>
      <c r="F59" s="10" t="s">
        <v>46</v>
      </c>
      <c r="G59" s="10">
        <v>8.0</v>
      </c>
    </row>
    <row r="60">
      <c r="A60" s="10">
        <v>57.0</v>
      </c>
      <c r="B60" s="11" t="s">
        <v>28</v>
      </c>
      <c r="C60" s="12">
        <v>3.0</v>
      </c>
      <c r="D60" s="14" t="s">
        <v>72</v>
      </c>
      <c r="E60" s="10" t="s">
        <v>73</v>
      </c>
      <c r="F60" s="10" t="s">
        <v>46</v>
      </c>
      <c r="G60" s="10">
        <v>8.0</v>
      </c>
    </row>
    <row r="61">
      <c r="A61" s="10">
        <v>58.0</v>
      </c>
      <c r="B61" s="11" t="s">
        <v>28</v>
      </c>
      <c r="C61" s="12">
        <v>3.0</v>
      </c>
      <c r="D61" s="14" t="s">
        <v>72</v>
      </c>
      <c r="E61" s="10" t="s">
        <v>74</v>
      </c>
      <c r="F61" s="10" t="s">
        <v>46</v>
      </c>
      <c r="G61" s="10">
        <v>8.0</v>
      </c>
    </row>
    <row r="62">
      <c r="A62" s="10">
        <v>59.0</v>
      </c>
      <c r="B62" s="11" t="s">
        <v>28</v>
      </c>
      <c r="C62" s="12">
        <v>3.0</v>
      </c>
      <c r="D62" s="14" t="s">
        <v>72</v>
      </c>
      <c r="E62" s="10" t="s">
        <v>75</v>
      </c>
      <c r="F62" s="10" t="s">
        <v>76</v>
      </c>
      <c r="G62" s="10">
        <v>9.0</v>
      </c>
    </row>
    <row r="63">
      <c r="A63" s="10">
        <v>60.0</v>
      </c>
      <c r="B63" s="11" t="s">
        <v>28</v>
      </c>
      <c r="C63" s="12">
        <v>3.0</v>
      </c>
      <c r="D63" s="14" t="s">
        <v>72</v>
      </c>
      <c r="E63" s="10" t="s">
        <v>77</v>
      </c>
      <c r="F63" s="10" t="s">
        <v>76</v>
      </c>
      <c r="G63" s="10">
        <v>9.0</v>
      </c>
    </row>
    <row r="64">
      <c r="A64" s="10">
        <v>61.0</v>
      </c>
      <c r="B64" s="11" t="s">
        <v>28</v>
      </c>
      <c r="C64" s="12">
        <v>3.0</v>
      </c>
      <c r="D64" s="14" t="s">
        <v>72</v>
      </c>
      <c r="E64" s="10" t="s">
        <v>78</v>
      </c>
      <c r="F64" s="10" t="s">
        <v>76</v>
      </c>
      <c r="G64" s="10">
        <v>9.0</v>
      </c>
    </row>
    <row r="65">
      <c r="A65" s="10">
        <v>62.0</v>
      </c>
      <c r="B65" s="11" t="s">
        <v>28</v>
      </c>
      <c r="C65" s="12">
        <v>3.0</v>
      </c>
      <c r="D65" s="14" t="s">
        <v>72</v>
      </c>
      <c r="E65" s="10" t="s">
        <v>79</v>
      </c>
      <c r="F65" s="10" t="s">
        <v>76</v>
      </c>
      <c r="G65" s="10">
        <v>9.0</v>
      </c>
    </row>
    <row r="66">
      <c r="A66" s="10">
        <v>63.0</v>
      </c>
      <c r="B66" s="11" t="s">
        <v>28</v>
      </c>
      <c r="C66" s="12">
        <v>3.0</v>
      </c>
      <c r="D66" s="14" t="s">
        <v>72</v>
      </c>
      <c r="E66" s="10" t="s">
        <v>80</v>
      </c>
      <c r="F66" s="10" t="s">
        <v>76</v>
      </c>
      <c r="G66" s="10">
        <v>9.0</v>
      </c>
    </row>
    <row r="67">
      <c r="A67" s="10">
        <v>64.0</v>
      </c>
      <c r="B67" s="11" t="s">
        <v>28</v>
      </c>
      <c r="C67" s="12">
        <v>3.0</v>
      </c>
      <c r="D67" s="14" t="s">
        <v>81</v>
      </c>
      <c r="E67" s="10" t="s">
        <v>82</v>
      </c>
      <c r="F67" s="10" t="s">
        <v>76</v>
      </c>
      <c r="G67" s="10">
        <v>9.0</v>
      </c>
    </row>
    <row r="68">
      <c r="A68" s="10">
        <v>65.0</v>
      </c>
      <c r="B68" s="11" t="s">
        <v>28</v>
      </c>
      <c r="C68" s="12">
        <v>3.0</v>
      </c>
      <c r="D68" s="14" t="s">
        <v>81</v>
      </c>
      <c r="E68" s="10" t="s">
        <v>83</v>
      </c>
      <c r="F68" s="10" t="s">
        <v>76</v>
      </c>
      <c r="G68" s="10">
        <v>9.0</v>
      </c>
    </row>
    <row r="69">
      <c r="A69" s="10">
        <v>66.0</v>
      </c>
      <c r="B69" s="11" t="s">
        <v>28</v>
      </c>
      <c r="C69" s="12">
        <v>3.0</v>
      </c>
      <c r="D69" s="14" t="s">
        <v>81</v>
      </c>
      <c r="E69" s="10" t="s">
        <v>84</v>
      </c>
      <c r="F69" s="10" t="s">
        <v>76</v>
      </c>
      <c r="G69" s="10">
        <v>9.0</v>
      </c>
    </row>
    <row r="70">
      <c r="A70" s="10">
        <v>67.0</v>
      </c>
      <c r="B70" s="11" t="s">
        <v>28</v>
      </c>
      <c r="C70" s="12">
        <v>3.0</v>
      </c>
      <c r="D70" s="14" t="s">
        <v>81</v>
      </c>
      <c r="E70" s="10" t="s">
        <v>85</v>
      </c>
      <c r="F70" s="10" t="s">
        <v>76</v>
      </c>
      <c r="G70" s="10">
        <v>9.0</v>
      </c>
    </row>
    <row r="71">
      <c r="A71" s="10">
        <v>68.0</v>
      </c>
      <c r="B71" s="11" t="s">
        <v>28</v>
      </c>
      <c r="C71" s="12">
        <v>3.0</v>
      </c>
      <c r="D71" s="14" t="s">
        <v>81</v>
      </c>
      <c r="E71" s="10" t="s">
        <v>54</v>
      </c>
      <c r="F71" s="10" t="s">
        <v>76</v>
      </c>
      <c r="G71" s="10">
        <v>9.0</v>
      </c>
    </row>
    <row r="72">
      <c r="A72" s="10">
        <v>69.0</v>
      </c>
      <c r="B72" s="11" t="s">
        <v>28</v>
      </c>
      <c r="C72" s="12">
        <v>3.0</v>
      </c>
      <c r="D72" s="14" t="s">
        <v>81</v>
      </c>
      <c r="E72" s="10" t="s">
        <v>86</v>
      </c>
      <c r="F72" s="10" t="s">
        <v>76</v>
      </c>
      <c r="G72" s="10">
        <v>9.0</v>
      </c>
    </row>
    <row r="73">
      <c r="A73" s="10">
        <v>70.0</v>
      </c>
      <c r="B73" s="11" t="s">
        <v>28</v>
      </c>
      <c r="C73" s="12">
        <v>3.0</v>
      </c>
      <c r="D73" s="14" t="s">
        <v>81</v>
      </c>
      <c r="E73" s="10" t="s">
        <v>87</v>
      </c>
      <c r="F73" s="10" t="s">
        <v>76</v>
      </c>
      <c r="G73" s="10">
        <v>9.0</v>
      </c>
    </row>
    <row r="74">
      <c r="A74" s="10">
        <v>71.0</v>
      </c>
      <c r="B74" s="11" t="s">
        <v>28</v>
      </c>
      <c r="C74" s="12">
        <v>3.0</v>
      </c>
      <c r="D74" s="14" t="s">
        <v>88</v>
      </c>
      <c r="E74" s="10" t="s">
        <v>89</v>
      </c>
      <c r="F74" s="10" t="s">
        <v>76</v>
      </c>
      <c r="G74" s="10">
        <v>9.0</v>
      </c>
    </row>
    <row r="75">
      <c r="A75" s="10">
        <v>72.0</v>
      </c>
      <c r="B75" s="11" t="s">
        <v>28</v>
      </c>
      <c r="C75" s="12">
        <v>3.0</v>
      </c>
      <c r="D75" s="14" t="s">
        <v>88</v>
      </c>
      <c r="E75" s="10" t="s">
        <v>90</v>
      </c>
      <c r="F75" s="10" t="s">
        <v>76</v>
      </c>
      <c r="G75" s="10">
        <v>9.0</v>
      </c>
    </row>
    <row r="76">
      <c r="A76" s="10">
        <v>73.0</v>
      </c>
      <c r="B76" s="11" t="s">
        <v>28</v>
      </c>
      <c r="C76" s="12">
        <v>3.0</v>
      </c>
      <c r="D76" s="14" t="s">
        <v>88</v>
      </c>
      <c r="E76" s="10" t="s">
        <v>91</v>
      </c>
      <c r="F76" s="10" t="s">
        <v>76</v>
      </c>
      <c r="G76" s="10">
        <v>10.0</v>
      </c>
    </row>
    <row r="77">
      <c r="A77" s="10">
        <v>74.0</v>
      </c>
      <c r="B77" s="11" t="s">
        <v>28</v>
      </c>
      <c r="C77" s="12">
        <v>3.0</v>
      </c>
      <c r="D77" s="14" t="s">
        <v>88</v>
      </c>
      <c r="E77" s="10" t="s">
        <v>92</v>
      </c>
      <c r="F77" s="10" t="s">
        <v>76</v>
      </c>
      <c r="G77" s="10">
        <v>10.0</v>
      </c>
    </row>
    <row r="78">
      <c r="A78" s="10">
        <v>75.0</v>
      </c>
      <c r="B78" s="11" t="s">
        <v>28</v>
      </c>
      <c r="C78" s="12">
        <v>3.0</v>
      </c>
      <c r="D78" s="14" t="s">
        <v>88</v>
      </c>
      <c r="E78" s="10" t="s">
        <v>26</v>
      </c>
      <c r="F78" s="10" t="s">
        <v>76</v>
      </c>
      <c r="G78" s="10">
        <v>10.0</v>
      </c>
    </row>
    <row r="79">
      <c r="A79" s="10">
        <v>76.0</v>
      </c>
      <c r="B79" s="11" t="s">
        <v>28</v>
      </c>
      <c r="C79" s="12">
        <v>3.0</v>
      </c>
      <c r="D79" s="14" t="s">
        <v>88</v>
      </c>
      <c r="E79" s="10" t="s">
        <v>93</v>
      </c>
      <c r="F79" s="10" t="s">
        <v>76</v>
      </c>
      <c r="G79" s="10">
        <v>10.0</v>
      </c>
    </row>
    <row r="80">
      <c r="A80" s="10">
        <v>77.0</v>
      </c>
      <c r="B80" s="11" t="s">
        <v>28</v>
      </c>
      <c r="C80" s="12">
        <v>3.0</v>
      </c>
      <c r="D80" s="14" t="s">
        <v>88</v>
      </c>
      <c r="E80" s="10" t="s">
        <v>94</v>
      </c>
      <c r="F80" s="10" t="s">
        <v>76</v>
      </c>
      <c r="G80" s="10">
        <v>10.0</v>
      </c>
    </row>
    <row r="81">
      <c r="A81" s="10">
        <v>78.0</v>
      </c>
      <c r="B81" s="11" t="s">
        <v>95</v>
      </c>
      <c r="C81" s="12">
        <v>4.0</v>
      </c>
      <c r="D81" s="14" t="s">
        <v>96</v>
      </c>
      <c r="E81" s="10" t="s">
        <v>97</v>
      </c>
      <c r="F81" s="10" t="s">
        <v>76</v>
      </c>
      <c r="G81" s="10">
        <v>10.0</v>
      </c>
    </row>
    <row r="82">
      <c r="A82" s="10">
        <v>79.0</v>
      </c>
      <c r="B82" s="11" t="s">
        <v>95</v>
      </c>
      <c r="C82" s="12">
        <v>4.0</v>
      </c>
      <c r="D82" s="14" t="s">
        <v>96</v>
      </c>
      <c r="E82" s="10" t="s">
        <v>98</v>
      </c>
      <c r="F82" s="10" t="s">
        <v>76</v>
      </c>
      <c r="G82" s="10">
        <v>10.0</v>
      </c>
    </row>
    <row r="83">
      <c r="A83" s="10">
        <v>80.0</v>
      </c>
      <c r="B83" s="11" t="s">
        <v>95</v>
      </c>
      <c r="C83" s="12">
        <v>4.0</v>
      </c>
      <c r="D83" s="14" t="s">
        <v>96</v>
      </c>
      <c r="E83" s="10" t="s">
        <v>99</v>
      </c>
      <c r="F83" s="10" t="s">
        <v>76</v>
      </c>
      <c r="G83" s="10">
        <v>10.0</v>
      </c>
    </row>
    <row r="84">
      <c r="A84" s="10">
        <v>81.0</v>
      </c>
      <c r="B84" s="11" t="s">
        <v>95</v>
      </c>
      <c r="C84" s="12">
        <v>4.0</v>
      </c>
      <c r="D84" s="14" t="s">
        <v>96</v>
      </c>
      <c r="E84" s="10" t="s">
        <v>100</v>
      </c>
      <c r="F84" s="10" t="s">
        <v>76</v>
      </c>
      <c r="G84" s="10">
        <v>10.0</v>
      </c>
    </row>
    <row r="85">
      <c r="A85" s="10">
        <v>82.0</v>
      </c>
      <c r="B85" s="11" t="s">
        <v>95</v>
      </c>
      <c r="C85" s="12">
        <v>4.0</v>
      </c>
      <c r="D85" s="14" t="s">
        <v>96</v>
      </c>
      <c r="E85" s="10" t="s">
        <v>101</v>
      </c>
      <c r="F85" s="10" t="s">
        <v>76</v>
      </c>
      <c r="G85" s="10">
        <v>10.0</v>
      </c>
    </row>
    <row r="86">
      <c r="A86" s="10">
        <v>83.0</v>
      </c>
      <c r="B86" s="11" t="s">
        <v>95</v>
      </c>
      <c r="C86" s="12">
        <v>4.0</v>
      </c>
      <c r="D86" s="14" t="s">
        <v>96</v>
      </c>
      <c r="E86" s="10" t="s">
        <v>102</v>
      </c>
      <c r="F86" s="10" t="s">
        <v>103</v>
      </c>
      <c r="G86" s="10">
        <v>10.0</v>
      </c>
    </row>
    <row r="87">
      <c r="A87" s="10">
        <v>84.0</v>
      </c>
      <c r="B87" s="11" t="s">
        <v>95</v>
      </c>
      <c r="C87" s="12">
        <v>4.0</v>
      </c>
      <c r="D87" s="14" t="s">
        <v>96</v>
      </c>
      <c r="E87" s="10" t="s">
        <v>104</v>
      </c>
      <c r="F87" s="10" t="s">
        <v>103</v>
      </c>
      <c r="G87" s="10">
        <v>10.0</v>
      </c>
    </row>
    <row r="88">
      <c r="A88" s="10">
        <v>85.0</v>
      </c>
      <c r="B88" s="11" t="s">
        <v>105</v>
      </c>
      <c r="C88" s="12">
        <v>4.0</v>
      </c>
      <c r="D88" s="14" t="s">
        <v>106</v>
      </c>
      <c r="E88" s="10" t="s">
        <v>107</v>
      </c>
      <c r="F88" s="10" t="s">
        <v>103</v>
      </c>
      <c r="G88" s="10">
        <v>11.0</v>
      </c>
    </row>
    <row r="89">
      <c r="A89" s="10">
        <v>86.0</v>
      </c>
      <c r="B89" s="11" t="s">
        <v>105</v>
      </c>
      <c r="C89" s="12">
        <v>4.0</v>
      </c>
      <c r="D89" s="14" t="s">
        <v>106</v>
      </c>
      <c r="E89" s="10" t="s">
        <v>108</v>
      </c>
      <c r="F89" s="10" t="s">
        <v>103</v>
      </c>
      <c r="G89" s="10">
        <v>11.0</v>
      </c>
    </row>
    <row r="90">
      <c r="A90" s="10">
        <v>87.0</v>
      </c>
      <c r="B90" s="11" t="s">
        <v>105</v>
      </c>
      <c r="C90" s="12">
        <v>4.0</v>
      </c>
      <c r="D90" s="14" t="s">
        <v>106</v>
      </c>
      <c r="E90" s="10" t="s">
        <v>109</v>
      </c>
      <c r="F90" s="10" t="s">
        <v>103</v>
      </c>
      <c r="G90" s="10">
        <v>11.0</v>
      </c>
    </row>
    <row r="91">
      <c r="A91" s="10">
        <v>88.0</v>
      </c>
      <c r="B91" s="11" t="s">
        <v>105</v>
      </c>
      <c r="C91" s="12">
        <v>4.0</v>
      </c>
      <c r="D91" s="14" t="s">
        <v>106</v>
      </c>
      <c r="E91" s="10" t="s">
        <v>110</v>
      </c>
      <c r="F91" s="10" t="s">
        <v>103</v>
      </c>
      <c r="G91" s="10">
        <v>11.0</v>
      </c>
    </row>
    <row r="92">
      <c r="A92" s="10">
        <v>89.0</v>
      </c>
      <c r="B92" s="11" t="s">
        <v>105</v>
      </c>
      <c r="C92" s="12">
        <v>4.0</v>
      </c>
      <c r="D92" s="14" t="s">
        <v>106</v>
      </c>
      <c r="E92" s="10" t="s">
        <v>34</v>
      </c>
      <c r="F92" s="10" t="s">
        <v>103</v>
      </c>
      <c r="G92" s="10">
        <v>11.0</v>
      </c>
    </row>
    <row r="93">
      <c r="A93" s="10">
        <v>90.0</v>
      </c>
      <c r="B93" s="11" t="s">
        <v>105</v>
      </c>
      <c r="C93" s="12">
        <v>4.0</v>
      </c>
      <c r="D93" s="14" t="s">
        <v>106</v>
      </c>
      <c r="E93" s="10" t="s">
        <v>111</v>
      </c>
      <c r="F93" s="10" t="s">
        <v>103</v>
      </c>
      <c r="G93" s="10">
        <v>11.0</v>
      </c>
    </row>
    <row r="94">
      <c r="A94" s="10">
        <v>91.0</v>
      </c>
      <c r="B94" s="11" t="s">
        <v>105</v>
      </c>
      <c r="C94" s="12">
        <v>4.0</v>
      </c>
      <c r="D94" s="14" t="s">
        <v>106</v>
      </c>
      <c r="E94" s="10" t="s">
        <v>112</v>
      </c>
      <c r="F94" s="10" t="s">
        <v>103</v>
      </c>
      <c r="G94" s="10">
        <v>11.0</v>
      </c>
    </row>
    <row r="95">
      <c r="A95" s="10">
        <v>92.0</v>
      </c>
      <c r="B95" s="11" t="s">
        <v>105</v>
      </c>
      <c r="C95" s="12">
        <v>5.0</v>
      </c>
      <c r="D95" s="14" t="s">
        <v>113</v>
      </c>
      <c r="E95" s="10" t="s">
        <v>114</v>
      </c>
      <c r="F95" s="10" t="s">
        <v>103</v>
      </c>
      <c r="G95" s="10">
        <v>11.0</v>
      </c>
    </row>
    <row r="96">
      <c r="A96" s="10">
        <v>93.0</v>
      </c>
      <c r="B96" s="11" t="s">
        <v>105</v>
      </c>
      <c r="C96" s="12">
        <v>5.0</v>
      </c>
      <c r="D96" s="14" t="s">
        <v>113</v>
      </c>
      <c r="E96" s="10" t="s">
        <v>115</v>
      </c>
      <c r="F96" s="10" t="s">
        <v>103</v>
      </c>
      <c r="G96" s="10">
        <v>11.0</v>
      </c>
    </row>
    <row r="97">
      <c r="A97" s="10">
        <v>94.0</v>
      </c>
      <c r="B97" s="11" t="s">
        <v>105</v>
      </c>
      <c r="C97" s="12">
        <v>5.0</v>
      </c>
      <c r="D97" s="14" t="s">
        <v>113</v>
      </c>
      <c r="E97" s="10" t="s">
        <v>116</v>
      </c>
      <c r="F97" s="10" t="s">
        <v>103</v>
      </c>
      <c r="G97" s="10">
        <v>11.0</v>
      </c>
    </row>
    <row r="98">
      <c r="A98" s="10">
        <v>95.0</v>
      </c>
      <c r="B98" s="11" t="s">
        <v>105</v>
      </c>
      <c r="C98" s="12">
        <v>5.0</v>
      </c>
      <c r="D98" s="14" t="s">
        <v>113</v>
      </c>
      <c r="E98" s="10" t="s">
        <v>117</v>
      </c>
      <c r="F98" s="10" t="s">
        <v>103</v>
      </c>
      <c r="G98" s="10">
        <v>11.0</v>
      </c>
    </row>
    <row r="99">
      <c r="A99" s="10">
        <v>96.0</v>
      </c>
      <c r="B99" s="11" t="s">
        <v>105</v>
      </c>
      <c r="C99" s="12">
        <v>5.0</v>
      </c>
      <c r="D99" s="14" t="s">
        <v>113</v>
      </c>
      <c r="E99" s="10" t="s">
        <v>118</v>
      </c>
      <c r="F99" s="10" t="s">
        <v>103</v>
      </c>
      <c r="G99" s="10">
        <v>11.0</v>
      </c>
    </row>
    <row r="100">
      <c r="A100" s="10">
        <v>97.0</v>
      </c>
      <c r="B100" s="11" t="s">
        <v>105</v>
      </c>
      <c r="C100" s="12">
        <v>5.0</v>
      </c>
      <c r="D100" s="14" t="s">
        <v>113</v>
      </c>
      <c r="E100" s="10" t="s">
        <v>34</v>
      </c>
      <c r="F100" s="10" t="s">
        <v>103</v>
      </c>
      <c r="G100" s="10">
        <v>11.0</v>
      </c>
    </row>
    <row r="101">
      <c r="A101" s="10">
        <v>98.0</v>
      </c>
      <c r="B101" s="11" t="s">
        <v>105</v>
      </c>
      <c r="C101" s="12">
        <v>5.0</v>
      </c>
      <c r="D101" s="14" t="s">
        <v>113</v>
      </c>
      <c r="E101" s="10" t="s">
        <v>119</v>
      </c>
      <c r="F101" s="10" t="s">
        <v>103</v>
      </c>
      <c r="G101" s="10">
        <v>11.0</v>
      </c>
    </row>
    <row r="102">
      <c r="B102" s="16"/>
    </row>
    <row r="103">
      <c r="B103" s="16"/>
    </row>
    <row r="104">
      <c r="B104" s="16"/>
    </row>
    <row r="105">
      <c r="B105" s="16"/>
    </row>
    <row r="106">
      <c r="B106" s="16"/>
    </row>
    <row r="107">
      <c r="B107" s="16"/>
    </row>
    <row r="108">
      <c r="B108" s="16"/>
    </row>
    <row r="109">
      <c r="B109" s="16"/>
    </row>
    <row r="110">
      <c r="B110" s="16"/>
    </row>
    <row r="111">
      <c r="B111" s="16"/>
    </row>
    <row r="112">
      <c r="B112" s="16"/>
    </row>
    <row r="113">
      <c r="B113" s="16"/>
    </row>
    <row r="114">
      <c r="B114" s="16"/>
    </row>
    <row r="115">
      <c r="B115" s="16"/>
    </row>
    <row r="116">
      <c r="B116" s="16"/>
    </row>
    <row r="117">
      <c r="B117" s="16"/>
    </row>
    <row r="118">
      <c r="B118" s="16"/>
    </row>
    <row r="119">
      <c r="B119" s="16"/>
    </row>
    <row r="120">
      <c r="B120" s="16"/>
    </row>
    <row r="121">
      <c r="B121" s="16"/>
    </row>
    <row r="122">
      <c r="B122" s="16"/>
    </row>
    <row r="123">
      <c r="B123" s="16"/>
    </row>
    <row r="124">
      <c r="B124" s="16"/>
    </row>
    <row r="125">
      <c r="B125" s="16"/>
    </row>
    <row r="126">
      <c r="B126" s="16"/>
    </row>
    <row r="127">
      <c r="B127" s="16"/>
    </row>
    <row r="128">
      <c r="B128" s="16"/>
    </row>
    <row r="129">
      <c r="B129" s="16"/>
    </row>
    <row r="130">
      <c r="B130" s="16"/>
    </row>
    <row r="131">
      <c r="B131" s="16"/>
    </row>
    <row r="132">
      <c r="B132" s="16"/>
    </row>
    <row r="133">
      <c r="B133" s="16"/>
    </row>
    <row r="134">
      <c r="B134" s="16"/>
    </row>
    <row r="135">
      <c r="B135" s="16"/>
    </row>
    <row r="136">
      <c r="B136" s="16"/>
    </row>
    <row r="137">
      <c r="B137" s="16"/>
    </row>
    <row r="138">
      <c r="B138" s="16"/>
    </row>
    <row r="139">
      <c r="B139" s="16"/>
    </row>
    <row r="140">
      <c r="B140" s="16"/>
    </row>
    <row r="141">
      <c r="B141" s="16"/>
    </row>
    <row r="142">
      <c r="B142" s="16"/>
    </row>
    <row r="143">
      <c r="B143" s="16"/>
    </row>
    <row r="144">
      <c r="B144" s="16"/>
    </row>
    <row r="145">
      <c r="B145" s="16"/>
    </row>
    <row r="146">
      <c r="B146" s="16"/>
    </row>
    <row r="147">
      <c r="B147" s="16"/>
    </row>
    <row r="148">
      <c r="B148" s="16"/>
    </row>
    <row r="149">
      <c r="B149" s="16"/>
    </row>
    <row r="150">
      <c r="B150" s="16"/>
    </row>
    <row r="151">
      <c r="B151" s="16"/>
    </row>
    <row r="152">
      <c r="B152" s="16"/>
    </row>
    <row r="153">
      <c r="B153" s="16"/>
    </row>
    <row r="154">
      <c r="B154" s="16"/>
    </row>
    <row r="155">
      <c r="B155" s="16"/>
    </row>
    <row r="156">
      <c r="B156" s="16"/>
    </row>
    <row r="157">
      <c r="B157" s="16"/>
    </row>
    <row r="158">
      <c r="B158" s="16"/>
    </row>
    <row r="159">
      <c r="B159" s="16"/>
    </row>
    <row r="160">
      <c r="B160" s="16"/>
    </row>
    <row r="161">
      <c r="B161" s="16"/>
    </row>
    <row r="162">
      <c r="B162" s="16"/>
    </row>
    <row r="163">
      <c r="B163" s="16"/>
    </row>
    <row r="164">
      <c r="B164" s="16"/>
    </row>
    <row r="165">
      <c r="B165" s="16"/>
    </row>
    <row r="166">
      <c r="B166" s="16"/>
    </row>
    <row r="167">
      <c r="B167" s="16"/>
    </row>
    <row r="168">
      <c r="B168" s="16"/>
    </row>
    <row r="169">
      <c r="B169" s="16"/>
    </row>
    <row r="170">
      <c r="B170" s="16"/>
    </row>
    <row r="171">
      <c r="B171" s="16"/>
    </row>
    <row r="172">
      <c r="B172" s="16"/>
    </row>
    <row r="173">
      <c r="B173" s="16"/>
    </row>
    <row r="174">
      <c r="B174" s="16"/>
    </row>
    <row r="175">
      <c r="B175" s="16"/>
    </row>
    <row r="176">
      <c r="B176" s="16"/>
    </row>
    <row r="177">
      <c r="B177" s="16"/>
    </row>
    <row r="178">
      <c r="B178" s="16"/>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row r="1001">
      <c r="B1001" s="16"/>
    </row>
    <row r="1002">
      <c r="B1002" s="16"/>
    </row>
  </sheetData>
  <mergeCells count="2">
    <mergeCell ref="B1:E1"/>
    <mergeCell ref="F1:I1"/>
  </mergeCells>
  <dataValidations>
    <dataValidation type="list" allowBlank="1" showErrorMessage="1" sqref="G4:G101">
      <formula1>"1,2,3,4,5,6,7,8,9,10,11,12"</formula1>
    </dataValidation>
    <dataValidation type="list" allowBlank="1" showErrorMessage="1" sqref="F3:F101">
      <formula1>"Julio,Agosto,Septiembre,Octubre,Noviembre"</formula1>
    </dataValidation>
    <dataValidation type="list" allowBlank="1" showErrorMessage="1" sqref="B4:B101">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27.75"/>
    <col customWidth="1" min="4" max="4" width="15.63"/>
  </cols>
  <sheetData>
    <row r="1">
      <c r="A1" s="1" t="s">
        <v>0</v>
      </c>
      <c r="B1" s="17" t="str">
        <f>'Diseño Curricular'!B1</f>
        <v>786 - Sistemas Organizacionales y Gerenciales 1</v>
      </c>
    </row>
    <row r="2">
      <c r="C2" s="18"/>
    </row>
    <row r="3">
      <c r="A3" s="1" t="s">
        <v>9</v>
      </c>
      <c r="B3" s="19">
        <v>0.0</v>
      </c>
    </row>
    <row r="5" ht="54.75" customHeight="1">
      <c r="A5" s="1" t="s">
        <v>120</v>
      </c>
      <c r="B5" s="20"/>
    </row>
    <row r="6">
      <c r="A6" s="19" t="s">
        <v>121</v>
      </c>
      <c r="B6" s="6"/>
      <c r="C6" s="6"/>
      <c r="D6" s="6"/>
      <c r="E6" s="6"/>
      <c r="F6" s="6"/>
    </row>
    <row r="7">
      <c r="A7" s="1"/>
      <c r="B7" s="6"/>
      <c r="C7" s="6"/>
      <c r="D7" s="6"/>
      <c r="E7" s="6"/>
      <c r="F7" s="6"/>
    </row>
    <row r="8">
      <c r="A8" s="1" t="s">
        <v>122</v>
      </c>
      <c r="B8" s="6" t="s">
        <v>123</v>
      </c>
    </row>
    <row r="9">
      <c r="A9" s="21"/>
    </row>
    <row r="10">
      <c r="A10" s="19" t="s">
        <v>3</v>
      </c>
      <c r="B10" s="19" t="s">
        <v>124</v>
      </c>
      <c r="C10" s="5" t="s">
        <v>125</v>
      </c>
      <c r="D10" s="5" t="s">
        <v>126</v>
      </c>
    </row>
    <row r="11">
      <c r="A11" s="5">
        <v>1.0</v>
      </c>
      <c r="B11" s="19" t="s">
        <v>127</v>
      </c>
      <c r="C11" s="5" t="s">
        <v>128</v>
      </c>
    </row>
    <row r="12">
      <c r="A12" s="5">
        <v>2.0</v>
      </c>
      <c r="B12" s="19" t="s">
        <v>129</v>
      </c>
      <c r="C12" s="5" t="s">
        <v>130</v>
      </c>
    </row>
    <row r="13">
      <c r="A13" s="5">
        <v>3.0</v>
      </c>
      <c r="B13" s="19" t="s">
        <v>131</v>
      </c>
      <c r="C13" s="5" t="s">
        <v>132</v>
      </c>
    </row>
    <row r="14">
      <c r="A14" s="5">
        <v>4.0</v>
      </c>
      <c r="B14" s="19" t="s">
        <v>133</v>
      </c>
      <c r="C14" s="5" t="s">
        <v>134</v>
      </c>
    </row>
    <row r="15">
      <c r="A15" s="5">
        <v>5.0</v>
      </c>
      <c r="B15" s="19" t="s">
        <v>135</v>
      </c>
      <c r="C15" s="5" t="s">
        <v>132</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1.0</v>
      </c>
    </row>
    <row r="5" ht="78.75" customHeight="1">
      <c r="A5" s="1" t="s">
        <v>120</v>
      </c>
      <c r="B5" s="20" t="s">
        <v>136</v>
      </c>
    </row>
    <row r="6">
      <c r="A6" s="19" t="s">
        <v>121</v>
      </c>
      <c r="B6" s="6"/>
      <c r="C6" s="6"/>
      <c r="D6" s="6"/>
      <c r="E6" s="6"/>
      <c r="F6" s="6"/>
    </row>
    <row r="7">
      <c r="A7" s="1"/>
      <c r="B7" s="6"/>
      <c r="C7" s="6"/>
      <c r="D7" s="6"/>
      <c r="E7" s="6"/>
      <c r="F7" s="6"/>
    </row>
    <row r="8">
      <c r="A8" s="1" t="s">
        <v>137</v>
      </c>
      <c r="B8" s="6" t="s">
        <v>138</v>
      </c>
    </row>
    <row r="11">
      <c r="A11" s="1" t="s">
        <v>139</v>
      </c>
      <c r="B11" s="5">
        <f>SUM(C36:G36)</f>
        <v>0</v>
      </c>
      <c r="C11" s="22"/>
      <c r="F11" s="23" t="s">
        <v>140</v>
      </c>
      <c r="H11" s="22">
        <f>H25+H45+H53</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25.0</v>
      </c>
      <c r="E16" s="26">
        <v>10.0</v>
      </c>
      <c r="F16" s="26">
        <v>25.0</v>
      </c>
      <c r="G16" s="26">
        <v>20.0</v>
      </c>
      <c r="H16" s="28"/>
    </row>
    <row r="17">
      <c r="A17" s="26" t="s">
        <v>3</v>
      </c>
      <c r="B17" s="26" t="s">
        <v>6</v>
      </c>
      <c r="C17" s="26" t="s">
        <v>7</v>
      </c>
      <c r="D17" s="26"/>
      <c r="E17" s="26"/>
      <c r="F17" s="26"/>
      <c r="G17" s="26"/>
    </row>
    <row r="18">
      <c r="A18" s="10">
        <v>1.0</v>
      </c>
      <c r="B18" s="29" t="str">
        <f>IFERROR(__xludf.DUMMYFUNCTION("FILTER('Diseño Curricular'!D:D,'Diseño Curricular'!G:G=$B$3)"),"Evolución del sistema de información")</f>
        <v>Evolución del sistema de información</v>
      </c>
      <c r="C18" s="29" t="str">
        <f>IFERROR(__xludf.DUMMYFUNCTION("FILTER('Diseño Curricular'!E:E,'Diseño Curricular'!G:G=$B$3)"),"Definición de sistema de información")</f>
        <v>Definición de sistema de información</v>
      </c>
      <c r="D18" s="30" t="s">
        <v>147</v>
      </c>
      <c r="E18" s="31"/>
      <c r="F18" s="31"/>
      <c r="G18" s="31"/>
    </row>
    <row r="19">
      <c r="A19" s="10">
        <v>2.0</v>
      </c>
      <c r="B19" s="29" t="str">
        <f>IFERROR(__xludf.DUMMYFUNCTION("""COMPUTED_VALUE"""),"Evolución del sistema de información")</f>
        <v>Evolución del sistema de información</v>
      </c>
      <c r="C19" s="29" t="str">
        <f>IFERROR(__xludf.DUMMYFUNCTION("""COMPUTED_VALUE"""),"Historia de los sistemas de información")</f>
        <v>Historia de los sistemas de información</v>
      </c>
      <c r="D19" s="30" t="s">
        <v>147</v>
      </c>
      <c r="E19" s="31"/>
      <c r="F19" s="31"/>
      <c r="G19" s="31"/>
    </row>
    <row r="20">
      <c r="A20" s="10">
        <v>3.0</v>
      </c>
      <c r="B20" s="29" t="str">
        <f>IFERROR(__xludf.DUMMYFUNCTION("""COMPUTED_VALUE"""),"Evolución del sistema de información")</f>
        <v>Evolución del sistema de información</v>
      </c>
      <c r="C20" s="29" t="str">
        <f>IFERROR(__xludf.DUMMYFUNCTION("""COMPUTED_VALUE"""),"Tipos de sistemas de información")</f>
        <v>Tipos de sistemas de información</v>
      </c>
      <c r="D20" s="30" t="s">
        <v>147</v>
      </c>
      <c r="E20" s="30" t="s">
        <v>147</v>
      </c>
      <c r="F20" s="31"/>
      <c r="G20" s="30" t="s">
        <v>147</v>
      </c>
    </row>
    <row r="21">
      <c r="A21" s="10">
        <v>4.0</v>
      </c>
      <c r="B21" s="29" t="str">
        <f>IFERROR(__xludf.DUMMYFUNCTION("""COMPUTED_VALUE"""),"Evolución del sistema de información")</f>
        <v>Evolución del sistema de información</v>
      </c>
      <c r="C21" s="29" t="str">
        <f>IFERROR(__xludf.DUMMYFUNCTION("""COMPUTED_VALUE"""),"Importancia en la empresa")</f>
        <v>Importancia en la empresa</v>
      </c>
      <c r="D21" s="30" t="s">
        <v>147</v>
      </c>
      <c r="E21" s="30"/>
      <c r="F21" s="31"/>
      <c r="G21" s="31"/>
    </row>
    <row r="22">
      <c r="A22" s="10">
        <v>5.0</v>
      </c>
      <c r="B22" s="29" t="str">
        <f>IFERROR(__xludf.DUMMYFUNCTION("""COMPUTED_VALUE"""),"Evolución del sistema de información")</f>
        <v>Evolución del sistema de información</v>
      </c>
      <c r="C22" s="29" t="str">
        <f>IFERROR(__xludf.DUMMYFUNCTION("""COMPUTED_VALUE"""),"Desafíos actuales")</f>
        <v>Desafíos actuales</v>
      </c>
      <c r="D22" s="30" t="s">
        <v>147</v>
      </c>
      <c r="E22" s="31"/>
      <c r="F22" s="30"/>
      <c r="G22" s="31"/>
    </row>
    <row r="23">
      <c r="A23" s="10">
        <v>6.0</v>
      </c>
      <c r="B23" s="29" t="str">
        <f>IFERROR(__xludf.DUMMYFUNCTION("""COMPUTED_VALUE"""),"Evolución del sistema de información")</f>
        <v>Evolución del sistema de información</v>
      </c>
      <c r="C23" s="29" t="str">
        <f>IFERROR(__xludf.DUMMYFUNCTION("""COMPUTED_VALUE"""),"Ejemplos de sistemas en empresas")</f>
        <v>Ejemplos de sistemas en empresas</v>
      </c>
      <c r="D23" s="30" t="s">
        <v>147</v>
      </c>
      <c r="E23" s="31"/>
      <c r="F23" s="31"/>
      <c r="G23" s="31"/>
    </row>
    <row r="24">
      <c r="A24" s="10">
        <v>7.0</v>
      </c>
      <c r="B24" s="29" t="str">
        <f>IFERROR(__xludf.DUMMYFUNCTION("""COMPUTED_VALUE"""),"Evolución del sistema de información")</f>
        <v>Evolución del sistema de información</v>
      </c>
      <c r="C24" s="29" t="str">
        <f>IFERROR(__xludf.DUMMYFUNCTION("""COMPUTED_VALUE"""),"Futuro de los sistemas de información")</f>
        <v>Futuro de los sistemas de información</v>
      </c>
      <c r="D24" s="30" t="s">
        <v>147</v>
      </c>
      <c r="E24" s="30" t="s">
        <v>147</v>
      </c>
      <c r="F24" s="31"/>
      <c r="G24" s="31"/>
    </row>
    <row r="25">
      <c r="A25" s="32"/>
      <c r="B25" s="32" t="str">
        <f>IFERROR(__xludf.DUMMYFUNCTION("""COMPUTED_VALUE"""),"Gestión de recursos de información")</f>
        <v>Gestión de recursos de información</v>
      </c>
      <c r="C25" s="32" t="str">
        <f>IFERROR(__xludf.DUMMYFUNCTION("""COMPUTED_VALUE"""),"Fuentes de información")</f>
        <v>Fuentes de información</v>
      </c>
      <c r="D25" s="32"/>
      <c r="E25" s="32"/>
      <c r="F25" s="32"/>
      <c r="G25" s="33" t="s">
        <v>148</v>
      </c>
      <c r="H25" s="32">
        <f>SUM(D16:G16)</f>
        <v>80</v>
      </c>
    </row>
    <row r="26">
      <c r="A26" s="5" t="s">
        <v>149</v>
      </c>
      <c r="B26" s="34" t="str">
        <f>IFERROR(__xludf.DUMMYFUNCTION("""COMPUTED_VALUE"""),"Gestión de recursos de información")</f>
        <v>Gestión de recursos de información</v>
      </c>
      <c r="C26" s="34" t="str">
        <f>IFERROR(__xludf.DUMMYFUNCTION("""COMPUTED_VALUE"""),"Clasificación de la información")</f>
        <v>Clasificación de la información</v>
      </c>
    </row>
    <row r="27">
      <c r="A27" s="5" t="s">
        <v>150</v>
      </c>
      <c r="E27" s="16"/>
    </row>
    <row r="28">
      <c r="A28" s="35"/>
    </row>
    <row r="29">
      <c r="A29" s="24" t="s">
        <v>151</v>
      </c>
      <c r="B29" s="36"/>
      <c r="C29" s="36"/>
      <c r="D29" s="36"/>
      <c r="E29" s="36"/>
      <c r="F29" s="36"/>
      <c r="G29" s="36"/>
      <c r="H29" s="36"/>
    </row>
    <row r="30">
      <c r="A30" s="5" t="s">
        <v>152</v>
      </c>
      <c r="B30" s="22"/>
      <c r="C30" s="22"/>
      <c r="D30" s="22"/>
      <c r="E30" s="22"/>
      <c r="F30" s="22"/>
      <c r="G30" s="22"/>
      <c r="H30" s="37"/>
    </row>
    <row r="31">
      <c r="A31" s="5" t="s">
        <v>153</v>
      </c>
      <c r="B31" s="22"/>
      <c r="C31" s="22"/>
      <c r="D31" s="22"/>
      <c r="E31" s="22"/>
      <c r="F31" s="22"/>
      <c r="G31" s="22"/>
      <c r="H31" s="37"/>
    </row>
    <row r="32">
      <c r="A32" s="22"/>
      <c r="B32" s="22"/>
      <c r="C32" s="22"/>
      <c r="D32" s="22"/>
      <c r="E32" s="22"/>
      <c r="F32" s="22"/>
      <c r="G32" s="22"/>
      <c r="H32" s="37"/>
    </row>
    <row r="33">
      <c r="A33" s="38" t="s">
        <v>3</v>
      </c>
      <c r="B33" s="26" t="s">
        <v>154</v>
      </c>
      <c r="C33" s="39" t="s">
        <v>155</v>
      </c>
      <c r="D33" s="26" t="s">
        <v>156</v>
      </c>
      <c r="E33" s="26" t="s">
        <v>124</v>
      </c>
      <c r="F33" s="26" t="s">
        <v>144</v>
      </c>
      <c r="G33" s="40" t="s">
        <v>157</v>
      </c>
      <c r="H33" s="37"/>
    </row>
    <row r="34">
      <c r="A34" s="41"/>
      <c r="B34" s="27" t="s">
        <v>158</v>
      </c>
      <c r="C34" s="27">
        <v>25.0</v>
      </c>
      <c r="D34" s="27">
        <v>25.0</v>
      </c>
      <c r="E34" s="27">
        <v>25.0</v>
      </c>
      <c r="F34" s="27">
        <v>25.0</v>
      </c>
      <c r="G34" s="27">
        <v>15.0</v>
      </c>
      <c r="H34" s="22"/>
    </row>
    <row r="35">
      <c r="A35" s="41"/>
      <c r="B35" s="40" t="s">
        <v>146</v>
      </c>
      <c r="C35" s="26">
        <v>10.0</v>
      </c>
      <c r="D35" s="26"/>
      <c r="E35" s="26"/>
      <c r="F35" s="26"/>
      <c r="G35" s="29"/>
      <c r="H35" s="22"/>
    </row>
    <row r="36">
      <c r="A36" s="41"/>
      <c r="B36" s="26" t="s">
        <v>139</v>
      </c>
      <c r="C36" s="26"/>
      <c r="D36" s="26"/>
      <c r="E36" s="26"/>
      <c r="F36" s="26"/>
      <c r="G36" s="10"/>
      <c r="H36" s="22"/>
    </row>
    <row r="37">
      <c r="A37" s="42"/>
      <c r="B37" s="26" t="s">
        <v>4</v>
      </c>
      <c r="C37" s="26"/>
      <c r="D37" s="26"/>
      <c r="E37" s="26"/>
      <c r="F37" s="26"/>
      <c r="G37" s="29"/>
      <c r="H37" s="22"/>
    </row>
    <row r="38">
      <c r="A38" s="10">
        <v>1.0</v>
      </c>
      <c r="B38" s="11" t="s">
        <v>159</v>
      </c>
      <c r="C38" s="10" t="s">
        <v>147</v>
      </c>
      <c r="D38" s="29"/>
      <c r="E38" s="29"/>
      <c r="F38" s="29"/>
      <c r="G38" s="29"/>
    </row>
    <row r="39">
      <c r="A39" s="10">
        <v>2.0</v>
      </c>
      <c r="B39" s="11" t="s">
        <v>160</v>
      </c>
      <c r="C39" s="10" t="s">
        <v>147</v>
      </c>
      <c r="D39" s="29"/>
      <c r="E39" s="29"/>
      <c r="F39" s="29"/>
      <c r="G39" s="29"/>
    </row>
    <row r="40">
      <c r="A40" s="10">
        <v>3.0</v>
      </c>
      <c r="B40" s="11"/>
      <c r="C40" s="29"/>
      <c r="D40" s="29"/>
      <c r="E40" s="29"/>
      <c r="F40" s="29"/>
      <c r="G40" s="29"/>
    </row>
    <row r="41">
      <c r="A41" s="10">
        <v>4.0</v>
      </c>
      <c r="B41" s="11"/>
      <c r="C41" s="29"/>
      <c r="D41" s="29"/>
      <c r="E41" s="29"/>
      <c r="F41" s="29"/>
      <c r="G41" s="29"/>
    </row>
    <row r="42">
      <c r="A42" s="10">
        <v>5.0</v>
      </c>
      <c r="B42" s="11"/>
      <c r="C42" s="29"/>
      <c r="D42" s="29"/>
      <c r="E42" s="29"/>
      <c r="F42" s="29"/>
      <c r="G42" s="29"/>
    </row>
    <row r="43">
      <c r="A43" s="10">
        <v>6.0</v>
      </c>
      <c r="B43" s="11"/>
      <c r="C43" s="29"/>
      <c r="D43" s="29"/>
      <c r="E43" s="29"/>
      <c r="F43" s="29"/>
      <c r="G43" s="29"/>
    </row>
    <row r="44">
      <c r="A44" s="10">
        <v>7.0</v>
      </c>
      <c r="B44" s="11"/>
      <c r="C44" s="29"/>
      <c r="D44" s="29"/>
      <c r="E44" s="29"/>
      <c r="F44" s="10"/>
      <c r="G44" s="29"/>
    </row>
    <row r="45">
      <c r="A45" s="43"/>
      <c r="B45" s="43"/>
      <c r="C45" s="43"/>
      <c r="D45" s="43"/>
      <c r="E45" s="43"/>
      <c r="F45" s="44"/>
      <c r="G45" s="45" t="s">
        <v>148</v>
      </c>
      <c r="H45" s="43">
        <f>SUM(C35:G35)</f>
        <v>10</v>
      </c>
    </row>
    <row r="46">
      <c r="A46" s="5" t="s">
        <v>149</v>
      </c>
      <c r="F46" s="5"/>
    </row>
    <row r="47">
      <c r="A47" s="5" t="s">
        <v>161</v>
      </c>
      <c r="F47" s="5"/>
    </row>
    <row r="48">
      <c r="A48" s="24" t="s">
        <v>162</v>
      </c>
      <c r="B48" s="36"/>
      <c r="C48" s="36"/>
      <c r="D48" s="36"/>
      <c r="E48" s="36"/>
      <c r="F48" s="36"/>
      <c r="G48" s="36"/>
      <c r="H48" s="36"/>
    </row>
    <row r="50">
      <c r="A50" s="10" t="s">
        <v>3</v>
      </c>
      <c r="B50" s="10"/>
      <c r="C50" s="29"/>
      <c r="D50" s="29"/>
      <c r="E50" s="29"/>
      <c r="F50" s="10" t="s">
        <v>154</v>
      </c>
      <c r="G50" s="26" t="s">
        <v>163</v>
      </c>
    </row>
    <row r="51">
      <c r="A51" s="10">
        <v>1.0</v>
      </c>
      <c r="B51" s="10" t="s">
        <v>164</v>
      </c>
      <c r="C51" s="29"/>
      <c r="D51" s="29"/>
      <c r="E51" s="29"/>
      <c r="F51" s="46" t="s">
        <v>158</v>
      </c>
      <c r="G51" s="46">
        <v>10.0</v>
      </c>
    </row>
    <row r="52">
      <c r="A52" s="29"/>
      <c r="B52" s="29"/>
      <c r="C52" s="29"/>
      <c r="D52" s="29"/>
      <c r="E52" s="29"/>
      <c r="F52" s="10" t="s">
        <v>146</v>
      </c>
      <c r="G52" s="47">
        <v>10.0</v>
      </c>
    </row>
    <row r="53">
      <c r="A53" s="43"/>
      <c r="B53" s="43"/>
      <c r="C53" s="43"/>
      <c r="D53" s="43"/>
      <c r="E53" s="43"/>
      <c r="F53" s="43"/>
      <c r="G53" s="45" t="s">
        <v>148</v>
      </c>
      <c r="H53" s="43">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2.0</v>
      </c>
    </row>
    <row r="5" ht="78.75" customHeight="1">
      <c r="A5" s="1" t="s">
        <v>120</v>
      </c>
      <c r="B5" s="20" t="s">
        <v>165</v>
      </c>
    </row>
    <row r="6">
      <c r="A6" s="19" t="s">
        <v>121</v>
      </c>
      <c r="B6" s="6"/>
      <c r="C6" s="6"/>
      <c r="D6" s="6"/>
      <c r="E6" s="6"/>
      <c r="F6" s="6"/>
    </row>
    <row r="7">
      <c r="A7" s="1"/>
      <c r="B7" s="6"/>
      <c r="C7" s="6"/>
      <c r="D7" s="6"/>
      <c r="E7" s="6"/>
      <c r="F7" s="6"/>
    </row>
    <row r="8">
      <c r="A8" s="1" t="s">
        <v>137</v>
      </c>
      <c r="B8" s="6" t="s">
        <v>138</v>
      </c>
    </row>
    <row r="11">
      <c r="A11" s="1" t="s">
        <v>139</v>
      </c>
      <c r="B11" s="5">
        <f>SUM(C36:G36)</f>
        <v>0</v>
      </c>
      <c r="C11" s="22"/>
      <c r="F11" s="23" t="s">
        <v>140</v>
      </c>
      <c r="H11" s="22">
        <f>H25+H45+H53</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25.0</v>
      </c>
      <c r="E16" s="26">
        <v>10.0</v>
      </c>
      <c r="F16" s="26">
        <v>25.0</v>
      </c>
      <c r="G16" s="26">
        <v>20.0</v>
      </c>
      <c r="H16" s="28"/>
    </row>
    <row r="17">
      <c r="A17" s="26" t="s">
        <v>3</v>
      </c>
      <c r="B17" s="26" t="s">
        <v>6</v>
      </c>
      <c r="C17" s="26" t="s">
        <v>7</v>
      </c>
      <c r="D17" s="26"/>
      <c r="E17" s="26"/>
      <c r="F17" s="26"/>
      <c r="G17" s="26"/>
    </row>
    <row r="18">
      <c r="A18" s="10">
        <v>1.0</v>
      </c>
      <c r="B18" s="29" t="str">
        <f>IFERROR(__xludf.DUMMYFUNCTION("FILTER('Diseño Curricular'!D:D,'Diseño Curricular'!G:G=$B$3)"),"Gestión de recursos de información")</f>
        <v>Gestión de recursos de información</v>
      </c>
      <c r="C18" s="29" t="str">
        <f>IFERROR(__xludf.DUMMYFUNCTION("FILTER('Diseño Curricular'!E:E,'Diseño Curricular'!G:G=$B$3)"),"Herramientas de gestión")</f>
        <v>Herramientas de gestión</v>
      </c>
      <c r="D18" s="30" t="s">
        <v>147</v>
      </c>
      <c r="E18" s="31"/>
      <c r="F18" s="30" t="s">
        <v>147</v>
      </c>
      <c r="G18" s="31"/>
    </row>
    <row r="19">
      <c r="A19" s="10">
        <v>2.0</v>
      </c>
      <c r="B19" s="29" t="str">
        <f>IFERROR(__xludf.DUMMYFUNCTION("""COMPUTED_VALUE"""),"Gestión de recursos de información")</f>
        <v>Gestión de recursos de información</v>
      </c>
      <c r="C19" s="29" t="str">
        <f>IFERROR(__xludf.DUMMYFUNCTION("""COMPUTED_VALUE"""),"Procesos de toma de decisiones")</f>
        <v>Procesos de toma de decisiones</v>
      </c>
      <c r="D19" s="30" t="s">
        <v>147</v>
      </c>
      <c r="E19" s="31"/>
      <c r="F19" s="31"/>
      <c r="G19" s="31"/>
    </row>
    <row r="20">
      <c r="A20" s="10">
        <v>3.0</v>
      </c>
      <c r="B20" s="29" t="str">
        <f>IFERROR(__xludf.DUMMYFUNCTION("""COMPUTED_VALUE"""),"Gestión de recursos de información")</f>
        <v>Gestión de recursos de información</v>
      </c>
      <c r="C20" s="29" t="str">
        <f>IFERROR(__xludf.DUMMYFUNCTION("""COMPUTED_VALUE"""),"Ejemplos de gestión efectiva")</f>
        <v>Ejemplos de gestión efectiva</v>
      </c>
      <c r="D20" s="30" t="s">
        <v>147</v>
      </c>
      <c r="E20" s="30"/>
      <c r="F20" s="31"/>
      <c r="G20" s="31"/>
    </row>
    <row r="21">
      <c r="A21" s="10">
        <v>4.0</v>
      </c>
      <c r="B21" s="29" t="str">
        <f>IFERROR(__xludf.DUMMYFUNCTION("""COMPUTED_VALUE"""),"Gestión de recursos de información")</f>
        <v>Gestión de recursos de información</v>
      </c>
      <c r="C21" s="29" t="str">
        <f>IFERROR(__xludf.DUMMYFUNCTION("""COMPUTED_VALUE"""),"Impacto en la organización")</f>
        <v>Impacto en la organización</v>
      </c>
      <c r="D21" s="30" t="s">
        <v>147</v>
      </c>
      <c r="E21" s="31"/>
      <c r="F21" s="31"/>
      <c r="G21" s="30" t="s">
        <v>147</v>
      </c>
    </row>
    <row r="22">
      <c r="A22" s="10">
        <v>5.0</v>
      </c>
      <c r="B22" s="29" t="str">
        <f>IFERROR(__xludf.DUMMYFUNCTION("""COMPUTED_VALUE"""),"Gestión de recursos de información")</f>
        <v>Gestión de recursos de información</v>
      </c>
      <c r="C22" s="29" t="str">
        <f>IFERROR(__xludf.DUMMYFUNCTION("""COMPUTED_VALUE"""),"Estudio de caso")</f>
        <v>Estudio de caso</v>
      </c>
      <c r="D22" s="30" t="s">
        <v>147</v>
      </c>
      <c r="E22" s="30" t="s">
        <v>147</v>
      </c>
      <c r="F22" s="30"/>
      <c r="G22" s="31"/>
    </row>
    <row r="23">
      <c r="A23" s="10">
        <v>6.0</v>
      </c>
      <c r="B23" s="29" t="str">
        <f>IFERROR(__xludf.DUMMYFUNCTION("""COMPUTED_VALUE"""),"Business Analytics")</f>
        <v>Business Analytics</v>
      </c>
      <c r="C23" s="29" t="str">
        <f>IFERROR(__xludf.DUMMYFUNCTION("""COMPUTED_VALUE"""),"Definición de Business Analytics")</f>
        <v>Definición de Business Analytics</v>
      </c>
      <c r="D23" s="30" t="s">
        <v>147</v>
      </c>
      <c r="E23" s="31"/>
      <c r="F23" s="31"/>
      <c r="G23" s="31"/>
    </row>
    <row r="24">
      <c r="A24" s="10">
        <v>7.0</v>
      </c>
      <c r="B24" s="29" t="str">
        <f>IFERROR(__xludf.DUMMYFUNCTION("""COMPUTED_VALUE"""),"Business Analytics")</f>
        <v>Business Analytics</v>
      </c>
      <c r="C24" s="29" t="str">
        <f>IFERROR(__xludf.DUMMYFUNCTION("""COMPUTED_VALUE"""),"Herramientas de análisis")</f>
        <v>Herramientas de análisis</v>
      </c>
      <c r="D24" s="30" t="s">
        <v>147</v>
      </c>
      <c r="E24" s="31"/>
      <c r="F24" s="31"/>
      <c r="G24" s="31"/>
    </row>
    <row r="25">
      <c r="A25" s="32"/>
      <c r="B25" s="32"/>
      <c r="C25" s="32"/>
      <c r="D25" s="32"/>
      <c r="E25" s="32"/>
      <c r="F25" s="32"/>
      <c r="G25" s="33" t="s">
        <v>148</v>
      </c>
      <c r="H25" s="32">
        <f>SUM(D16:G16)</f>
        <v>80</v>
      </c>
    </row>
    <row r="26">
      <c r="A26" s="5" t="s">
        <v>149</v>
      </c>
    </row>
    <row r="27">
      <c r="A27" s="5" t="s">
        <v>150</v>
      </c>
      <c r="E27" s="16"/>
    </row>
    <row r="28">
      <c r="A28" s="35"/>
    </row>
    <row r="29">
      <c r="A29" s="24" t="s">
        <v>151</v>
      </c>
      <c r="B29" s="36"/>
      <c r="C29" s="36"/>
      <c r="D29" s="36"/>
      <c r="E29" s="36"/>
      <c r="F29" s="36"/>
      <c r="G29" s="36"/>
      <c r="H29" s="36"/>
    </row>
    <row r="30">
      <c r="A30" s="5" t="s">
        <v>152</v>
      </c>
      <c r="B30" s="22"/>
      <c r="C30" s="22"/>
      <c r="D30" s="22"/>
      <c r="E30" s="22"/>
      <c r="F30" s="22"/>
      <c r="G30" s="22"/>
      <c r="H30" s="37"/>
    </row>
    <row r="31">
      <c r="A31" s="5" t="s">
        <v>153</v>
      </c>
      <c r="B31" s="22"/>
      <c r="C31" s="22"/>
      <c r="D31" s="22"/>
      <c r="E31" s="22"/>
      <c r="F31" s="22"/>
      <c r="G31" s="22"/>
      <c r="H31" s="37"/>
    </row>
    <row r="32">
      <c r="A32" s="22"/>
      <c r="B32" s="22"/>
      <c r="C32" s="22"/>
      <c r="D32" s="22"/>
      <c r="E32" s="22"/>
      <c r="F32" s="22"/>
      <c r="G32" s="22"/>
      <c r="H32" s="37"/>
    </row>
    <row r="33">
      <c r="A33" s="38" t="s">
        <v>3</v>
      </c>
      <c r="B33" s="26" t="s">
        <v>154</v>
      </c>
      <c r="C33" s="39" t="s">
        <v>155</v>
      </c>
      <c r="D33" s="26" t="s">
        <v>156</v>
      </c>
      <c r="E33" s="26" t="s">
        <v>124</v>
      </c>
      <c r="F33" s="26" t="s">
        <v>144</v>
      </c>
      <c r="G33" s="40" t="s">
        <v>157</v>
      </c>
      <c r="H33" s="37"/>
    </row>
    <row r="34">
      <c r="A34" s="41"/>
      <c r="B34" s="27" t="s">
        <v>158</v>
      </c>
      <c r="C34" s="27">
        <v>25.0</v>
      </c>
      <c r="D34" s="27">
        <v>25.0</v>
      </c>
      <c r="E34" s="27">
        <v>25.0</v>
      </c>
      <c r="F34" s="27">
        <v>25.0</v>
      </c>
      <c r="G34" s="27">
        <v>15.0</v>
      </c>
      <c r="H34" s="22"/>
    </row>
    <row r="35">
      <c r="A35" s="41"/>
      <c r="B35" s="40" t="s">
        <v>146</v>
      </c>
      <c r="C35" s="26">
        <v>10.0</v>
      </c>
      <c r="D35" s="26"/>
      <c r="E35" s="26"/>
      <c r="F35" s="26"/>
      <c r="G35" s="29"/>
      <c r="H35" s="22"/>
    </row>
    <row r="36">
      <c r="A36" s="41"/>
      <c r="B36" s="26" t="s">
        <v>139</v>
      </c>
      <c r="C36" s="26"/>
      <c r="D36" s="26"/>
      <c r="E36" s="26"/>
      <c r="F36" s="26"/>
      <c r="G36" s="29"/>
      <c r="H36" s="22"/>
    </row>
    <row r="37">
      <c r="A37" s="42"/>
      <c r="B37" s="26" t="s">
        <v>4</v>
      </c>
      <c r="C37" s="26"/>
      <c r="D37" s="26"/>
      <c r="E37" s="26"/>
      <c r="F37" s="26"/>
      <c r="G37" s="29"/>
      <c r="H37" s="22"/>
    </row>
    <row r="38">
      <c r="A38" s="10">
        <v>1.0</v>
      </c>
      <c r="B38" s="11" t="s">
        <v>159</v>
      </c>
      <c r="C38" s="31"/>
      <c r="D38" s="31"/>
      <c r="E38" s="31"/>
      <c r="F38" s="31"/>
      <c r="G38" s="31"/>
    </row>
    <row r="39">
      <c r="A39" s="10">
        <v>2.0</v>
      </c>
      <c r="B39" s="11" t="s">
        <v>160</v>
      </c>
      <c r="C39" s="31"/>
      <c r="D39" s="31"/>
      <c r="E39" s="31"/>
      <c r="F39" s="31"/>
      <c r="G39" s="31"/>
    </row>
    <row r="40">
      <c r="A40" s="10">
        <v>3.0</v>
      </c>
      <c r="B40" s="11"/>
      <c r="C40" s="31"/>
      <c r="D40" s="31"/>
      <c r="E40" s="31"/>
      <c r="F40" s="31"/>
      <c r="G40" s="31"/>
    </row>
    <row r="41">
      <c r="A41" s="10">
        <v>4.0</v>
      </c>
      <c r="B41" s="11"/>
      <c r="C41" s="31"/>
      <c r="D41" s="31"/>
      <c r="E41" s="31"/>
      <c r="F41" s="31"/>
      <c r="G41" s="31"/>
    </row>
    <row r="42">
      <c r="A42" s="10">
        <v>5.0</v>
      </c>
      <c r="B42" s="11"/>
      <c r="C42" s="31"/>
      <c r="D42" s="31"/>
      <c r="E42" s="31"/>
      <c r="F42" s="31"/>
      <c r="G42" s="31"/>
    </row>
    <row r="43">
      <c r="A43" s="10">
        <v>6.0</v>
      </c>
      <c r="B43" s="11"/>
      <c r="C43" s="31"/>
      <c r="D43" s="31"/>
      <c r="E43" s="31"/>
      <c r="F43" s="31"/>
      <c r="G43" s="31"/>
    </row>
    <row r="44">
      <c r="A44" s="10">
        <v>7.0</v>
      </c>
      <c r="B44" s="11"/>
      <c r="C44" s="29"/>
      <c r="D44" s="29"/>
      <c r="E44" s="29"/>
      <c r="F44" s="10"/>
      <c r="G44" s="29"/>
    </row>
    <row r="45">
      <c r="A45" s="43"/>
      <c r="B45" s="43"/>
      <c r="C45" s="43"/>
      <c r="D45" s="43"/>
      <c r="E45" s="43"/>
      <c r="F45" s="44"/>
      <c r="G45" s="45" t="s">
        <v>148</v>
      </c>
      <c r="H45" s="43">
        <f>SUM(C35:G35)</f>
        <v>10</v>
      </c>
    </row>
    <row r="46">
      <c r="A46" s="5" t="s">
        <v>149</v>
      </c>
      <c r="F46" s="5"/>
    </row>
    <row r="47">
      <c r="A47" s="5" t="s">
        <v>161</v>
      </c>
      <c r="F47" s="5"/>
    </row>
    <row r="48">
      <c r="A48" s="24" t="s">
        <v>162</v>
      </c>
      <c r="B48" s="36"/>
      <c r="C48" s="36"/>
      <c r="D48" s="36"/>
      <c r="E48" s="36"/>
      <c r="F48" s="36"/>
      <c r="G48" s="36"/>
      <c r="H48" s="36"/>
    </row>
    <row r="50">
      <c r="A50" s="10" t="s">
        <v>3</v>
      </c>
      <c r="B50" s="10"/>
      <c r="C50" s="29"/>
      <c r="D50" s="29"/>
      <c r="E50" s="29"/>
      <c r="F50" s="10" t="s">
        <v>154</v>
      </c>
      <c r="G50" s="26" t="s">
        <v>163</v>
      </c>
    </row>
    <row r="51">
      <c r="A51" s="10">
        <v>1.0</v>
      </c>
      <c r="B51" s="10" t="s">
        <v>164</v>
      </c>
      <c r="C51" s="29"/>
      <c r="D51" s="29"/>
      <c r="E51" s="29"/>
      <c r="F51" s="46" t="s">
        <v>158</v>
      </c>
      <c r="G51" s="46">
        <v>10.0</v>
      </c>
    </row>
    <row r="52">
      <c r="A52" s="29"/>
      <c r="B52" s="29"/>
      <c r="C52" s="29"/>
      <c r="D52" s="29"/>
      <c r="E52" s="29"/>
      <c r="F52" s="10" t="s">
        <v>146</v>
      </c>
      <c r="G52" s="47">
        <v>10.0</v>
      </c>
    </row>
    <row r="53">
      <c r="A53" s="43"/>
      <c r="B53" s="43"/>
      <c r="C53" s="43"/>
      <c r="D53" s="43"/>
      <c r="E53" s="43"/>
      <c r="F53" s="43"/>
      <c r="G53" s="45" t="s">
        <v>148</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3.0</v>
      </c>
    </row>
    <row r="5" ht="78.75" customHeight="1">
      <c r="A5" s="1" t="s">
        <v>120</v>
      </c>
      <c r="B5" s="20" t="s">
        <v>166</v>
      </c>
    </row>
    <row r="6">
      <c r="A6" s="19" t="s">
        <v>121</v>
      </c>
      <c r="B6" s="6"/>
      <c r="C6" s="6"/>
      <c r="D6" s="6"/>
      <c r="E6" s="6"/>
      <c r="F6" s="6"/>
    </row>
    <row r="7">
      <c r="A7" s="1"/>
      <c r="B7" s="6"/>
      <c r="C7" s="6"/>
      <c r="D7" s="6"/>
      <c r="E7" s="6"/>
      <c r="F7" s="6"/>
    </row>
    <row r="8">
      <c r="A8" s="1" t="s">
        <v>137</v>
      </c>
      <c r="B8" s="6" t="s">
        <v>138</v>
      </c>
    </row>
    <row r="11">
      <c r="A11" s="1" t="s">
        <v>139</v>
      </c>
      <c r="B11" s="5">
        <f>SUM(C36:G36)</f>
        <v>0</v>
      </c>
      <c r="C11" s="22"/>
      <c r="F11" s="23" t="s">
        <v>140</v>
      </c>
      <c r="H11" s="22">
        <f>H25+H45+H53</f>
        <v>100</v>
      </c>
    </row>
    <row r="12">
      <c r="A12" s="5"/>
    </row>
    <row r="13">
      <c r="A13" s="24" t="s">
        <v>141</v>
      </c>
      <c r="B13" s="25"/>
      <c r="C13" s="25"/>
      <c r="D13" s="25"/>
      <c r="E13" s="25"/>
      <c r="F13" s="25"/>
      <c r="G13" s="25"/>
      <c r="H13" s="25"/>
    </row>
    <row r="14">
      <c r="A14" s="22"/>
      <c r="B14" s="22"/>
      <c r="C14" s="26" t="s">
        <v>142</v>
      </c>
      <c r="D14" s="26" t="s">
        <v>128</v>
      </c>
      <c r="E14" s="26" t="s">
        <v>143</v>
      </c>
      <c r="F14" s="26" t="s">
        <v>134</v>
      </c>
      <c r="G14" s="40" t="s">
        <v>157</v>
      </c>
      <c r="H14" s="22"/>
    </row>
    <row r="15">
      <c r="A15" s="22"/>
      <c r="B15" s="22"/>
      <c r="C15" s="27" t="s">
        <v>145</v>
      </c>
      <c r="D15" s="27">
        <v>25.0</v>
      </c>
      <c r="E15" s="27">
        <v>10.0</v>
      </c>
      <c r="F15" s="27">
        <v>25.0</v>
      </c>
      <c r="G15" s="27">
        <v>25.0</v>
      </c>
    </row>
    <row r="16">
      <c r="A16" s="22"/>
      <c r="B16" s="22"/>
      <c r="C16" s="26" t="s">
        <v>146</v>
      </c>
      <c r="D16" s="26">
        <v>20.0</v>
      </c>
      <c r="E16" s="26">
        <v>10.0</v>
      </c>
      <c r="F16" s="26">
        <v>25.0</v>
      </c>
      <c r="G16" s="26">
        <v>25.0</v>
      </c>
      <c r="H16" s="28"/>
    </row>
    <row r="17">
      <c r="A17" s="26" t="s">
        <v>3</v>
      </c>
      <c r="B17" s="26" t="s">
        <v>6</v>
      </c>
      <c r="C17" s="26" t="s">
        <v>7</v>
      </c>
      <c r="D17" s="26"/>
      <c r="E17" s="26"/>
      <c r="F17" s="26"/>
      <c r="G17" s="26"/>
    </row>
    <row r="18">
      <c r="A18" s="10">
        <v>1.0</v>
      </c>
      <c r="B18" s="29" t="str">
        <f>IFERROR(__xludf.DUMMYFUNCTION("FILTER('Diseño Curricular'!D:D,'Diseño Curricular'!G:G=$B$3)"),"Business Analytics")</f>
        <v>Business Analytics</v>
      </c>
      <c r="C18" s="29" t="str">
        <f>IFERROR(__xludf.DUMMYFUNCTION("FILTER('Diseño Curricular'!E:E,'Diseño Curricular'!G:G=$B$3)"),"Importancia en la toma de decisiones")</f>
        <v>Importancia en la toma de decisiones</v>
      </c>
      <c r="D18" s="30" t="s">
        <v>147</v>
      </c>
      <c r="E18" s="31"/>
      <c r="F18" s="31"/>
      <c r="G18" s="31"/>
    </row>
    <row r="19">
      <c r="A19" s="10">
        <v>2.0</v>
      </c>
      <c r="B19" s="29" t="str">
        <f>IFERROR(__xludf.DUMMYFUNCTION("""COMPUTED_VALUE"""),"Business Analytics")</f>
        <v>Business Analytics</v>
      </c>
      <c r="C19" s="29" t="str">
        <f>IFERROR(__xludf.DUMMYFUNCTION("""COMPUTED_VALUE"""),"Ejemplos de Business Analytics")</f>
        <v>Ejemplos de Business Analytics</v>
      </c>
      <c r="D19" s="30" t="s">
        <v>147</v>
      </c>
      <c r="E19" s="31"/>
      <c r="F19" s="31"/>
      <c r="G19" s="31"/>
    </row>
    <row r="20">
      <c r="A20" s="10">
        <v>3.0</v>
      </c>
      <c r="B20" s="29" t="str">
        <f>IFERROR(__xludf.DUMMYFUNCTION("""COMPUTED_VALUE"""),"Business Analytics")</f>
        <v>Business Analytics</v>
      </c>
      <c r="C20" s="29" t="str">
        <f>IFERROR(__xludf.DUMMYFUNCTION("""COMPUTED_VALUE"""),"Casos de éxito")</f>
        <v>Casos de éxito</v>
      </c>
      <c r="D20" s="30" t="s">
        <v>147</v>
      </c>
      <c r="E20" s="30" t="s">
        <v>147</v>
      </c>
      <c r="F20" s="30" t="s">
        <v>147</v>
      </c>
      <c r="G20" s="31"/>
    </row>
    <row r="21">
      <c r="A21" s="10">
        <v>4.0</v>
      </c>
      <c r="B21" s="29" t="str">
        <f>IFERROR(__xludf.DUMMYFUNCTION("""COMPUTED_VALUE"""),"Business Analytics")</f>
        <v>Business Analytics</v>
      </c>
      <c r="C21" s="29" t="str">
        <f>IFERROR(__xludf.DUMMYFUNCTION("""COMPUTED_VALUE"""),"Integración con sistemas de información")</f>
        <v>Integración con sistemas de información</v>
      </c>
      <c r="D21" s="30" t="s">
        <v>147</v>
      </c>
      <c r="E21" s="31"/>
      <c r="F21" s="31"/>
      <c r="G21" s="31"/>
    </row>
    <row r="22">
      <c r="A22" s="10">
        <v>5.0</v>
      </c>
      <c r="B22" s="29" t="str">
        <f>IFERROR(__xludf.DUMMYFUNCTION("""COMPUTED_VALUE"""),"Business Analytics")</f>
        <v>Business Analytics</v>
      </c>
      <c r="C22" s="29" t="str">
        <f>IFERROR(__xludf.DUMMYFUNCTION("""COMPUTED_VALUE"""),"Tendencias futuras")</f>
        <v>Tendencias futuras</v>
      </c>
      <c r="D22" s="30" t="s">
        <v>147</v>
      </c>
      <c r="E22" s="31"/>
      <c r="F22" s="30"/>
      <c r="G22" s="30" t="s">
        <v>147</v>
      </c>
    </row>
    <row r="23">
      <c r="A23" s="10">
        <v>6.0</v>
      </c>
      <c r="B23" s="29" t="str">
        <f>IFERROR(__xludf.DUMMYFUNCTION("""COMPUTED_VALUE"""),"La gestión del conocimiento")</f>
        <v>La gestión del conocimiento</v>
      </c>
      <c r="C23" s="29" t="str">
        <f>IFERROR(__xludf.DUMMYFUNCTION("""COMPUTED_VALUE"""),"Concepto de gestión del conocimiento")</f>
        <v>Concepto de gestión del conocimiento</v>
      </c>
      <c r="D23" s="30" t="s">
        <v>147</v>
      </c>
      <c r="E23" s="31"/>
      <c r="F23" s="31"/>
      <c r="G23" s="31"/>
    </row>
    <row r="24">
      <c r="A24" s="10">
        <v>7.0</v>
      </c>
      <c r="B24" s="29" t="str">
        <f>IFERROR(__xludf.DUMMYFUNCTION("""COMPUTED_VALUE"""),"La gestión del conocimiento")</f>
        <v>La gestión del conocimiento</v>
      </c>
      <c r="C24" s="29" t="str">
        <f>IFERROR(__xludf.DUMMYFUNCTION("""COMPUTED_VALUE"""),"Estrategias de gestión")</f>
        <v>Estrategias de gestión</v>
      </c>
      <c r="D24" s="30" t="s">
        <v>147</v>
      </c>
      <c r="E24" s="31"/>
      <c r="F24" s="31"/>
      <c r="G24" s="31"/>
    </row>
    <row r="25">
      <c r="A25" s="32"/>
      <c r="B25" s="32"/>
      <c r="C25" s="32"/>
      <c r="D25" s="32"/>
      <c r="E25" s="32"/>
      <c r="F25" s="32"/>
      <c r="G25" s="33" t="s">
        <v>148</v>
      </c>
      <c r="H25" s="32">
        <f>SUM(D16:G16)</f>
        <v>80</v>
      </c>
    </row>
    <row r="26">
      <c r="A26" s="5" t="s">
        <v>149</v>
      </c>
    </row>
    <row r="27">
      <c r="A27" s="5" t="s">
        <v>150</v>
      </c>
      <c r="E27" s="16"/>
    </row>
    <row r="28">
      <c r="A28" s="35"/>
    </row>
    <row r="29">
      <c r="A29" s="24" t="s">
        <v>151</v>
      </c>
      <c r="B29" s="36"/>
      <c r="C29" s="36"/>
      <c r="D29" s="36"/>
      <c r="E29" s="36"/>
      <c r="F29" s="36"/>
      <c r="G29" s="36"/>
      <c r="H29" s="36"/>
    </row>
    <row r="30">
      <c r="A30" s="5" t="s">
        <v>152</v>
      </c>
      <c r="B30" s="22"/>
      <c r="C30" s="22"/>
      <c r="D30" s="22"/>
      <c r="E30" s="22"/>
      <c r="F30" s="22"/>
      <c r="G30" s="22"/>
      <c r="H30" s="37"/>
    </row>
    <row r="31">
      <c r="A31" s="5" t="s">
        <v>153</v>
      </c>
      <c r="B31" s="22"/>
      <c r="C31" s="22"/>
      <c r="D31" s="22"/>
      <c r="E31" s="22"/>
      <c r="F31" s="22"/>
      <c r="G31" s="22"/>
      <c r="H31" s="37"/>
    </row>
    <row r="32">
      <c r="A32" s="22"/>
      <c r="B32" s="22"/>
      <c r="C32" s="22"/>
      <c r="D32" s="22"/>
      <c r="E32" s="22"/>
      <c r="F32" s="22"/>
      <c r="G32" s="22"/>
      <c r="H32" s="37"/>
    </row>
    <row r="33">
      <c r="A33" s="38" t="s">
        <v>3</v>
      </c>
      <c r="B33" s="26" t="s">
        <v>154</v>
      </c>
      <c r="C33" s="39" t="s">
        <v>155</v>
      </c>
      <c r="D33" s="26" t="s">
        <v>156</v>
      </c>
      <c r="E33" s="26" t="s">
        <v>124</v>
      </c>
      <c r="F33" s="26" t="s">
        <v>144</v>
      </c>
      <c r="G33" s="26" t="s">
        <v>167</v>
      </c>
      <c r="H33" s="37"/>
    </row>
    <row r="34">
      <c r="A34" s="41"/>
      <c r="B34" s="27" t="s">
        <v>158</v>
      </c>
      <c r="C34" s="27">
        <v>25.0</v>
      </c>
      <c r="D34" s="27">
        <v>25.0</v>
      </c>
      <c r="E34" s="27">
        <v>25.0</v>
      </c>
      <c r="F34" s="27">
        <v>25.0</v>
      </c>
      <c r="G34" s="27">
        <v>15.0</v>
      </c>
      <c r="H34" s="22"/>
    </row>
    <row r="35">
      <c r="A35" s="41"/>
      <c r="B35" s="40" t="s">
        <v>146</v>
      </c>
      <c r="C35" s="26">
        <v>10.0</v>
      </c>
      <c r="D35" s="26"/>
      <c r="E35" s="26"/>
      <c r="F35" s="26"/>
      <c r="G35" s="29"/>
      <c r="H35" s="22"/>
    </row>
    <row r="36">
      <c r="A36" s="41"/>
      <c r="B36" s="26" t="s">
        <v>139</v>
      </c>
      <c r="C36" s="26"/>
      <c r="D36" s="26"/>
      <c r="E36" s="26"/>
      <c r="F36" s="26"/>
      <c r="G36" s="29"/>
      <c r="H36" s="22"/>
    </row>
    <row r="37">
      <c r="A37" s="42"/>
      <c r="B37" s="26" t="s">
        <v>4</v>
      </c>
      <c r="C37" s="26"/>
      <c r="D37" s="26"/>
      <c r="E37" s="26"/>
      <c r="F37" s="26"/>
      <c r="G37" s="29"/>
      <c r="H37" s="22"/>
    </row>
    <row r="38">
      <c r="A38" s="10">
        <v>1.0</v>
      </c>
      <c r="B38" s="11" t="s">
        <v>105</v>
      </c>
      <c r="C38" s="29"/>
      <c r="D38" s="29"/>
      <c r="E38" s="29"/>
      <c r="F38" s="29"/>
      <c r="G38" s="29"/>
    </row>
    <row r="39">
      <c r="A39" s="10">
        <v>2.0</v>
      </c>
      <c r="B39" s="11"/>
      <c r="C39" s="29"/>
      <c r="D39" s="29"/>
      <c r="E39" s="29"/>
      <c r="F39" s="29"/>
      <c r="G39" s="29"/>
    </row>
    <row r="40">
      <c r="A40" s="10">
        <v>3.0</v>
      </c>
      <c r="B40" s="11"/>
      <c r="C40" s="29"/>
      <c r="D40" s="29"/>
      <c r="E40" s="29"/>
      <c r="F40" s="29"/>
      <c r="G40" s="29"/>
    </row>
    <row r="41">
      <c r="A41" s="10">
        <v>4.0</v>
      </c>
      <c r="B41" s="11"/>
      <c r="C41" s="29"/>
      <c r="D41" s="29"/>
      <c r="E41" s="29"/>
      <c r="F41" s="29"/>
      <c r="G41" s="29"/>
    </row>
    <row r="42">
      <c r="A42" s="10">
        <v>5.0</v>
      </c>
      <c r="B42" s="11"/>
      <c r="C42" s="29"/>
      <c r="D42" s="29"/>
      <c r="E42" s="29"/>
      <c r="F42" s="29"/>
      <c r="G42" s="29"/>
    </row>
    <row r="43">
      <c r="A43" s="10">
        <v>6.0</v>
      </c>
      <c r="B43" s="11"/>
      <c r="C43" s="29"/>
      <c r="D43" s="29"/>
      <c r="E43" s="29"/>
      <c r="F43" s="29"/>
      <c r="G43" s="29"/>
    </row>
    <row r="44">
      <c r="A44" s="10">
        <v>7.0</v>
      </c>
      <c r="B44" s="11"/>
      <c r="C44" s="29"/>
      <c r="D44" s="29"/>
      <c r="E44" s="29"/>
      <c r="F44" s="10"/>
      <c r="G44" s="29"/>
    </row>
    <row r="45">
      <c r="A45" s="43"/>
      <c r="B45" s="43"/>
      <c r="C45" s="43"/>
      <c r="D45" s="43"/>
      <c r="E45" s="43"/>
      <c r="F45" s="44"/>
      <c r="G45" s="45" t="s">
        <v>148</v>
      </c>
      <c r="H45" s="43">
        <f>SUM(C35:G35)</f>
        <v>10</v>
      </c>
    </row>
    <row r="46">
      <c r="A46" s="5" t="s">
        <v>149</v>
      </c>
      <c r="F46" s="5"/>
    </row>
    <row r="47">
      <c r="A47" s="5" t="s">
        <v>161</v>
      </c>
      <c r="F47" s="5"/>
    </row>
    <row r="48">
      <c r="A48" s="24" t="s">
        <v>162</v>
      </c>
      <c r="B48" s="36"/>
      <c r="C48" s="36"/>
      <c r="D48" s="36"/>
      <c r="E48" s="36"/>
      <c r="F48" s="36"/>
      <c r="G48" s="36"/>
      <c r="H48" s="36"/>
    </row>
    <row r="50">
      <c r="A50" s="10" t="s">
        <v>3</v>
      </c>
      <c r="B50" s="10"/>
      <c r="C50" s="29"/>
      <c r="D50" s="29"/>
      <c r="E50" s="29"/>
      <c r="F50" s="10" t="s">
        <v>154</v>
      </c>
      <c r="G50" s="26" t="s">
        <v>163</v>
      </c>
    </row>
    <row r="51">
      <c r="A51" s="10">
        <v>1.0</v>
      </c>
      <c r="B51" s="10" t="s">
        <v>164</v>
      </c>
      <c r="C51" s="29"/>
      <c r="D51" s="29"/>
      <c r="E51" s="29"/>
      <c r="F51" s="46" t="s">
        <v>158</v>
      </c>
      <c r="G51" s="46">
        <v>10.0</v>
      </c>
    </row>
    <row r="52">
      <c r="A52" s="29"/>
      <c r="B52" s="29"/>
      <c r="C52" s="29"/>
      <c r="D52" s="29"/>
      <c r="E52" s="29"/>
      <c r="F52" s="10" t="s">
        <v>146</v>
      </c>
      <c r="G52" s="47">
        <v>10.0</v>
      </c>
    </row>
    <row r="53">
      <c r="A53" s="43"/>
      <c r="B53" s="43"/>
      <c r="C53" s="43"/>
      <c r="D53" s="43"/>
      <c r="E53" s="43"/>
      <c r="F53" s="43"/>
      <c r="G53" s="45" t="s">
        <v>148</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4.0</v>
      </c>
    </row>
    <row r="5" ht="78.75" customHeight="1">
      <c r="A5" s="1" t="s">
        <v>120</v>
      </c>
      <c r="B5" s="20" t="s">
        <v>168</v>
      </c>
    </row>
    <row r="6">
      <c r="A6" s="19" t="s">
        <v>121</v>
      </c>
      <c r="B6" s="6"/>
      <c r="C6" s="6"/>
      <c r="D6" s="6"/>
      <c r="E6" s="6"/>
      <c r="F6" s="6"/>
    </row>
    <row r="7">
      <c r="A7" s="1"/>
      <c r="B7" s="6"/>
      <c r="C7" s="6"/>
      <c r="D7" s="6"/>
      <c r="E7" s="6"/>
      <c r="F7" s="6"/>
    </row>
    <row r="8">
      <c r="A8" s="1" t="s">
        <v>137</v>
      </c>
      <c r="B8" s="6" t="s">
        <v>138</v>
      </c>
    </row>
    <row r="11">
      <c r="A11" s="1" t="s">
        <v>139</v>
      </c>
      <c r="B11" s="5">
        <f>SUM(C36:G36)</f>
        <v>0</v>
      </c>
      <c r="C11" s="22"/>
      <c r="F11" s="23" t="s">
        <v>140</v>
      </c>
      <c r="H11" s="22">
        <f>H25+H45+H53</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25.0</v>
      </c>
      <c r="E16" s="26">
        <v>10.0</v>
      </c>
      <c r="F16" s="26">
        <v>25.0</v>
      </c>
      <c r="G16" s="26">
        <v>25.0</v>
      </c>
      <c r="H16" s="28"/>
    </row>
    <row r="17">
      <c r="A17" s="26" t="s">
        <v>3</v>
      </c>
      <c r="B17" s="26" t="s">
        <v>6</v>
      </c>
      <c r="C17" s="26" t="s">
        <v>7</v>
      </c>
      <c r="D17" s="26"/>
      <c r="E17" s="26"/>
      <c r="F17" s="26"/>
      <c r="G17" s="26"/>
    </row>
    <row r="18">
      <c r="A18" s="10">
        <v>1.0</v>
      </c>
      <c r="B18" s="29" t="str">
        <f>IFERROR(__xludf.DUMMYFUNCTION("FILTER('Diseño Curricular'!D:D,'Diseño Curricular'!G:G=$B$3)"),"La gestión del conocimiento")</f>
        <v>La gestión del conocimiento</v>
      </c>
      <c r="C18" s="29" t="str">
        <f>IFERROR(__xludf.DUMMYFUNCTION("FILTER('Diseño Curricular'!E:E,'Diseño Curricular'!G:G=$B$3)"),"Herramientas tecnológicas")</f>
        <v>Herramientas tecnológicas</v>
      </c>
      <c r="D18" s="30" t="s">
        <v>147</v>
      </c>
      <c r="E18" s="31"/>
      <c r="F18" s="31"/>
      <c r="G18" s="31"/>
    </row>
    <row r="19">
      <c r="A19" s="10">
        <v>2.0</v>
      </c>
      <c r="B19" s="29" t="str">
        <f>IFERROR(__xludf.DUMMYFUNCTION("""COMPUTED_VALUE"""),"La gestión del conocimiento")</f>
        <v>La gestión del conocimiento</v>
      </c>
      <c r="C19" s="29" t="str">
        <f>IFERROR(__xludf.DUMMYFUNCTION("""COMPUTED_VALUE"""),"Impacto en la organización")</f>
        <v>Impacto en la organización</v>
      </c>
      <c r="D19" s="30" t="s">
        <v>147</v>
      </c>
      <c r="E19" s="31"/>
      <c r="F19" s="31"/>
      <c r="G19" s="31"/>
    </row>
    <row r="20">
      <c r="A20" s="10">
        <v>3.0</v>
      </c>
      <c r="B20" s="29" t="str">
        <f>IFERROR(__xludf.DUMMYFUNCTION("""COMPUTED_VALUE"""),"La gestión del conocimiento")</f>
        <v>La gestión del conocimiento</v>
      </c>
      <c r="C20" s="29" t="str">
        <f>IFERROR(__xludf.DUMMYFUNCTION("""COMPUTED_VALUE"""),"Ejemplos de gestión del conocimiento")</f>
        <v>Ejemplos de gestión del conocimiento</v>
      </c>
      <c r="D20" s="30" t="s">
        <v>147</v>
      </c>
      <c r="E20" s="30" t="s">
        <v>147</v>
      </c>
      <c r="F20" s="31"/>
      <c r="G20" s="31"/>
    </row>
    <row r="21">
      <c r="A21" s="10">
        <v>4.0</v>
      </c>
      <c r="B21" s="29" t="str">
        <f>IFERROR(__xludf.DUMMYFUNCTION("""COMPUTED_VALUE"""),"La gestión del conocimiento")</f>
        <v>La gestión del conocimiento</v>
      </c>
      <c r="C21" s="29" t="str">
        <f>IFERROR(__xludf.DUMMYFUNCTION("""COMPUTED_VALUE"""),"Estudio de caso")</f>
        <v>Estudio de caso</v>
      </c>
      <c r="D21" s="30" t="s">
        <v>147</v>
      </c>
      <c r="E21" s="31"/>
      <c r="F21" s="31"/>
      <c r="G21" s="31"/>
    </row>
    <row r="22">
      <c r="A22" s="10">
        <v>5.0</v>
      </c>
      <c r="B22" s="29" t="str">
        <f>IFERROR(__xludf.DUMMYFUNCTION("""COMPUTED_VALUE"""),"La gestión del conocimiento")</f>
        <v>La gestión del conocimiento</v>
      </c>
      <c r="C22" s="29" t="str">
        <f>IFERROR(__xludf.DUMMYFUNCTION("""COMPUTED_VALUE"""),"Futuro de la gestión del conocimiento")</f>
        <v>Futuro de la gestión del conocimiento</v>
      </c>
      <c r="D22" s="30" t="s">
        <v>147</v>
      </c>
      <c r="E22" s="31"/>
      <c r="F22" s="30" t="s">
        <v>147</v>
      </c>
      <c r="G22" s="31"/>
    </row>
    <row r="23">
      <c r="A23" s="10">
        <v>6.0</v>
      </c>
      <c r="B23" s="29" t="str">
        <f>IFERROR(__xludf.DUMMYFUNCTION("""COMPUTED_VALUE"""),"Papel estratégico de las TIC")</f>
        <v>Papel estratégico de las TIC</v>
      </c>
      <c r="C23" s="29" t="str">
        <f>IFERROR(__xludf.DUMMYFUNCTION("""COMPUTED_VALUE"""),"Definición de TIC")</f>
        <v>Definición de TIC</v>
      </c>
      <c r="D23" s="30" t="s">
        <v>147</v>
      </c>
      <c r="E23" s="31"/>
      <c r="F23" s="31"/>
      <c r="G23" s="30" t="s">
        <v>147</v>
      </c>
    </row>
    <row r="24">
      <c r="A24" s="10">
        <v>7.0</v>
      </c>
      <c r="B24" s="29"/>
      <c r="C24" s="29"/>
      <c r="D24" s="31"/>
      <c r="E24" s="31"/>
      <c r="F24" s="31"/>
      <c r="G24" s="31"/>
    </row>
    <row r="25">
      <c r="A25" s="32"/>
      <c r="B25" s="32"/>
      <c r="C25" s="32"/>
      <c r="D25" s="32"/>
      <c r="E25" s="32"/>
      <c r="F25" s="32"/>
      <c r="G25" s="33" t="s">
        <v>148</v>
      </c>
      <c r="H25" s="32">
        <f>SUM(D16:G16)</f>
        <v>85</v>
      </c>
    </row>
    <row r="26">
      <c r="A26" s="5" t="s">
        <v>149</v>
      </c>
    </row>
    <row r="27">
      <c r="A27" s="5" t="s">
        <v>150</v>
      </c>
      <c r="E27" s="16"/>
    </row>
    <row r="28">
      <c r="A28" s="35"/>
    </row>
    <row r="29">
      <c r="A29" s="24" t="s">
        <v>151</v>
      </c>
      <c r="B29" s="36"/>
      <c r="C29" s="36"/>
      <c r="D29" s="36"/>
      <c r="E29" s="36"/>
      <c r="F29" s="36"/>
      <c r="G29" s="36"/>
      <c r="H29" s="36"/>
    </row>
    <row r="30">
      <c r="A30" s="5" t="s">
        <v>152</v>
      </c>
      <c r="B30" s="22"/>
      <c r="C30" s="22"/>
      <c r="D30" s="22"/>
      <c r="E30" s="22"/>
      <c r="F30" s="22"/>
      <c r="G30" s="22"/>
      <c r="H30" s="37"/>
    </row>
    <row r="31">
      <c r="A31" s="5" t="s">
        <v>153</v>
      </c>
      <c r="B31" s="22"/>
      <c r="C31" s="22"/>
      <c r="D31" s="22"/>
      <c r="E31" s="22"/>
      <c r="F31" s="22"/>
      <c r="G31" s="22"/>
      <c r="H31" s="37"/>
    </row>
    <row r="32">
      <c r="A32" s="22"/>
      <c r="B32" s="22"/>
      <c r="C32" s="22"/>
      <c r="D32" s="22"/>
      <c r="E32" s="22"/>
      <c r="F32" s="22"/>
      <c r="G32" s="22"/>
      <c r="H32" s="37"/>
    </row>
    <row r="33">
      <c r="A33" s="38" t="s">
        <v>3</v>
      </c>
      <c r="B33" s="26" t="s">
        <v>154</v>
      </c>
      <c r="C33" s="39" t="s">
        <v>155</v>
      </c>
      <c r="D33" s="26" t="s">
        <v>156</v>
      </c>
      <c r="E33" s="26" t="s">
        <v>124</v>
      </c>
      <c r="F33" s="26" t="s">
        <v>144</v>
      </c>
      <c r="G33" s="40" t="s">
        <v>157</v>
      </c>
      <c r="H33" s="37"/>
    </row>
    <row r="34">
      <c r="A34" s="41"/>
      <c r="B34" s="27" t="s">
        <v>158</v>
      </c>
      <c r="C34" s="27">
        <v>25.0</v>
      </c>
      <c r="D34" s="27">
        <v>25.0</v>
      </c>
      <c r="E34" s="27">
        <v>25.0</v>
      </c>
      <c r="F34" s="27">
        <v>25.0</v>
      </c>
      <c r="G34" s="27">
        <v>15.0</v>
      </c>
      <c r="H34" s="22"/>
    </row>
    <row r="35">
      <c r="A35" s="41"/>
      <c r="B35" s="40" t="s">
        <v>146</v>
      </c>
      <c r="C35" s="26">
        <v>5.0</v>
      </c>
      <c r="D35" s="26"/>
      <c r="E35" s="26"/>
      <c r="F35" s="26"/>
      <c r="G35" s="29"/>
      <c r="H35" s="22"/>
    </row>
    <row r="36">
      <c r="A36" s="41"/>
      <c r="B36" s="26" t="s">
        <v>139</v>
      </c>
      <c r="C36" s="26"/>
      <c r="D36" s="26"/>
      <c r="E36" s="26"/>
      <c r="F36" s="26"/>
      <c r="G36" s="29"/>
      <c r="H36" s="22"/>
    </row>
    <row r="37">
      <c r="A37" s="42"/>
      <c r="B37" s="26" t="s">
        <v>4</v>
      </c>
      <c r="C37" s="26"/>
      <c r="D37" s="26"/>
      <c r="E37" s="26"/>
      <c r="F37" s="26"/>
      <c r="G37" s="29"/>
      <c r="H37" s="22"/>
    </row>
    <row r="38">
      <c r="A38" s="10">
        <v>1.0</v>
      </c>
      <c r="B38" s="11" t="s">
        <v>160</v>
      </c>
      <c r="C38" s="29"/>
      <c r="D38" s="29"/>
      <c r="E38" s="29"/>
      <c r="F38" s="29"/>
      <c r="G38" s="29"/>
    </row>
    <row r="39">
      <c r="A39" s="10">
        <v>2.0</v>
      </c>
      <c r="B39" s="11"/>
      <c r="C39" s="29"/>
      <c r="D39" s="29"/>
      <c r="E39" s="29"/>
      <c r="F39" s="29"/>
      <c r="G39" s="29"/>
    </row>
    <row r="40">
      <c r="A40" s="10">
        <v>3.0</v>
      </c>
      <c r="B40" s="11"/>
      <c r="C40" s="29"/>
      <c r="D40" s="29"/>
      <c r="E40" s="29"/>
      <c r="F40" s="29"/>
      <c r="G40" s="29"/>
    </row>
    <row r="41">
      <c r="A41" s="10">
        <v>4.0</v>
      </c>
      <c r="B41" s="11"/>
      <c r="C41" s="29"/>
      <c r="D41" s="29"/>
      <c r="E41" s="29"/>
      <c r="F41" s="29"/>
      <c r="G41" s="29"/>
    </row>
    <row r="42">
      <c r="A42" s="10">
        <v>5.0</v>
      </c>
      <c r="B42" s="11"/>
      <c r="C42" s="29"/>
      <c r="D42" s="29"/>
      <c r="E42" s="29"/>
      <c r="F42" s="29"/>
      <c r="G42" s="29"/>
    </row>
    <row r="43">
      <c r="A43" s="10">
        <v>6.0</v>
      </c>
      <c r="B43" s="11"/>
      <c r="C43" s="29"/>
      <c r="D43" s="29"/>
      <c r="E43" s="29"/>
      <c r="F43" s="29"/>
      <c r="G43" s="29"/>
    </row>
    <row r="44">
      <c r="A44" s="10">
        <v>7.0</v>
      </c>
      <c r="B44" s="11"/>
      <c r="C44" s="29"/>
      <c r="D44" s="29"/>
      <c r="E44" s="29"/>
      <c r="F44" s="10"/>
      <c r="G44" s="29"/>
    </row>
    <row r="45">
      <c r="A45" s="43"/>
      <c r="B45" s="43"/>
      <c r="C45" s="43"/>
      <c r="D45" s="43"/>
      <c r="E45" s="43"/>
      <c r="F45" s="44"/>
      <c r="G45" s="45" t="s">
        <v>148</v>
      </c>
      <c r="H45" s="43">
        <f>SUM(C35:G35)</f>
        <v>5</v>
      </c>
    </row>
    <row r="46">
      <c r="A46" s="5" t="s">
        <v>149</v>
      </c>
      <c r="F46" s="5"/>
    </row>
    <row r="47">
      <c r="A47" s="5" t="s">
        <v>161</v>
      </c>
      <c r="F47" s="5"/>
    </row>
    <row r="48">
      <c r="A48" s="24" t="s">
        <v>162</v>
      </c>
      <c r="B48" s="36"/>
      <c r="C48" s="36"/>
      <c r="D48" s="36"/>
      <c r="E48" s="36"/>
      <c r="F48" s="36"/>
      <c r="G48" s="36"/>
      <c r="H48" s="36"/>
    </row>
    <row r="50">
      <c r="A50" s="10" t="s">
        <v>3</v>
      </c>
      <c r="B50" s="10"/>
      <c r="C50" s="29"/>
      <c r="D50" s="29"/>
      <c r="E50" s="29"/>
      <c r="F50" s="10" t="s">
        <v>154</v>
      </c>
      <c r="G50" s="26" t="s">
        <v>163</v>
      </c>
    </row>
    <row r="51">
      <c r="A51" s="10">
        <v>1.0</v>
      </c>
      <c r="B51" s="10" t="s">
        <v>164</v>
      </c>
      <c r="C51" s="29"/>
      <c r="D51" s="29"/>
      <c r="E51" s="29"/>
      <c r="F51" s="46" t="s">
        <v>158</v>
      </c>
      <c r="G51" s="46">
        <v>10.0</v>
      </c>
    </row>
    <row r="52">
      <c r="A52" s="29"/>
      <c r="B52" s="29"/>
      <c r="C52" s="29"/>
      <c r="D52" s="29"/>
      <c r="E52" s="29"/>
      <c r="F52" s="10" t="s">
        <v>146</v>
      </c>
      <c r="G52" s="47">
        <v>10.0</v>
      </c>
    </row>
    <row r="53">
      <c r="A53" s="43"/>
      <c r="B53" s="43"/>
      <c r="C53" s="43"/>
      <c r="D53" s="43"/>
      <c r="E53" s="43"/>
      <c r="F53" s="43"/>
      <c r="G53" s="45" t="s">
        <v>148</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5.0</v>
      </c>
    </row>
    <row r="5" ht="78.75" customHeight="1">
      <c r="A5" s="1" t="s">
        <v>120</v>
      </c>
      <c r="B5" s="20" t="s">
        <v>169</v>
      </c>
    </row>
    <row r="6">
      <c r="A6" s="19" t="s">
        <v>121</v>
      </c>
      <c r="B6" s="6"/>
      <c r="C6" s="6"/>
      <c r="D6" s="6"/>
      <c r="E6" s="6"/>
      <c r="F6" s="6"/>
    </row>
    <row r="7">
      <c r="A7" s="1"/>
      <c r="B7" s="6"/>
      <c r="C7" s="6"/>
      <c r="D7" s="6"/>
      <c r="E7" s="6"/>
      <c r="F7" s="6"/>
    </row>
    <row r="8">
      <c r="A8" s="1" t="s">
        <v>137</v>
      </c>
      <c r="B8" s="6" t="s">
        <v>138</v>
      </c>
    </row>
    <row r="11">
      <c r="A11" s="1" t="s">
        <v>139</v>
      </c>
      <c r="B11" s="5">
        <f>SUM(C36:G36)</f>
        <v>0</v>
      </c>
      <c r="C11" s="22"/>
      <c r="F11" s="23" t="s">
        <v>140</v>
      </c>
      <c r="H11" s="22">
        <f>H25+H45+H53</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20.0</v>
      </c>
      <c r="E16" s="26">
        <v>5.0</v>
      </c>
      <c r="F16" s="26">
        <v>25.0</v>
      </c>
      <c r="G16" s="26">
        <v>25.0</v>
      </c>
      <c r="H16" s="28"/>
    </row>
    <row r="17">
      <c r="A17" s="26" t="s">
        <v>3</v>
      </c>
      <c r="B17" s="26" t="s">
        <v>6</v>
      </c>
      <c r="C17" s="26" t="s">
        <v>7</v>
      </c>
      <c r="D17" s="26"/>
      <c r="E17" s="26"/>
      <c r="F17" s="26"/>
      <c r="G17" s="26"/>
    </row>
    <row r="18">
      <c r="A18" s="10">
        <v>1.0</v>
      </c>
      <c r="B18" s="29" t="str">
        <f>IFERROR(__xludf.DUMMYFUNCTION("FILTER('Diseño Curricular'!D:D,'Diseño Curricular'!G:G=$B$3)"),"Papel estratégico de las TIC")</f>
        <v>Papel estratégico de las TIC</v>
      </c>
      <c r="C18" s="29" t="str">
        <f>IFERROR(__xludf.DUMMYFUNCTION("FILTER('Diseño Curricular'!E:E,'Diseño Curricular'!G:G=$B$3)"),"Historia de las TIC")</f>
        <v>Historia de las TIC</v>
      </c>
      <c r="D18" s="30" t="s">
        <v>147</v>
      </c>
      <c r="E18" s="31"/>
      <c r="F18" s="30" t="s">
        <v>147</v>
      </c>
      <c r="G18" s="31"/>
    </row>
    <row r="19">
      <c r="A19" s="10">
        <v>2.0</v>
      </c>
      <c r="B19" s="29" t="str">
        <f>IFERROR(__xludf.DUMMYFUNCTION("""COMPUTED_VALUE"""),"Papel estratégico de las TIC")</f>
        <v>Papel estratégico de las TIC</v>
      </c>
      <c r="C19" s="29" t="str">
        <f>IFERROR(__xludf.DUMMYFUNCTION("""COMPUTED_VALUE"""),"Tipos de TIC")</f>
        <v>Tipos de TIC</v>
      </c>
      <c r="D19" s="30" t="s">
        <v>147</v>
      </c>
      <c r="E19" s="31"/>
      <c r="F19" s="31"/>
      <c r="G19" s="31"/>
    </row>
    <row r="20">
      <c r="A20" s="10">
        <v>3.0</v>
      </c>
      <c r="B20" s="29" t="str">
        <f>IFERROR(__xludf.DUMMYFUNCTION("""COMPUTED_VALUE"""),"Papel estratégico de las TIC")</f>
        <v>Papel estratégico de las TIC</v>
      </c>
      <c r="C20" s="29" t="str">
        <f>IFERROR(__xludf.DUMMYFUNCTION("""COMPUTED_VALUE"""),"Importancia en la empresa")</f>
        <v>Importancia en la empresa</v>
      </c>
      <c r="D20" s="30" t="s">
        <v>147</v>
      </c>
      <c r="E20" s="30" t="s">
        <v>147</v>
      </c>
      <c r="F20" s="31"/>
      <c r="G20" s="31"/>
    </row>
    <row r="21">
      <c r="A21" s="10">
        <v>4.0</v>
      </c>
      <c r="B21" s="29" t="str">
        <f>IFERROR(__xludf.DUMMYFUNCTION("""COMPUTED_VALUE"""),"Papel estratégico de las TIC")</f>
        <v>Papel estratégico de las TIC</v>
      </c>
      <c r="C21" s="29" t="str">
        <f>IFERROR(__xludf.DUMMYFUNCTION("""COMPUTED_VALUE"""),"Desafíos actuales")</f>
        <v>Desafíos actuales</v>
      </c>
      <c r="D21" s="30" t="s">
        <v>147</v>
      </c>
      <c r="E21" s="31"/>
      <c r="F21" s="31"/>
      <c r="G21" s="31"/>
    </row>
    <row r="22">
      <c r="A22" s="10">
        <v>5.0</v>
      </c>
      <c r="B22" s="29" t="str">
        <f>IFERROR(__xludf.DUMMYFUNCTION("""COMPUTED_VALUE"""),"Papel estratégico de las TIC")</f>
        <v>Papel estratégico de las TIC</v>
      </c>
      <c r="C22" s="29" t="str">
        <f>IFERROR(__xludf.DUMMYFUNCTION("""COMPUTED_VALUE"""),"Ejemplos de uso de TIC en empresas")</f>
        <v>Ejemplos de uso de TIC en empresas</v>
      </c>
      <c r="D22" s="30" t="s">
        <v>147</v>
      </c>
      <c r="E22" s="31"/>
      <c r="F22" s="30"/>
      <c r="G22" s="31"/>
    </row>
    <row r="23">
      <c r="A23" s="10">
        <v>6.0</v>
      </c>
      <c r="B23" s="29" t="str">
        <f>IFERROR(__xludf.DUMMYFUNCTION("""COMPUTED_VALUE"""),"Papel estratégico de las TIC")</f>
        <v>Papel estratégico de las TIC</v>
      </c>
      <c r="C23" s="29" t="str">
        <f>IFERROR(__xludf.DUMMYFUNCTION("""COMPUTED_VALUE"""),"Futuro de las TIC")</f>
        <v>Futuro de las TIC</v>
      </c>
      <c r="D23" s="30" t="s">
        <v>147</v>
      </c>
      <c r="E23" s="31"/>
      <c r="F23" s="31"/>
      <c r="G23" s="30" t="s">
        <v>147</v>
      </c>
    </row>
    <row r="24">
      <c r="A24" s="10">
        <v>7.0</v>
      </c>
      <c r="B24" s="29" t="str">
        <f>IFERROR(__xludf.DUMMYFUNCTION("""COMPUTED_VALUE"""),"Sistemas de información en negocios globales")</f>
        <v>Sistemas de información en negocios globales</v>
      </c>
      <c r="C24" s="29" t="str">
        <f>IFERROR(__xludf.DUMMYFUNCTION("""COMPUTED_VALUE"""),"Definición de sistemas en negocios globales")</f>
        <v>Definición de sistemas en negocios globales</v>
      </c>
      <c r="D24" s="30" t="s">
        <v>147</v>
      </c>
      <c r="E24" s="31"/>
      <c r="F24" s="31"/>
      <c r="G24" s="31"/>
    </row>
    <row r="25">
      <c r="A25" s="32"/>
      <c r="B25" s="32"/>
      <c r="C25" s="32"/>
      <c r="D25" s="32"/>
      <c r="E25" s="32"/>
      <c r="F25" s="32"/>
      <c r="G25" s="33" t="s">
        <v>148</v>
      </c>
      <c r="H25" s="32">
        <f>SUM(D16:G16)</f>
        <v>75</v>
      </c>
    </row>
    <row r="26">
      <c r="A26" s="5" t="s">
        <v>149</v>
      </c>
    </row>
    <row r="27">
      <c r="A27" s="5" t="s">
        <v>150</v>
      </c>
      <c r="E27" s="16"/>
    </row>
    <row r="28">
      <c r="A28" s="35"/>
    </row>
    <row r="29">
      <c r="A29" s="24" t="s">
        <v>151</v>
      </c>
      <c r="B29" s="36"/>
      <c r="C29" s="36"/>
      <c r="D29" s="36"/>
      <c r="E29" s="36"/>
      <c r="F29" s="36"/>
      <c r="G29" s="36"/>
      <c r="H29" s="36"/>
    </row>
    <row r="30">
      <c r="A30" s="5" t="s">
        <v>152</v>
      </c>
      <c r="B30" s="22"/>
      <c r="C30" s="22"/>
      <c r="D30" s="22"/>
      <c r="E30" s="22"/>
      <c r="F30" s="22"/>
      <c r="G30" s="22"/>
      <c r="H30" s="37"/>
    </row>
    <row r="31">
      <c r="A31" s="5" t="s">
        <v>153</v>
      </c>
      <c r="B31" s="22"/>
      <c r="C31" s="22"/>
      <c r="D31" s="22"/>
      <c r="E31" s="22"/>
      <c r="F31" s="22"/>
      <c r="G31" s="22"/>
      <c r="H31" s="37"/>
    </row>
    <row r="32">
      <c r="A32" s="22"/>
      <c r="B32" s="22"/>
      <c r="C32" s="22"/>
      <c r="D32" s="22"/>
      <c r="E32" s="22"/>
      <c r="F32" s="22"/>
      <c r="G32" s="22"/>
      <c r="H32" s="37"/>
    </row>
    <row r="33">
      <c r="A33" s="38" t="s">
        <v>3</v>
      </c>
      <c r="B33" s="26" t="s">
        <v>154</v>
      </c>
      <c r="C33" s="39" t="s">
        <v>155</v>
      </c>
      <c r="D33" s="26" t="s">
        <v>156</v>
      </c>
      <c r="E33" s="26" t="s">
        <v>124</v>
      </c>
      <c r="F33" s="26" t="s">
        <v>144</v>
      </c>
      <c r="G33" s="40" t="s">
        <v>157</v>
      </c>
      <c r="H33" s="37"/>
    </row>
    <row r="34">
      <c r="A34" s="41"/>
      <c r="B34" s="27" t="s">
        <v>158</v>
      </c>
      <c r="C34" s="27">
        <v>25.0</v>
      </c>
      <c r="D34" s="27">
        <v>25.0</v>
      </c>
      <c r="E34" s="27">
        <v>25.0</v>
      </c>
      <c r="F34" s="27">
        <v>25.0</v>
      </c>
      <c r="G34" s="27">
        <v>15.0</v>
      </c>
      <c r="H34" s="22"/>
    </row>
    <row r="35">
      <c r="A35" s="41"/>
      <c r="B35" s="40" t="s">
        <v>146</v>
      </c>
      <c r="C35" s="26">
        <v>15.0</v>
      </c>
      <c r="D35" s="26"/>
      <c r="E35" s="26"/>
      <c r="F35" s="26"/>
      <c r="G35" s="29"/>
      <c r="H35" s="22"/>
    </row>
    <row r="36">
      <c r="A36" s="41"/>
      <c r="B36" s="26" t="s">
        <v>139</v>
      </c>
      <c r="C36" s="26"/>
      <c r="D36" s="26"/>
      <c r="E36" s="26"/>
      <c r="F36" s="26"/>
      <c r="G36" s="29"/>
      <c r="H36" s="22"/>
    </row>
    <row r="37">
      <c r="A37" s="42"/>
      <c r="B37" s="26" t="s">
        <v>4</v>
      </c>
      <c r="C37" s="26"/>
      <c r="D37" s="26"/>
      <c r="E37" s="26"/>
      <c r="F37" s="26"/>
      <c r="G37" s="29"/>
      <c r="H37" s="22"/>
    </row>
    <row r="38">
      <c r="A38" s="10">
        <v>1.0</v>
      </c>
      <c r="B38" s="11" t="s">
        <v>160</v>
      </c>
      <c r="C38" s="29"/>
      <c r="D38" s="29"/>
      <c r="E38" s="29"/>
      <c r="F38" s="29"/>
      <c r="G38" s="29"/>
    </row>
    <row r="39">
      <c r="A39" s="10">
        <v>2.0</v>
      </c>
      <c r="B39" s="11" t="s">
        <v>159</v>
      </c>
      <c r="C39" s="29"/>
      <c r="D39" s="29"/>
      <c r="E39" s="29"/>
      <c r="F39" s="29"/>
      <c r="G39" s="29"/>
    </row>
    <row r="40">
      <c r="A40" s="10">
        <v>3.0</v>
      </c>
      <c r="B40" s="11"/>
      <c r="C40" s="29"/>
      <c r="D40" s="29"/>
      <c r="E40" s="29"/>
      <c r="F40" s="29"/>
      <c r="G40" s="29"/>
    </row>
    <row r="41">
      <c r="A41" s="10">
        <v>4.0</v>
      </c>
      <c r="B41" s="11"/>
      <c r="C41" s="29"/>
      <c r="D41" s="29"/>
      <c r="E41" s="29"/>
      <c r="F41" s="29"/>
      <c r="G41" s="29"/>
    </row>
    <row r="42">
      <c r="A42" s="10">
        <v>5.0</v>
      </c>
      <c r="B42" s="11"/>
      <c r="C42" s="29"/>
      <c r="D42" s="29"/>
      <c r="E42" s="29"/>
      <c r="F42" s="29"/>
      <c r="G42" s="29"/>
    </row>
    <row r="43">
      <c r="A43" s="10">
        <v>6.0</v>
      </c>
      <c r="B43" s="11"/>
      <c r="C43" s="29"/>
      <c r="D43" s="29"/>
      <c r="E43" s="29"/>
      <c r="F43" s="29"/>
      <c r="G43" s="29"/>
    </row>
    <row r="44">
      <c r="A44" s="10">
        <v>7.0</v>
      </c>
      <c r="B44" s="11"/>
      <c r="C44" s="29"/>
      <c r="D44" s="29"/>
      <c r="E44" s="29"/>
      <c r="F44" s="10"/>
      <c r="G44" s="29"/>
    </row>
    <row r="45">
      <c r="A45" s="43"/>
      <c r="B45" s="43"/>
      <c r="C45" s="43"/>
      <c r="D45" s="43"/>
      <c r="E45" s="43"/>
      <c r="F45" s="44"/>
      <c r="G45" s="45" t="s">
        <v>148</v>
      </c>
      <c r="H45" s="43">
        <f>SUM(C35:G35)</f>
        <v>15</v>
      </c>
    </row>
    <row r="46">
      <c r="A46" s="5" t="s">
        <v>149</v>
      </c>
      <c r="F46" s="5"/>
    </row>
    <row r="47">
      <c r="A47" s="5" t="s">
        <v>161</v>
      </c>
      <c r="F47" s="5"/>
    </row>
    <row r="48">
      <c r="A48" s="24" t="s">
        <v>162</v>
      </c>
      <c r="B48" s="36"/>
      <c r="C48" s="36"/>
      <c r="D48" s="36"/>
      <c r="E48" s="36"/>
      <c r="F48" s="36"/>
      <c r="G48" s="36"/>
      <c r="H48" s="36"/>
    </row>
    <row r="50">
      <c r="A50" s="10" t="s">
        <v>3</v>
      </c>
      <c r="B50" s="10"/>
      <c r="C50" s="29"/>
      <c r="D50" s="29"/>
      <c r="E50" s="29"/>
      <c r="F50" s="10" t="s">
        <v>154</v>
      </c>
      <c r="G50" s="26" t="s">
        <v>163</v>
      </c>
    </row>
    <row r="51">
      <c r="A51" s="10">
        <v>1.0</v>
      </c>
      <c r="B51" s="10" t="s">
        <v>164</v>
      </c>
      <c r="C51" s="29"/>
      <c r="D51" s="29"/>
      <c r="E51" s="29"/>
      <c r="F51" s="46" t="s">
        <v>158</v>
      </c>
      <c r="G51" s="46">
        <v>10.0</v>
      </c>
    </row>
    <row r="52">
      <c r="A52" s="29"/>
      <c r="B52" s="29"/>
      <c r="C52" s="29"/>
      <c r="D52" s="29"/>
      <c r="E52" s="29"/>
      <c r="F52" s="10" t="s">
        <v>146</v>
      </c>
      <c r="G52" s="47">
        <v>10.0</v>
      </c>
    </row>
    <row r="53">
      <c r="A53" s="43"/>
      <c r="B53" s="43"/>
      <c r="C53" s="43"/>
      <c r="D53" s="43"/>
      <c r="E53" s="43"/>
      <c r="F53" s="43"/>
      <c r="G53" s="45" t="s">
        <v>148</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v>7.0</v>
      </c>
      <c r="B1" s="17" t="str">
        <f>'Diseño Curricular'!B1</f>
        <v>786 - Sistemas Organizacionales y Gerenciales 1</v>
      </c>
    </row>
    <row r="2">
      <c r="C2" s="18"/>
    </row>
    <row r="3">
      <c r="A3" s="1" t="s">
        <v>9</v>
      </c>
      <c r="B3" s="19">
        <v>6.0</v>
      </c>
    </row>
    <row r="5" ht="78.75" customHeight="1">
      <c r="A5" s="1" t="s">
        <v>120</v>
      </c>
      <c r="B5" s="20" t="s">
        <v>170</v>
      </c>
    </row>
    <row r="6">
      <c r="A6" s="19" t="s">
        <v>121</v>
      </c>
      <c r="B6" s="6"/>
      <c r="C6" s="6"/>
      <c r="D6" s="6"/>
      <c r="E6" s="6"/>
      <c r="F6" s="6"/>
    </row>
    <row r="7">
      <c r="A7" s="1"/>
      <c r="B7" s="6"/>
      <c r="C7" s="6"/>
      <c r="D7" s="6"/>
      <c r="E7" s="6"/>
      <c r="F7" s="6"/>
    </row>
    <row r="8">
      <c r="A8" s="1" t="s">
        <v>137</v>
      </c>
      <c r="B8" s="6" t="s">
        <v>138</v>
      </c>
    </row>
    <row r="11">
      <c r="A11" s="1" t="s">
        <v>139</v>
      </c>
      <c r="B11" s="5">
        <f>SUM(C36:G36)</f>
        <v>0</v>
      </c>
      <c r="C11" s="22"/>
      <c r="F11" s="23" t="s">
        <v>140</v>
      </c>
      <c r="H11" s="22">
        <f>H25+H45+H53</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25.0</v>
      </c>
      <c r="E16" s="26">
        <v>10.0</v>
      </c>
      <c r="F16" s="26">
        <v>25.0</v>
      </c>
      <c r="G16" s="26">
        <v>25.0</v>
      </c>
      <c r="H16" s="28"/>
    </row>
    <row r="17">
      <c r="A17" s="26" t="s">
        <v>3</v>
      </c>
      <c r="B17" s="26" t="s">
        <v>6</v>
      </c>
      <c r="C17" s="26" t="s">
        <v>7</v>
      </c>
      <c r="D17" s="26"/>
      <c r="E17" s="26"/>
      <c r="F17" s="26"/>
      <c r="G17" s="26"/>
    </row>
    <row r="18">
      <c r="A18" s="10">
        <v>1.0</v>
      </c>
      <c r="B18" s="29" t="str">
        <f>IFERROR(__xludf.DUMMYFUNCTION("FILTER('Diseño Curricular'!D:D,'Diseño Curricular'!G:G=$B$3)"),"Sistemas de información en negocios globales")</f>
        <v>Sistemas de información en negocios globales</v>
      </c>
      <c r="C18" s="29" t="str">
        <f>IFERROR(__xludf.DUMMYFUNCTION("FILTER('Diseño Curricular'!E:E,'Diseño Curricular'!G:G=$B$3)"),"Impacto en la globalización")</f>
        <v>Impacto en la globalización</v>
      </c>
      <c r="D18" s="30" t="s">
        <v>147</v>
      </c>
      <c r="E18" s="30" t="s">
        <v>147</v>
      </c>
      <c r="F18" s="31"/>
      <c r="G18" s="31"/>
    </row>
    <row r="19">
      <c r="A19" s="10">
        <v>2.0</v>
      </c>
      <c r="B19" s="29" t="str">
        <f>IFERROR(__xludf.DUMMYFUNCTION("""COMPUTED_VALUE"""),"Sistemas de información en negocios globales")</f>
        <v>Sistemas de información en negocios globales</v>
      </c>
      <c r="C19" s="29" t="str">
        <f>IFERROR(__xludf.DUMMYFUNCTION("""COMPUTED_VALUE"""),"Ejemplos de implementación")</f>
        <v>Ejemplos de implementación</v>
      </c>
      <c r="D19" s="30" t="s">
        <v>147</v>
      </c>
      <c r="E19" s="31"/>
      <c r="F19" s="31"/>
      <c r="G19" s="30" t="s">
        <v>147</v>
      </c>
    </row>
    <row r="20">
      <c r="A20" s="10">
        <v>3.0</v>
      </c>
      <c r="B20" s="29" t="str">
        <f>IFERROR(__xludf.DUMMYFUNCTION("""COMPUTED_VALUE"""),"Sistemas de información en negocios globales")</f>
        <v>Sistemas de información en negocios globales</v>
      </c>
      <c r="C20" s="29" t="str">
        <f>IFERROR(__xludf.DUMMYFUNCTION("""COMPUTED_VALUE"""),"Desafíos en la integración")</f>
        <v>Desafíos en la integración</v>
      </c>
      <c r="D20" s="30" t="s">
        <v>147</v>
      </c>
      <c r="E20" s="30"/>
      <c r="F20" s="31"/>
      <c r="G20" s="31"/>
    </row>
    <row r="21">
      <c r="A21" s="10">
        <v>4.0</v>
      </c>
      <c r="B21" s="29" t="str">
        <f>IFERROR(__xludf.DUMMYFUNCTION("""COMPUTED_VALUE"""),"Sistemas de información en negocios globales")</f>
        <v>Sistemas de información en negocios globales</v>
      </c>
      <c r="C21" s="29" t="str">
        <f>IFERROR(__xludf.DUMMYFUNCTION("""COMPUTED_VALUE"""),"Herramientas tecnológicas")</f>
        <v>Herramientas tecnológicas</v>
      </c>
      <c r="D21" s="30" t="s">
        <v>147</v>
      </c>
      <c r="E21" s="31"/>
      <c r="F21" s="31"/>
      <c r="G21" s="31"/>
    </row>
    <row r="22">
      <c r="A22" s="10">
        <v>5.0</v>
      </c>
      <c r="B22" s="29" t="str">
        <f>IFERROR(__xludf.DUMMYFUNCTION("""COMPUTED_VALUE"""),"Sistemas de información en negocios globales")</f>
        <v>Sistemas de información en negocios globales</v>
      </c>
      <c r="C22" s="29" t="str">
        <f>IFERROR(__xludf.DUMMYFUNCTION("""COMPUTED_VALUE"""),"Impacto en la cultura empresarial")</f>
        <v>Impacto en la cultura empresarial</v>
      </c>
      <c r="D22" s="30" t="s">
        <v>147</v>
      </c>
      <c r="E22" s="31"/>
      <c r="F22" s="30"/>
      <c r="G22" s="31"/>
    </row>
    <row r="23">
      <c r="A23" s="10">
        <v>6.0</v>
      </c>
      <c r="B23" s="29" t="str">
        <f>IFERROR(__xludf.DUMMYFUNCTION("""COMPUTED_VALUE"""),"Sistemas de información en negocios globales")</f>
        <v>Sistemas de información en negocios globales</v>
      </c>
      <c r="C23" s="29" t="str">
        <f>IFERROR(__xludf.DUMMYFUNCTION("""COMPUTED_VALUE"""),"Futuro de los negocios globales")</f>
        <v>Futuro de los negocios globales</v>
      </c>
      <c r="D23" s="30" t="s">
        <v>147</v>
      </c>
      <c r="E23" s="31"/>
      <c r="F23" s="30" t="s">
        <v>147</v>
      </c>
      <c r="G23" s="31"/>
    </row>
    <row r="24">
      <c r="A24" s="10">
        <v>7.0</v>
      </c>
      <c r="B24" s="29" t="str">
        <f>IFERROR(__xludf.DUMMYFUNCTION("""COMPUTED_VALUE"""),"Global e-business y colaboración")</f>
        <v>Global e-business y colaboración</v>
      </c>
      <c r="C24" s="29" t="str">
        <f>IFERROR(__xludf.DUMMYFUNCTION("""COMPUTED_VALUE"""),"Definición de e-business")</f>
        <v>Definición de e-business</v>
      </c>
      <c r="D24" s="30" t="s">
        <v>147</v>
      </c>
      <c r="E24" s="30" t="s">
        <v>147</v>
      </c>
      <c r="F24" s="31"/>
      <c r="G24" s="31"/>
    </row>
    <row r="25">
      <c r="A25" s="32"/>
      <c r="B25" s="32"/>
      <c r="C25" s="32"/>
      <c r="D25" s="32"/>
      <c r="E25" s="32"/>
      <c r="F25" s="32"/>
      <c r="G25" s="33" t="s">
        <v>148</v>
      </c>
      <c r="H25" s="32">
        <f>SUM(D16:G16)</f>
        <v>85</v>
      </c>
    </row>
    <row r="26">
      <c r="A26" s="5" t="s">
        <v>149</v>
      </c>
    </row>
    <row r="27">
      <c r="A27" s="5" t="s">
        <v>150</v>
      </c>
      <c r="E27" s="16"/>
    </row>
    <row r="28">
      <c r="A28" s="35"/>
    </row>
    <row r="29">
      <c r="A29" s="24" t="s">
        <v>151</v>
      </c>
      <c r="B29" s="36"/>
      <c r="C29" s="36"/>
      <c r="D29" s="36"/>
      <c r="E29" s="36"/>
      <c r="F29" s="36"/>
      <c r="G29" s="36"/>
      <c r="H29" s="36"/>
    </row>
    <row r="30">
      <c r="A30" s="5" t="s">
        <v>152</v>
      </c>
      <c r="B30" s="22"/>
      <c r="C30" s="22"/>
      <c r="D30" s="22"/>
      <c r="E30" s="22"/>
      <c r="F30" s="22"/>
      <c r="G30" s="22"/>
      <c r="H30" s="37"/>
    </row>
    <row r="31">
      <c r="A31" s="5" t="s">
        <v>153</v>
      </c>
      <c r="B31" s="22"/>
      <c r="C31" s="22"/>
      <c r="D31" s="22"/>
      <c r="E31" s="22"/>
      <c r="F31" s="22"/>
      <c r="G31" s="22"/>
      <c r="H31" s="37"/>
    </row>
    <row r="32">
      <c r="A32" s="22"/>
      <c r="B32" s="22"/>
      <c r="C32" s="22"/>
      <c r="D32" s="22"/>
      <c r="E32" s="22"/>
      <c r="F32" s="22"/>
      <c r="G32" s="22"/>
      <c r="H32" s="37"/>
    </row>
    <row r="33">
      <c r="A33" s="38" t="s">
        <v>3</v>
      </c>
      <c r="B33" s="26" t="s">
        <v>154</v>
      </c>
      <c r="C33" s="39" t="s">
        <v>155</v>
      </c>
      <c r="D33" s="26" t="s">
        <v>156</v>
      </c>
      <c r="E33" s="26" t="s">
        <v>124</v>
      </c>
      <c r="F33" s="26" t="s">
        <v>144</v>
      </c>
      <c r="G33" s="40" t="s">
        <v>157</v>
      </c>
      <c r="H33" s="37"/>
    </row>
    <row r="34">
      <c r="A34" s="41"/>
      <c r="B34" s="27" t="s">
        <v>158</v>
      </c>
      <c r="C34" s="27">
        <v>25.0</v>
      </c>
      <c r="D34" s="27">
        <v>25.0</v>
      </c>
      <c r="E34" s="27">
        <v>25.0</v>
      </c>
      <c r="F34" s="27">
        <v>25.0</v>
      </c>
      <c r="G34" s="27">
        <v>15.0</v>
      </c>
      <c r="H34" s="22"/>
    </row>
    <row r="35">
      <c r="A35" s="41"/>
      <c r="B35" s="40" t="s">
        <v>146</v>
      </c>
      <c r="C35" s="26">
        <v>5.0</v>
      </c>
      <c r="D35" s="26"/>
      <c r="E35" s="26"/>
      <c r="F35" s="26"/>
      <c r="G35" s="10"/>
      <c r="H35" s="22"/>
    </row>
    <row r="36">
      <c r="A36" s="41"/>
      <c r="B36" s="26" t="s">
        <v>139</v>
      </c>
      <c r="C36" s="26">
        <v>0.0</v>
      </c>
      <c r="D36" s="26"/>
      <c r="E36" s="26"/>
      <c r="F36" s="26"/>
      <c r="G36" s="10"/>
      <c r="H36" s="22"/>
    </row>
    <row r="37">
      <c r="A37" s="42"/>
      <c r="B37" s="26" t="s">
        <v>4</v>
      </c>
      <c r="C37" s="26"/>
      <c r="D37" s="26"/>
      <c r="E37" s="26"/>
      <c r="F37" s="26"/>
      <c r="G37" s="29"/>
      <c r="H37" s="22"/>
    </row>
    <row r="38">
      <c r="A38" s="10">
        <v>1.0</v>
      </c>
      <c r="B38" s="11" t="s">
        <v>28</v>
      </c>
      <c r="C38" s="10" t="s">
        <v>147</v>
      </c>
      <c r="D38" s="10"/>
      <c r="E38" s="29"/>
      <c r="F38" s="29"/>
      <c r="G38" s="10"/>
    </row>
    <row r="39">
      <c r="A39" s="10">
        <v>2.0</v>
      </c>
      <c r="B39" s="11" t="s">
        <v>19</v>
      </c>
      <c r="C39" s="10" t="s">
        <v>147</v>
      </c>
      <c r="D39" s="10"/>
      <c r="E39" s="29"/>
      <c r="F39" s="29"/>
      <c r="G39" s="10"/>
    </row>
    <row r="40">
      <c r="A40" s="10">
        <v>3.0</v>
      </c>
      <c r="B40" s="11"/>
      <c r="C40" s="29"/>
      <c r="D40" s="29"/>
      <c r="E40" s="29"/>
      <c r="F40" s="29"/>
      <c r="G40" s="29"/>
    </row>
    <row r="41">
      <c r="A41" s="10">
        <v>4.0</v>
      </c>
      <c r="B41" s="11"/>
      <c r="C41" s="29"/>
      <c r="D41" s="29"/>
      <c r="E41" s="29"/>
      <c r="F41" s="29"/>
      <c r="G41" s="29"/>
    </row>
    <row r="42">
      <c r="A42" s="10">
        <v>5.0</v>
      </c>
      <c r="B42" s="11"/>
      <c r="C42" s="29"/>
      <c r="D42" s="29"/>
      <c r="E42" s="29"/>
      <c r="F42" s="29"/>
      <c r="G42" s="29"/>
    </row>
    <row r="43">
      <c r="A43" s="10">
        <v>6.0</v>
      </c>
      <c r="B43" s="11"/>
      <c r="C43" s="29"/>
      <c r="D43" s="29"/>
      <c r="E43" s="29"/>
      <c r="F43" s="29"/>
      <c r="G43" s="29"/>
    </row>
    <row r="44">
      <c r="A44" s="10">
        <v>7.0</v>
      </c>
      <c r="B44" s="11"/>
      <c r="C44" s="29"/>
      <c r="D44" s="29"/>
      <c r="E44" s="29"/>
      <c r="F44" s="10"/>
      <c r="G44" s="29"/>
    </row>
    <row r="45">
      <c r="A45" s="43"/>
      <c r="B45" s="43"/>
      <c r="C45" s="43"/>
      <c r="D45" s="43"/>
      <c r="E45" s="43"/>
      <c r="F45" s="44"/>
      <c r="G45" s="45" t="s">
        <v>148</v>
      </c>
      <c r="H45" s="43">
        <f>SUM(C35:G35)</f>
        <v>5</v>
      </c>
    </row>
    <row r="46">
      <c r="A46" s="5" t="s">
        <v>149</v>
      </c>
      <c r="F46" s="5"/>
    </row>
    <row r="47">
      <c r="A47" s="5" t="s">
        <v>161</v>
      </c>
      <c r="F47" s="5"/>
    </row>
    <row r="48">
      <c r="A48" s="24" t="s">
        <v>162</v>
      </c>
      <c r="B48" s="36"/>
      <c r="C48" s="36"/>
      <c r="D48" s="36"/>
      <c r="E48" s="36"/>
      <c r="F48" s="36"/>
      <c r="G48" s="36"/>
      <c r="H48" s="36"/>
    </row>
    <row r="50">
      <c r="A50" s="10" t="s">
        <v>3</v>
      </c>
      <c r="B50" s="10"/>
      <c r="C50" s="29"/>
      <c r="D50" s="29"/>
      <c r="E50" s="29"/>
      <c r="F50" s="10" t="s">
        <v>154</v>
      </c>
      <c r="G50" s="26" t="s">
        <v>163</v>
      </c>
    </row>
    <row r="51">
      <c r="A51" s="10"/>
      <c r="B51" s="10" t="s">
        <v>171</v>
      </c>
      <c r="C51" s="29"/>
      <c r="D51" s="29"/>
      <c r="E51" s="29"/>
      <c r="F51" s="46" t="s">
        <v>158</v>
      </c>
      <c r="G51" s="46">
        <v>10.0</v>
      </c>
    </row>
    <row r="52">
      <c r="A52" s="29"/>
      <c r="B52" s="29"/>
      <c r="C52" s="29"/>
      <c r="D52" s="29"/>
      <c r="E52" s="29"/>
      <c r="F52" s="10" t="s">
        <v>146</v>
      </c>
      <c r="G52" s="48">
        <v>10.0</v>
      </c>
    </row>
    <row r="53">
      <c r="A53" s="43"/>
      <c r="B53" s="43"/>
      <c r="C53" s="43"/>
      <c r="D53" s="43"/>
      <c r="E53" s="43"/>
      <c r="F53" s="43"/>
      <c r="G53" s="45" t="s">
        <v>148</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7.0</v>
      </c>
    </row>
    <row r="5" ht="78.75" customHeight="1">
      <c r="A5" s="1" t="s">
        <v>120</v>
      </c>
      <c r="B5" s="20" t="s">
        <v>172</v>
      </c>
    </row>
    <row r="6">
      <c r="A6" s="19" t="s">
        <v>121</v>
      </c>
      <c r="B6" s="6"/>
      <c r="C6" s="6"/>
      <c r="D6" s="6"/>
      <c r="E6" s="6"/>
      <c r="F6" s="6"/>
    </row>
    <row r="7">
      <c r="A7" s="1"/>
      <c r="B7" s="6"/>
      <c r="C7" s="6"/>
      <c r="D7" s="6"/>
      <c r="E7" s="6"/>
      <c r="F7" s="6"/>
    </row>
    <row r="8">
      <c r="A8" s="1" t="s">
        <v>137</v>
      </c>
      <c r="B8" s="6" t="s">
        <v>138</v>
      </c>
    </row>
    <row r="11">
      <c r="A11" s="1" t="s">
        <v>139</v>
      </c>
      <c r="B11" s="5">
        <f>SUM(C36:G36)</f>
        <v>0</v>
      </c>
      <c r="C11" s="22"/>
      <c r="F11" s="23" t="s">
        <v>140</v>
      </c>
      <c r="H11" s="22">
        <f>H25+H45+H53</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48">
        <v>25.0</v>
      </c>
      <c r="E16" s="48">
        <v>10.0</v>
      </c>
      <c r="F16" s="48">
        <v>25.0</v>
      </c>
      <c r="G16" s="48">
        <v>25.0</v>
      </c>
      <c r="H16" s="28"/>
    </row>
    <row r="17">
      <c r="A17" s="26" t="s">
        <v>3</v>
      </c>
      <c r="B17" s="26" t="s">
        <v>6</v>
      </c>
      <c r="C17" s="26" t="s">
        <v>7</v>
      </c>
      <c r="D17" s="48"/>
      <c r="E17" s="48"/>
      <c r="F17" s="48"/>
      <c r="G17" s="48"/>
    </row>
    <row r="18">
      <c r="A18" s="10">
        <v>1.0</v>
      </c>
      <c r="B18" s="29" t="str">
        <f>IFERROR(__xludf.DUMMYFUNCTION("FILTER('Diseño Curricular'!D:D,'Diseño Curricular'!G:G=$B$3)"),"Global e-business y colaboración")</f>
        <v>Global e-business y colaboración</v>
      </c>
      <c r="C18" s="29" t="str">
        <f>IFERROR(__xludf.DUMMYFUNCTION("FILTER('Diseño Curricular'!E:E,'Diseño Curricular'!G:G=$B$3)"),"Estrategias de colaboración")</f>
        <v>Estrategias de colaboración</v>
      </c>
      <c r="D18" s="30" t="s">
        <v>147</v>
      </c>
      <c r="E18" s="30" t="s">
        <v>147</v>
      </c>
      <c r="F18" s="31"/>
      <c r="G18" s="31"/>
    </row>
    <row r="19">
      <c r="A19" s="10">
        <v>2.0</v>
      </c>
      <c r="B19" s="29" t="str">
        <f>IFERROR(__xludf.DUMMYFUNCTION("""COMPUTED_VALUE"""),"Global e-business y colaboración")</f>
        <v>Global e-business y colaboración</v>
      </c>
      <c r="C19" s="29" t="str">
        <f>IFERROR(__xludf.DUMMYFUNCTION("""COMPUTED_VALUE"""),"Ejemplos de e-business")</f>
        <v>Ejemplos de e-business</v>
      </c>
      <c r="D19" s="30" t="s">
        <v>147</v>
      </c>
      <c r="E19" s="31"/>
      <c r="F19" s="30" t="s">
        <v>147</v>
      </c>
      <c r="G19" s="31"/>
    </row>
    <row r="20">
      <c r="A20" s="10">
        <v>3.0</v>
      </c>
      <c r="B20" s="29" t="str">
        <f>IFERROR(__xludf.DUMMYFUNCTION("""COMPUTED_VALUE"""),"Global e-business y colaboración")</f>
        <v>Global e-business y colaboración</v>
      </c>
      <c r="C20" s="29" t="str">
        <f>IFERROR(__xludf.DUMMYFUNCTION("""COMPUTED_VALUE"""),"Herramientas para e-business")</f>
        <v>Herramientas para e-business</v>
      </c>
      <c r="D20" s="30" t="s">
        <v>147</v>
      </c>
      <c r="E20" s="30" t="s">
        <v>147</v>
      </c>
      <c r="F20" s="31"/>
      <c r="G20" s="30" t="s">
        <v>147</v>
      </c>
    </row>
    <row r="21">
      <c r="A21" s="10">
        <v>4.0</v>
      </c>
      <c r="B21" s="29" t="str">
        <f>IFERROR(__xludf.DUMMYFUNCTION("""COMPUTED_VALUE"""),"Global e-business y colaboración")</f>
        <v>Global e-business y colaboración</v>
      </c>
      <c r="C21" s="29" t="str">
        <f>IFERROR(__xludf.DUMMYFUNCTION("""COMPUTED_VALUE"""),"Casos de éxito")</f>
        <v>Casos de éxito</v>
      </c>
      <c r="D21" s="30" t="s">
        <v>147</v>
      </c>
      <c r="E21" s="31"/>
      <c r="F21" s="30" t="s">
        <v>147</v>
      </c>
      <c r="G21" s="31"/>
    </row>
    <row r="22">
      <c r="A22" s="10">
        <v>5.0</v>
      </c>
      <c r="B22" s="29" t="str">
        <f>IFERROR(__xludf.DUMMYFUNCTION("""COMPUTED_VALUE"""),"Global e-business y colaboración")</f>
        <v>Global e-business y colaboración</v>
      </c>
      <c r="C22" s="29" t="str">
        <f>IFERROR(__xludf.DUMMYFUNCTION("""COMPUTED_VALUE"""),"Desafíos en e-business")</f>
        <v>Desafíos en e-business</v>
      </c>
      <c r="D22" s="30" t="s">
        <v>147</v>
      </c>
      <c r="E22" s="31"/>
      <c r="F22" s="30" t="s">
        <v>147</v>
      </c>
      <c r="G22" s="31"/>
    </row>
    <row r="23">
      <c r="A23" s="10">
        <v>6.0</v>
      </c>
      <c r="B23" s="29" t="str">
        <f>IFERROR(__xludf.DUMMYFUNCTION("""COMPUTED_VALUE"""),"Global e-business y colaboración")</f>
        <v>Global e-business y colaboración</v>
      </c>
      <c r="C23" s="29" t="str">
        <f>IFERROR(__xludf.DUMMYFUNCTION("""COMPUTED_VALUE"""),"Futuro del e-business")</f>
        <v>Futuro del e-business</v>
      </c>
      <c r="D23" s="30" t="s">
        <v>147</v>
      </c>
      <c r="E23" s="31"/>
      <c r="F23" s="30" t="s">
        <v>147</v>
      </c>
      <c r="G23" s="31"/>
    </row>
    <row r="24">
      <c r="A24" s="10">
        <v>7.0</v>
      </c>
      <c r="B24" s="29" t="str">
        <f>IFERROR(__xludf.DUMMYFUNCTION("""COMPUTED_VALUE"""),"Problemas éticos y sociales en sistemas")</f>
        <v>Problemas éticos y sociales en sistemas</v>
      </c>
      <c r="C24" s="29" t="str">
        <f>IFERROR(__xludf.DUMMYFUNCTION("""COMPUTED_VALUE"""),"Definición de problemas éticos")</f>
        <v>Definición de problemas éticos</v>
      </c>
      <c r="D24" s="30" t="s">
        <v>147</v>
      </c>
      <c r="E24" s="31"/>
      <c r="F24" s="31"/>
      <c r="G24" s="30" t="s">
        <v>147</v>
      </c>
    </row>
    <row r="25">
      <c r="A25" s="32"/>
      <c r="B25" s="32"/>
      <c r="C25" s="32"/>
      <c r="D25" s="32"/>
      <c r="E25" s="32"/>
      <c r="F25" s="32"/>
      <c r="G25" s="33" t="s">
        <v>148</v>
      </c>
      <c r="H25" s="32">
        <f>SUM(D16:G16)</f>
        <v>85</v>
      </c>
    </row>
    <row r="26">
      <c r="A26" s="5" t="s">
        <v>149</v>
      </c>
    </row>
    <row r="27">
      <c r="A27" s="5" t="s">
        <v>150</v>
      </c>
      <c r="E27" s="16"/>
    </row>
    <row r="28">
      <c r="A28" s="35"/>
    </row>
    <row r="29">
      <c r="A29" s="24" t="s">
        <v>151</v>
      </c>
      <c r="B29" s="36"/>
      <c r="C29" s="36"/>
      <c r="D29" s="36"/>
      <c r="E29" s="36"/>
      <c r="F29" s="36"/>
      <c r="G29" s="36"/>
      <c r="H29" s="36"/>
    </row>
    <row r="30">
      <c r="A30" s="5" t="s">
        <v>152</v>
      </c>
      <c r="B30" s="22"/>
      <c r="C30" s="22"/>
      <c r="D30" s="22"/>
      <c r="E30" s="22"/>
      <c r="F30" s="22"/>
      <c r="G30" s="22"/>
      <c r="H30" s="37"/>
    </row>
    <row r="31">
      <c r="A31" s="5" t="s">
        <v>153</v>
      </c>
      <c r="B31" s="22"/>
      <c r="C31" s="22"/>
      <c r="D31" s="22"/>
      <c r="E31" s="22"/>
      <c r="F31" s="22"/>
      <c r="G31" s="22"/>
      <c r="H31" s="37"/>
    </row>
    <row r="32">
      <c r="A32" s="22"/>
      <c r="B32" s="22"/>
      <c r="C32" s="22"/>
      <c r="D32" s="22"/>
      <c r="E32" s="22"/>
      <c r="F32" s="22"/>
      <c r="G32" s="22"/>
      <c r="H32" s="37"/>
    </row>
    <row r="33">
      <c r="A33" s="38" t="s">
        <v>3</v>
      </c>
      <c r="B33" s="26" t="s">
        <v>154</v>
      </c>
      <c r="C33" s="39" t="s">
        <v>155</v>
      </c>
      <c r="D33" s="26" t="s">
        <v>156</v>
      </c>
      <c r="E33" s="26" t="s">
        <v>124</v>
      </c>
      <c r="F33" s="26" t="s">
        <v>144</v>
      </c>
      <c r="G33" s="40" t="s">
        <v>157</v>
      </c>
      <c r="H33" s="37"/>
    </row>
    <row r="34">
      <c r="A34" s="41"/>
      <c r="B34" s="27" t="s">
        <v>158</v>
      </c>
      <c r="C34" s="27">
        <v>25.0</v>
      </c>
      <c r="D34" s="27">
        <v>25.0</v>
      </c>
      <c r="E34" s="27">
        <v>25.0</v>
      </c>
      <c r="F34" s="27">
        <v>25.0</v>
      </c>
      <c r="G34" s="27">
        <v>15.0</v>
      </c>
      <c r="H34" s="22"/>
    </row>
    <row r="35">
      <c r="A35" s="41"/>
      <c r="B35" s="40" t="s">
        <v>146</v>
      </c>
      <c r="C35" s="26">
        <v>5.0</v>
      </c>
      <c r="D35" s="26"/>
      <c r="E35" s="26"/>
      <c r="F35" s="26"/>
      <c r="G35" s="29"/>
      <c r="H35" s="22"/>
    </row>
    <row r="36">
      <c r="A36" s="41"/>
      <c r="B36" s="26" t="s">
        <v>139</v>
      </c>
      <c r="C36" s="26">
        <v>0.0</v>
      </c>
      <c r="D36" s="26"/>
      <c r="E36" s="26"/>
      <c r="F36" s="26"/>
      <c r="G36" s="29"/>
      <c r="H36" s="22"/>
    </row>
    <row r="37">
      <c r="A37" s="42"/>
      <c r="B37" s="26" t="s">
        <v>4</v>
      </c>
      <c r="C37" s="26"/>
      <c r="D37" s="26"/>
      <c r="E37" s="26"/>
      <c r="F37" s="26"/>
      <c r="G37" s="29"/>
      <c r="H37" s="22"/>
    </row>
    <row r="38">
      <c r="A38" s="10">
        <v>1.0</v>
      </c>
      <c r="B38" s="11" t="s">
        <v>95</v>
      </c>
      <c r="C38" s="10" t="s">
        <v>173</v>
      </c>
      <c r="D38" s="29"/>
      <c r="E38" s="29"/>
      <c r="F38" s="29"/>
      <c r="G38" s="29"/>
    </row>
    <row r="39">
      <c r="A39" s="10">
        <v>2.0</v>
      </c>
      <c r="B39" s="11" t="s">
        <v>105</v>
      </c>
      <c r="C39" s="10" t="s">
        <v>173</v>
      </c>
      <c r="D39" s="29"/>
      <c r="E39" s="29"/>
      <c r="F39" s="29"/>
      <c r="G39" s="29"/>
    </row>
    <row r="40">
      <c r="A40" s="10">
        <v>3.0</v>
      </c>
      <c r="B40" s="11"/>
      <c r="C40" s="29"/>
      <c r="D40" s="29"/>
      <c r="E40" s="29"/>
      <c r="F40" s="29"/>
      <c r="G40" s="29"/>
    </row>
    <row r="41">
      <c r="A41" s="10">
        <v>4.0</v>
      </c>
      <c r="B41" s="11"/>
      <c r="C41" s="29"/>
      <c r="D41" s="29"/>
      <c r="E41" s="29"/>
      <c r="F41" s="29"/>
      <c r="G41" s="29"/>
    </row>
    <row r="42">
      <c r="A42" s="10">
        <v>5.0</v>
      </c>
      <c r="B42" s="11"/>
      <c r="C42" s="29"/>
      <c r="D42" s="29"/>
      <c r="E42" s="29"/>
      <c r="F42" s="29"/>
      <c r="G42" s="29"/>
    </row>
    <row r="43">
      <c r="A43" s="10">
        <v>6.0</v>
      </c>
      <c r="B43" s="11"/>
      <c r="C43" s="29"/>
      <c r="D43" s="29"/>
      <c r="E43" s="29"/>
      <c r="F43" s="29"/>
      <c r="G43" s="29"/>
    </row>
    <row r="44">
      <c r="A44" s="10">
        <v>7.0</v>
      </c>
      <c r="B44" s="11"/>
      <c r="C44" s="29"/>
      <c r="D44" s="29"/>
      <c r="E44" s="29"/>
      <c r="F44" s="10"/>
      <c r="G44" s="29"/>
    </row>
    <row r="45">
      <c r="A45" s="43"/>
      <c r="B45" s="43"/>
      <c r="C45" s="43"/>
      <c r="D45" s="43"/>
      <c r="E45" s="43"/>
      <c r="F45" s="44"/>
      <c r="G45" s="45" t="s">
        <v>148</v>
      </c>
      <c r="H45" s="43">
        <f>SUM(C35:G35)</f>
        <v>5</v>
      </c>
    </row>
    <row r="46">
      <c r="A46" s="5" t="s">
        <v>149</v>
      </c>
      <c r="F46" s="5"/>
    </row>
    <row r="47">
      <c r="A47" s="5" t="s">
        <v>161</v>
      </c>
      <c r="F47" s="5"/>
    </row>
    <row r="48">
      <c r="A48" s="24" t="s">
        <v>162</v>
      </c>
      <c r="B48" s="36"/>
      <c r="C48" s="36"/>
      <c r="D48" s="36"/>
      <c r="E48" s="36"/>
      <c r="F48" s="36"/>
      <c r="G48" s="36"/>
      <c r="H48" s="36"/>
    </row>
    <row r="50">
      <c r="A50" s="10" t="s">
        <v>3</v>
      </c>
      <c r="B50" s="10"/>
      <c r="C50" s="29"/>
      <c r="D50" s="29"/>
      <c r="E50" s="29"/>
      <c r="F50" s="10" t="s">
        <v>154</v>
      </c>
      <c r="G50" s="26" t="s">
        <v>163</v>
      </c>
    </row>
    <row r="51">
      <c r="A51" s="10">
        <v>1.0</v>
      </c>
      <c r="B51" s="10" t="s">
        <v>174</v>
      </c>
      <c r="C51" s="29"/>
      <c r="D51" s="29"/>
      <c r="E51" s="29"/>
      <c r="F51" s="46" t="s">
        <v>158</v>
      </c>
      <c r="G51" s="46">
        <v>10.0</v>
      </c>
    </row>
    <row r="52">
      <c r="A52" s="29"/>
      <c r="B52" s="29"/>
      <c r="C52" s="29"/>
      <c r="D52" s="29"/>
      <c r="E52" s="29"/>
      <c r="F52" s="10" t="s">
        <v>146</v>
      </c>
      <c r="G52" s="47">
        <v>10.0</v>
      </c>
    </row>
    <row r="53">
      <c r="A53" s="43"/>
      <c r="B53" s="43"/>
      <c r="C53" s="43"/>
      <c r="D53" s="43"/>
      <c r="E53" s="43"/>
      <c r="F53" s="43"/>
      <c r="G53" s="45" t="s">
        <v>148</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8.0</v>
      </c>
    </row>
    <row r="5" ht="78.75" customHeight="1">
      <c r="A5" s="1" t="s">
        <v>120</v>
      </c>
      <c r="B5" s="20" t="s">
        <v>175</v>
      </c>
    </row>
    <row r="6">
      <c r="A6" s="19" t="s">
        <v>121</v>
      </c>
      <c r="B6" s="6"/>
      <c r="C6" s="6"/>
      <c r="D6" s="6"/>
      <c r="E6" s="6"/>
      <c r="F6" s="6"/>
    </row>
    <row r="7">
      <c r="A7" s="1"/>
      <c r="B7" s="6"/>
      <c r="C7" s="6"/>
      <c r="D7" s="6"/>
      <c r="E7" s="6"/>
      <c r="F7" s="6"/>
    </row>
    <row r="8">
      <c r="A8" s="1" t="s">
        <v>137</v>
      </c>
      <c r="B8" s="6" t="s">
        <v>138</v>
      </c>
    </row>
    <row r="11">
      <c r="A11" s="1" t="s">
        <v>139</v>
      </c>
      <c r="B11" s="5">
        <f>SUM(C36:G36)</f>
        <v>0</v>
      </c>
      <c r="C11" s="22"/>
      <c r="F11" s="23" t="s">
        <v>140</v>
      </c>
      <c r="H11" s="22">
        <f>H25+H45+H53</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25.0</v>
      </c>
      <c r="E16" s="26">
        <v>10.0</v>
      </c>
      <c r="F16" s="26">
        <v>25.0</v>
      </c>
      <c r="G16" s="26">
        <v>25.0</v>
      </c>
      <c r="H16" s="28"/>
    </row>
    <row r="17">
      <c r="A17" s="26" t="s">
        <v>3</v>
      </c>
      <c r="B17" s="26" t="s">
        <v>6</v>
      </c>
      <c r="C17" s="26" t="s">
        <v>7</v>
      </c>
      <c r="D17" s="26"/>
      <c r="E17" s="26"/>
      <c r="F17" s="26"/>
      <c r="G17" s="26"/>
    </row>
    <row r="18">
      <c r="A18" s="10">
        <v>1.0</v>
      </c>
      <c r="B18" s="29" t="str">
        <f>IFERROR(__xludf.DUMMYFUNCTION("FILTER('Diseño Curricular'!D:D,'Diseño Curricular'!G:G=$B$3)"),"Problemas éticos y sociales en sistemas")</f>
        <v>Problemas éticos y sociales en sistemas</v>
      </c>
      <c r="C18" s="29" t="str">
        <f>IFERROR(__xludf.DUMMYFUNCTION("FILTER('Diseño Curricular'!E:E,'Diseño Curricular'!G:G=$B$3)"),"Ejemplos de problemas éticos")</f>
        <v>Ejemplos de problemas éticos</v>
      </c>
      <c r="D18" s="30" t="s">
        <v>147</v>
      </c>
      <c r="E18" s="30"/>
      <c r="F18" s="31"/>
      <c r="G18" s="30" t="s">
        <v>147</v>
      </c>
    </row>
    <row r="19">
      <c r="A19" s="10">
        <v>2.0</v>
      </c>
      <c r="B19" s="29" t="str">
        <f>IFERROR(__xludf.DUMMYFUNCTION("""COMPUTED_VALUE"""),"Problemas éticos y sociales en sistemas")</f>
        <v>Problemas éticos y sociales en sistemas</v>
      </c>
      <c r="C19" s="29" t="str">
        <f>IFERROR(__xludf.DUMMYFUNCTION("""COMPUTED_VALUE"""),"Impacto social de las TIC")</f>
        <v>Impacto social de las TIC</v>
      </c>
      <c r="D19" s="30" t="s">
        <v>147</v>
      </c>
      <c r="E19" s="30" t="s">
        <v>147</v>
      </c>
      <c r="F19" s="30" t="s">
        <v>147</v>
      </c>
      <c r="G19" s="31"/>
    </row>
    <row r="20">
      <c r="A20" s="10">
        <v>3.0</v>
      </c>
      <c r="B20" s="29" t="str">
        <f>IFERROR(__xludf.DUMMYFUNCTION("""COMPUTED_VALUE"""),"Problemas éticos y sociales en sistemas")</f>
        <v>Problemas éticos y sociales en sistemas</v>
      </c>
      <c r="C20" s="29" t="str">
        <f>IFERROR(__xludf.DUMMYFUNCTION("""COMPUTED_VALUE"""),"Casos de estudio")</f>
        <v>Casos de estudio</v>
      </c>
      <c r="D20" s="30" t="s">
        <v>147</v>
      </c>
      <c r="E20" s="30"/>
      <c r="F20" s="31"/>
      <c r="G20" s="30" t="s">
        <v>147</v>
      </c>
    </row>
    <row r="21">
      <c r="A21" s="10">
        <v>4.0</v>
      </c>
      <c r="B21" s="29" t="str">
        <f>IFERROR(__xludf.DUMMYFUNCTION("""COMPUTED_VALUE"""),"Problemas éticos y sociales en sistemas")</f>
        <v>Problemas éticos y sociales en sistemas</v>
      </c>
      <c r="C21" s="29" t="str">
        <f>IFERROR(__xludf.DUMMYFUNCTION("""COMPUTED_VALUE"""),"Desafíos éticos en la implementación")</f>
        <v>Desafíos éticos en la implementación</v>
      </c>
      <c r="D21" s="30" t="s">
        <v>147</v>
      </c>
      <c r="E21" s="31"/>
      <c r="F21" s="31"/>
      <c r="G21" s="31"/>
    </row>
    <row r="22">
      <c r="A22" s="10">
        <v>5.0</v>
      </c>
      <c r="B22" s="29" t="str">
        <f>IFERROR(__xludf.DUMMYFUNCTION("""COMPUTED_VALUE"""),"Problemas éticos y sociales en sistemas")</f>
        <v>Problemas éticos y sociales en sistemas</v>
      </c>
      <c r="C22" s="29" t="str">
        <f>IFERROR(__xludf.DUMMYFUNCTION("""COMPUTED_VALUE"""),"Futuro de la ética en TIC")</f>
        <v>Futuro de la ética en TIC</v>
      </c>
      <c r="D22" s="30" t="s">
        <v>147</v>
      </c>
      <c r="E22" s="31"/>
      <c r="F22" s="30" t="s">
        <v>147</v>
      </c>
      <c r="G22" s="31"/>
    </row>
    <row r="23">
      <c r="A23" s="10">
        <v>6.0</v>
      </c>
      <c r="B23" s="29" t="str">
        <f>IFERROR(__xludf.DUMMYFUNCTION("""COMPUTED_VALUE"""),"Problemas éticos y sociales en sistemas")</f>
        <v>Problemas éticos y sociales en sistemas</v>
      </c>
      <c r="C23" s="29" t="str">
        <f>IFERROR(__xludf.DUMMYFUNCTION("""COMPUTED_VALUE"""),"Conclusiones sobre problemas éticos")</f>
        <v>Conclusiones sobre problemas éticos</v>
      </c>
      <c r="D23" s="30" t="s">
        <v>147</v>
      </c>
      <c r="E23" s="31"/>
      <c r="F23" s="31"/>
      <c r="G23" s="31"/>
    </row>
    <row r="24">
      <c r="A24" s="10">
        <v>7.0</v>
      </c>
      <c r="B24" s="29" t="str">
        <f>IFERROR(__xludf.DUMMYFUNCTION("""COMPUTED_VALUE"""),"Clases de sistemas de información")</f>
        <v>Clases de sistemas de información</v>
      </c>
      <c r="C24" s="29" t="str">
        <f>IFERROR(__xludf.DUMMYFUNCTION("""COMPUTED_VALUE"""),"Sistemas funcionales")</f>
        <v>Sistemas funcionales</v>
      </c>
      <c r="D24" s="30" t="s">
        <v>147</v>
      </c>
      <c r="E24" s="30" t="s">
        <v>147</v>
      </c>
      <c r="F24" s="31"/>
      <c r="G24" s="31"/>
    </row>
    <row r="25">
      <c r="A25" s="32"/>
      <c r="B25" s="32" t="str">
        <f>IFERROR(__xludf.DUMMYFUNCTION("""COMPUTED_VALUE"""),"Clases de sistemas de información")</f>
        <v>Clases de sistemas de información</v>
      </c>
      <c r="C25" s="32" t="str">
        <f>IFERROR(__xludf.DUMMYFUNCTION("""COMPUTED_VALUE"""),"ERP")</f>
        <v>ERP</v>
      </c>
      <c r="D25" s="32"/>
      <c r="E25" s="32"/>
      <c r="F25" s="32"/>
      <c r="G25" s="33" t="s">
        <v>148</v>
      </c>
      <c r="H25" s="32">
        <f>SUM(D16:G16)</f>
        <v>85</v>
      </c>
    </row>
    <row r="26">
      <c r="A26" s="5" t="s">
        <v>149</v>
      </c>
    </row>
    <row r="27">
      <c r="A27" s="5" t="s">
        <v>150</v>
      </c>
      <c r="E27" s="16"/>
    </row>
    <row r="28">
      <c r="A28" s="35"/>
    </row>
    <row r="29">
      <c r="A29" s="24" t="s">
        <v>151</v>
      </c>
      <c r="B29" s="36"/>
      <c r="C29" s="36"/>
      <c r="D29" s="36"/>
      <c r="E29" s="36"/>
      <c r="F29" s="36"/>
      <c r="G29" s="36"/>
      <c r="H29" s="36"/>
    </row>
    <row r="30">
      <c r="A30" s="5" t="s">
        <v>152</v>
      </c>
      <c r="B30" s="22"/>
      <c r="C30" s="22"/>
      <c r="D30" s="22"/>
      <c r="E30" s="22"/>
      <c r="F30" s="22"/>
      <c r="G30" s="22"/>
      <c r="H30" s="37"/>
    </row>
    <row r="31">
      <c r="A31" s="5" t="s">
        <v>153</v>
      </c>
      <c r="B31" s="22"/>
      <c r="C31" s="22"/>
      <c r="D31" s="22"/>
      <c r="E31" s="22"/>
      <c r="F31" s="22"/>
      <c r="G31" s="22"/>
      <c r="H31" s="37"/>
    </row>
    <row r="32">
      <c r="A32" s="22"/>
      <c r="B32" s="22"/>
      <c r="C32" s="22"/>
      <c r="D32" s="22"/>
      <c r="E32" s="22"/>
      <c r="F32" s="22"/>
      <c r="G32" s="22"/>
      <c r="H32" s="37"/>
    </row>
    <row r="33">
      <c r="A33" s="38" t="s">
        <v>3</v>
      </c>
      <c r="B33" s="26" t="s">
        <v>154</v>
      </c>
      <c r="C33" s="39" t="s">
        <v>155</v>
      </c>
      <c r="D33" s="26" t="s">
        <v>156</v>
      </c>
      <c r="E33" s="26" t="s">
        <v>124</v>
      </c>
      <c r="F33" s="26" t="s">
        <v>144</v>
      </c>
      <c r="G33" s="40" t="s">
        <v>157</v>
      </c>
      <c r="H33" s="37"/>
    </row>
    <row r="34">
      <c r="A34" s="41"/>
      <c r="B34" s="27" t="s">
        <v>158</v>
      </c>
      <c r="C34" s="27">
        <v>25.0</v>
      </c>
      <c r="D34" s="27">
        <v>25.0</v>
      </c>
      <c r="E34" s="27">
        <v>25.0</v>
      </c>
      <c r="F34" s="27">
        <v>25.0</v>
      </c>
      <c r="G34" s="27">
        <v>15.0</v>
      </c>
      <c r="H34" s="22"/>
    </row>
    <row r="35">
      <c r="A35" s="41"/>
      <c r="B35" s="40" t="s">
        <v>146</v>
      </c>
      <c r="C35" s="26">
        <v>5.0</v>
      </c>
      <c r="D35" s="26"/>
      <c r="E35" s="26"/>
      <c r="F35" s="26"/>
      <c r="G35" s="29"/>
      <c r="H35" s="22"/>
    </row>
    <row r="36">
      <c r="A36" s="41"/>
      <c r="B36" s="26" t="s">
        <v>139</v>
      </c>
      <c r="C36" s="26">
        <v>0.0</v>
      </c>
      <c r="D36" s="26"/>
      <c r="E36" s="26"/>
      <c r="F36" s="26"/>
      <c r="G36" s="29"/>
      <c r="H36" s="22"/>
    </row>
    <row r="37">
      <c r="A37" s="42"/>
      <c r="B37" s="26" t="s">
        <v>4</v>
      </c>
      <c r="C37" s="26"/>
      <c r="D37" s="26"/>
      <c r="E37" s="26"/>
      <c r="F37" s="26"/>
      <c r="G37" s="29"/>
      <c r="H37" s="22"/>
    </row>
    <row r="38">
      <c r="A38" s="10">
        <v>1.0</v>
      </c>
      <c r="B38" s="11" t="s">
        <v>105</v>
      </c>
      <c r="C38" s="10" t="s">
        <v>147</v>
      </c>
      <c r="D38" s="29"/>
      <c r="E38" s="29"/>
      <c r="F38" s="29"/>
      <c r="G38" s="29"/>
    </row>
    <row r="39">
      <c r="A39" s="10">
        <v>2.0</v>
      </c>
      <c r="B39" s="11" t="s">
        <v>19</v>
      </c>
      <c r="C39" s="10" t="s">
        <v>147</v>
      </c>
      <c r="D39" s="29"/>
      <c r="E39" s="29"/>
      <c r="F39" s="29"/>
      <c r="G39" s="29"/>
    </row>
    <row r="40">
      <c r="A40" s="10">
        <v>3.0</v>
      </c>
      <c r="B40" s="11"/>
      <c r="C40" s="29"/>
      <c r="D40" s="29"/>
      <c r="E40" s="29"/>
      <c r="F40" s="29"/>
      <c r="G40" s="29"/>
    </row>
    <row r="41">
      <c r="A41" s="10">
        <v>4.0</v>
      </c>
      <c r="B41" s="11"/>
      <c r="C41" s="29"/>
      <c r="D41" s="29"/>
      <c r="E41" s="29"/>
      <c r="F41" s="29"/>
      <c r="G41" s="29"/>
    </row>
    <row r="42">
      <c r="A42" s="10">
        <v>5.0</v>
      </c>
      <c r="B42" s="11"/>
      <c r="C42" s="29"/>
      <c r="D42" s="29"/>
      <c r="E42" s="29"/>
      <c r="F42" s="29"/>
      <c r="G42" s="29"/>
    </row>
    <row r="43">
      <c r="A43" s="10">
        <v>6.0</v>
      </c>
      <c r="B43" s="11"/>
      <c r="C43" s="29"/>
      <c r="D43" s="29"/>
      <c r="E43" s="29"/>
      <c r="F43" s="29"/>
      <c r="G43" s="29"/>
    </row>
    <row r="44">
      <c r="A44" s="10">
        <v>7.0</v>
      </c>
      <c r="B44" s="11"/>
      <c r="C44" s="29"/>
      <c r="D44" s="29"/>
      <c r="E44" s="29"/>
      <c r="F44" s="10"/>
      <c r="G44" s="29"/>
    </row>
    <row r="45">
      <c r="A45" s="43"/>
      <c r="B45" s="43"/>
      <c r="C45" s="43"/>
      <c r="D45" s="43"/>
      <c r="E45" s="43"/>
      <c r="F45" s="44"/>
      <c r="G45" s="45" t="s">
        <v>148</v>
      </c>
      <c r="H45" s="43">
        <f>SUM(C35:G35)</f>
        <v>5</v>
      </c>
    </row>
    <row r="46">
      <c r="A46" s="5" t="s">
        <v>149</v>
      </c>
      <c r="F46" s="5"/>
    </row>
    <row r="47">
      <c r="A47" s="5" t="s">
        <v>161</v>
      </c>
      <c r="F47" s="5"/>
    </row>
    <row r="48">
      <c r="A48" s="24" t="s">
        <v>162</v>
      </c>
      <c r="B48" s="36"/>
      <c r="C48" s="36"/>
      <c r="D48" s="36"/>
      <c r="E48" s="36"/>
      <c r="F48" s="36"/>
      <c r="G48" s="36"/>
      <c r="H48" s="36"/>
    </row>
    <row r="50">
      <c r="A50" s="10" t="s">
        <v>3</v>
      </c>
      <c r="B50" s="10"/>
      <c r="C50" s="29"/>
      <c r="D50" s="29"/>
      <c r="E50" s="29"/>
      <c r="F50" s="10" t="s">
        <v>154</v>
      </c>
      <c r="G50" s="26" t="s">
        <v>163</v>
      </c>
    </row>
    <row r="51">
      <c r="A51" s="10">
        <v>1.0</v>
      </c>
      <c r="B51" s="10" t="s">
        <v>176</v>
      </c>
      <c r="C51" s="29"/>
      <c r="D51" s="29"/>
      <c r="E51" s="29"/>
      <c r="F51" s="46" t="s">
        <v>158</v>
      </c>
      <c r="G51" s="46">
        <v>10.0</v>
      </c>
    </row>
    <row r="52">
      <c r="A52" s="29"/>
      <c r="B52" s="29"/>
      <c r="C52" s="29"/>
      <c r="D52" s="29"/>
      <c r="E52" s="29"/>
      <c r="F52" s="10" t="s">
        <v>146</v>
      </c>
      <c r="G52" s="47">
        <v>10.0</v>
      </c>
    </row>
    <row r="53">
      <c r="A53" s="43"/>
      <c r="B53" s="43"/>
      <c r="C53" s="43"/>
      <c r="D53" s="43"/>
      <c r="E53" s="43"/>
      <c r="F53" s="43"/>
      <c r="G53" s="45" t="s">
        <v>148</v>
      </c>
      <c r="H53" s="43">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9.0</v>
      </c>
    </row>
    <row r="5" ht="78.75" customHeight="1">
      <c r="A5" s="1" t="s">
        <v>120</v>
      </c>
      <c r="B5" s="20" t="s">
        <v>177</v>
      </c>
    </row>
    <row r="6">
      <c r="A6" s="19" t="s">
        <v>121</v>
      </c>
      <c r="B6" s="6"/>
      <c r="C6" s="6"/>
      <c r="D6" s="6"/>
      <c r="E6" s="6"/>
      <c r="F6" s="6"/>
    </row>
    <row r="7">
      <c r="A7" s="1"/>
      <c r="B7" s="6"/>
      <c r="C7" s="6"/>
      <c r="D7" s="6"/>
      <c r="E7" s="6"/>
      <c r="F7" s="6"/>
    </row>
    <row r="8">
      <c r="A8" s="1" t="s">
        <v>137</v>
      </c>
      <c r="B8" s="6" t="s">
        <v>138</v>
      </c>
    </row>
    <row r="11">
      <c r="A11" s="1" t="s">
        <v>139</v>
      </c>
      <c r="B11" s="5">
        <f>SUM(C41:G41)</f>
        <v>0</v>
      </c>
      <c r="C11" s="22"/>
      <c r="F11" s="23" t="s">
        <v>140</v>
      </c>
      <c r="H11" s="22">
        <f>H30+H50+H58</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25.0</v>
      </c>
      <c r="E16" s="26">
        <v>10.0</v>
      </c>
      <c r="F16" s="26">
        <v>25.0</v>
      </c>
      <c r="G16" s="26">
        <v>25.0</v>
      </c>
      <c r="H16" s="28"/>
    </row>
    <row r="17">
      <c r="A17" s="26" t="s">
        <v>3</v>
      </c>
      <c r="B17" s="26" t="s">
        <v>6</v>
      </c>
      <c r="C17" s="26" t="s">
        <v>7</v>
      </c>
      <c r="D17" s="26"/>
      <c r="E17" s="26"/>
      <c r="F17" s="26"/>
      <c r="G17" s="26"/>
    </row>
    <row r="18">
      <c r="A18" s="10">
        <v>1.0</v>
      </c>
      <c r="B18" s="29" t="str">
        <f>IFERROR(__xludf.DUMMYFUNCTION("FILTER('Diseño Curricular'!D:D,'Diseño Curricular'!G:G=$B$3)"),"Clases de sistemas de información")</f>
        <v>Clases de sistemas de información</v>
      </c>
      <c r="C18" s="29" t="str">
        <f>IFERROR(__xludf.DUMMYFUNCTION("FILTER('Diseño Curricular'!E:E,'Diseño Curricular'!G:G=$B$3)"),"SCM")</f>
        <v>SCM</v>
      </c>
      <c r="D18" s="30" t="s">
        <v>173</v>
      </c>
      <c r="E18" s="30" t="s">
        <v>173</v>
      </c>
      <c r="F18" s="31"/>
      <c r="G18" s="30" t="s">
        <v>173</v>
      </c>
    </row>
    <row r="19">
      <c r="A19" s="10">
        <v>2.0</v>
      </c>
      <c r="B19" s="29" t="str">
        <f>IFERROR(__xludf.DUMMYFUNCTION("""COMPUTED_VALUE"""),"Clases de sistemas de información")</f>
        <v>Clases de sistemas de información</v>
      </c>
      <c r="C19" s="29" t="str">
        <f>IFERROR(__xludf.DUMMYFUNCTION("""COMPUTED_VALUE"""),"CRM")</f>
        <v>CRM</v>
      </c>
      <c r="D19" s="30" t="s">
        <v>173</v>
      </c>
      <c r="E19" s="30" t="s">
        <v>173</v>
      </c>
      <c r="F19" s="31"/>
      <c r="G19" s="30" t="s">
        <v>173</v>
      </c>
    </row>
    <row r="20">
      <c r="A20" s="10">
        <v>3.0</v>
      </c>
      <c r="B20" s="29" t="str">
        <f>IFERROR(__xludf.DUMMYFUNCTION("""COMPUTED_VALUE"""),"Clases de sistemas de información")</f>
        <v>Clases de sistemas de información</v>
      </c>
      <c r="C20" s="29" t="str">
        <f>IFERROR(__xludf.DUMMYFUNCTION("""COMPUTED_VALUE"""),"Sistemas distribuidos")</f>
        <v>Sistemas distribuidos</v>
      </c>
      <c r="D20" s="30" t="s">
        <v>173</v>
      </c>
      <c r="E20" s="30"/>
      <c r="F20" s="31"/>
      <c r="G20" s="30"/>
    </row>
    <row r="21">
      <c r="A21" s="10">
        <v>4.0</v>
      </c>
      <c r="B21" s="29" t="str">
        <f>IFERROR(__xludf.DUMMYFUNCTION("""COMPUTED_VALUE"""),"Clases de sistemas de información")</f>
        <v>Clases de sistemas de información</v>
      </c>
      <c r="C21" s="29" t="str">
        <f>IFERROR(__xludf.DUMMYFUNCTION("""COMPUTED_VALUE"""),"GIS")</f>
        <v>GIS</v>
      </c>
      <c r="D21" s="30" t="s">
        <v>173</v>
      </c>
      <c r="E21" s="30" t="s">
        <v>173</v>
      </c>
      <c r="F21" s="31"/>
      <c r="G21" s="30" t="s">
        <v>173</v>
      </c>
    </row>
    <row r="22">
      <c r="A22" s="10">
        <v>5.0</v>
      </c>
      <c r="B22" s="29" t="str">
        <f>IFERROR(__xludf.DUMMYFUNCTION("""COMPUTED_VALUE"""),"Clases de sistemas de información")</f>
        <v>Clases de sistemas de información</v>
      </c>
      <c r="C22" s="29" t="str">
        <f>IFERROR(__xludf.DUMMYFUNCTION("""COMPUTED_VALUE"""),"Conclusiones sobre clases de sistemas")</f>
        <v>Conclusiones sobre clases de sistemas</v>
      </c>
      <c r="D22" s="30" t="s">
        <v>173</v>
      </c>
      <c r="E22" s="30"/>
      <c r="F22" s="30"/>
      <c r="G22" s="31"/>
    </row>
    <row r="23">
      <c r="A23" s="10">
        <v>6.0</v>
      </c>
      <c r="B23" s="29" t="str">
        <f>IFERROR(__xludf.DUMMYFUNCTION("""COMPUTED_VALUE"""),"Integración de sistemas")</f>
        <v>Integración de sistemas</v>
      </c>
      <c r="C23" s="29" t="str">
        <f>IFERROR(__xludf.DUMMYFUNCTION("""COMPUTED_VALUE"""),"Definición de integración")</f>
        <v>Definición de integración</v>
      </c>
      <c r="D23" s="30" t="s">
        <v>173</v>
      </c>
      <c r="E23" s="30"/>
      <c r="F23" s="31"/>
      <c r="G23" s="30"/>
    </row>
    <row r="24">
      <c r="A24" s="10">
        <v>7.0</v>
      </c>
      <c r="B24" s="29" t="str">
        <f>IFERROR(__xludf.DUMMYFUNCTION("""COMPUTED_VALUE"""),"Integración de sistemas")</f>
        <v>Integración de sistemas</v>
      </c>
      <c r="C24" s="29" t="str">
        <f>IFERROR(__xludf.DUMMYFUNCTION("""COMPUTED_VALUE"""),"Beneficios de la integración")</f>
        <v>Beneficios de la integración</v>
      </c>
      <c r="D24" s="30" t="s">
        <v>173</v>
      </c>
      <c r="E24" s="30"/>
      <c r="F24" s="31"/>
      <c r="G24" s="31"/>
    </row>
    <row r="25">
      <c r="A25" s="10">
        <v>8.0</v>
      </c>
      <c r="B25" s="29" t="str">
        <f>IFERROR(__xludf.DUMMYFUNCTION("""COMPUTED_VALUE"""),"Integración de sistemas")</f>
        <v>Integración de sistemas</v>
      </c>
      <c r="C25" s="29" t="str">
        <f>IFERROR(__xludf.DUMMYFUNCTION("""COMPUTED_VALUE"""),"Ejemplos de integración")</f>
        <v>Ejemplos de integración</v>
      </c>
      <c r="D25" s="30"/>
      <c r="E25" s="30"/>
      <c r="F25" s="30" t="s">
        <v>173</v>
      </c>
      <c r="G25" s="31"/>
    </row>
    <row r="26">
      <c r="A26" s="10">
        <v>9.0</v>
      </c>
      <c r="B26" s="29" t="str">
        <f>IFERROR(__xludf.DUMMYFUNCTION("""COMPUTED_VALUE"""),"Integración de sistemas")</f>
        <v>Integración de sistemas</v>
      </c>
      <c r="C26" s="29" t="str">
        <f>IFERROR(__xludf.DUMMYFUNCTION("""COMPUTED_VALUE"""),"Herramientas de integración")</f>
        <v>Herramientas de integración</v>
      </c>
      <c r="D26" s="30"/>
      <c r="E26" s="31"/>
      <c r="F26" s="30" t="s">
        <v>173</v>
      </c>
      <c r="G26" s="31"/>
    </row>
    <row r="27">
      <c r="A27" s="10">
        <v>10.0</v>
      </c>
      <c r="B27" s="29" t="str">
        <f>IFERROR(__xludf.DUMMYFUNCTION("""COMPUTED_VALUE"""),"Integración de sistemas")</f>
        <v>Integración de sistemas</v>
      </c>
      <c r="C27" s="29" t="str">
        <f>IFERROR(__xludf.DUMMYFUNCTION("""COMPUTED_VALUE"""),"Desafíos en la integración")</f>
        <v>Desafíos en la integración</v>
      </c>
      <c r="D27" s="30"/>
      <c r="E27" s="31"/>
      <c r="F27" s="30" t="s">
        <v>173</v>
      </c>
      <c r="G27" s="31"/>
    </row>
    <row r="28">
      <c r="A28" s="10">
        <v>11.0</v>
      </c>
      <c r="B28" s="29" t="str">
        <f>IFERROR(__xludf.DUMMYFUNCTION("""COMPUTED_VALUE"""),"Integración de sistemas")</f>
        <v>Integración de sistemas</v>
      </c>
      <c r="C28" s="29" t="str">
        <f>IFERROR(__xludf.DUMMYFUNCTION("""COMPUTED_VALUE"""),"Impacto en la eficiencia organizacional")</f>
        <v>Impacto en la eficiencia organizacional</v>
      </c>
      <c r="D28" s="30"/>
      <c r="E28" s="31"/>
      <c r="F28" s="30" t="s">
        <v>173</v>
      </c>
      <c r="G28" s="31"/>
    </row>
    <row r="29">
      <c r="A29" s="10">
        <v>12.0</v>
      </c>
      <c r="B29" s="29" t="str">
        <f>IFERROR(__xludf.DUMMYFUNCTION("""COMPUTED_VALUE"""),"Integración de sistemas")</f>
        <v>Integración de sistemas</v>
      </c>
      <c r="C29" s="29" t="str">
        <f>IFERROR(__xludf.DUMMYFUNCTION("""COMPUTED_VALUE"""),"Futuro de la integración")</f>
        <v>Futuro de la integración</v>
      </c>
      <c r="D29" s="30"/>
      <c r="E29" s="31"/>
      <c r="F29" s="30" t="s">
        <v>173</v>
      </c>
      <c r="G29" s="31"/>
    </row>
    <row r="30">
      <c r="A30" s="32"/>
      <c r="B30" s="32" t="str">
        <f>IFERROR(__xludf.DUMMYFUNCTION("""COMPUTED_VALUE"""),"Arquitectura de sistemas")</f>
        <v>Arquitectura de sistemas</v>
      </c>
      <c r="C30" s="32" t="str">
        <f>IFERROR(__xludf.DUMMYFUNCTION("""COMPUTED_VALUE"""),"Definición de arquitectura de sistemas")</f>
        <v>Definición de arquitectura de sistemas</v>
      </c>
      <c r="D30" s="32"/>
      <c r="E30" s="32"/>
      <c r="F30" s="32"/>
      <c r="G30" s="33" t="s">
        <v>148</v>
      </c>
      <c r="H30" s="32">
        <f>SUM(D16:G16)</f>
        <v>85</v>
      </c>
    </row>
    <row r="31">
      <c r="A31" s="5" t="s">
        <v>149</v>
      </c>
      <c r="B31" s="34" t="str">
        <f>IFERROR(__xludf.DUMMYFUNCTION("""COMPUTED_VALUE"""),"Arquitectura de sistemas")</f>
        <v>Arquitectura de sistemas</v>
      </c>
      <c r="C31" s="34" t="str">
        <f>IFERROR(__xludf.DUMMYFUNCTION("""COMPUTED_VALUE"""),"Tipos de arquitectura")</f>
        <v>Tipos de arquitectura</v>
      </c>
    </row>
    <row r="32">
      <c r="A32" s="5" t="s">
        <v>150</v>
      </c>
      <c r="E32" s="16"/>
    </row>
    <row r="33">
      <c r="A33" s="35"/>
    </row>
    <row r="34">
      <c r="A34" s="24" t="s">
        <v>151</v>
      </c>
      <c r="B34" s="36"/>
      <c r="C34" s="36"/>
      <c r="D34" s="36"/>
      <c r="E34" s="36"/>
      <c r="F34" s="36"/>
      <c r="G34" s="36"/>
      <c r="H34" s="36"/>
    </row>
    <row r="35">
      <c r="A35" s="5" t="s">
        <v>152</v>
      </c>
      <c r="B35" s="22"/>
      <c r="C35" s="22"/>
      <c r="D35" s="22"/>
      <c r="E35" s="22"/>
      <c r="F35" s="22"/>
      <c r="G35" s="22"/>
      <c r="H35" s="37"/>
    </row>
    <row r="36">
      <c r="A36" s="5" t="s">
        <v>153</v>
      </c>
      <c r="B36" s="22"/>
      <c r="C36" s="22"/>
      <c r="D36" s="22"/>
      <c r="E36" s="22"/>
      <c r="F36" s="22"/>
      <c r="G36" s="22"/>
      <c r="H36" s="37"/>
    </row>
    <row r="37">
      <c r="A37" s="22"/>
      <c r="B37" s="22"/>
      <c r="C37" s="22"/>
      <c r="D37" s="22"/>
      <c r="E37" s="22"/>
      <c r="F37" s="22"/>
      <c r="G37" s="22"/>
      <c r="H37" s="37"/>
    </row>
    <row r="38">
      <c r="A38" s="38" t="s">
        <v>3</v>
      </c>
      <c r="B38" s="26" t="s">
        <v>154</v>
      </c>
      <c r="C38" s="39" t="s">
        <v>155</v>
      </c>
      <c r="D38" s="26" t="s">
        <v>156</v>
      </c>
      <c r="E38" s="26" t="s">
        <v>124</v>
      </c>
      <c r="F38" s="26" t="s">
        <v>144</v>
      </c>
      <c r="G38" s="40" t="s">
        <v>157</v>
      </c>
      <c r="H38" s="37"/>
    </row>
    <row r="39">
      <c r="A39" s="41"/>
      <c r="B39" s="27" t="s">
        <v>158</v>
      </c>
      <c r="C39" s="27">
        <v>25.0</v>
      </c>
      <c r="D39" s="27">
        <v>25.0</v>
      </c>
      <c r="E39" s="27">
        <v>25.0</v>
      </c>
      <c r="F39" s="27">
        <v>25.0</v>
      </c>
      <c r="G39" s="27">
        <v>15.0</v>
      </c>
      <c r="H39" s="22"/>
    </row>
    <row r="40">
      <c r="A40" s="41"/>
      <c r="B40" s="40" t="s">
        <v>146</v>
      </c>
      <c r="C40" s="26">
        <v>5.0</v>
      </c>
      <c r="D40" s="26"/>
      <c r="E40" s="26"/>
      <c r="F40" s="26"/>
      <c r="G40" s="29"/>
      <c r="H40" s="22"/>
    </row>
    <row r="41">
      <c r="A41" s="41"/>
      <c r="B41" s="26" t="s">
        <v>139</v>
      </c>
      <c r="C41" s="26">
        <v>0.0</v>
      </c>
      <c r="D41" s="26"/>
      <c r="E41" s="26"/>
      <c r="F41" s="26"/>
      <c r="G41" s="29"/>
      <c r="H41" s="22"/>
    </row>
    <row r="42">
      <c r="A42" s="42"/>
      <c r="B42" s="26" t="s">
        <v>4</v>
      </c>
      <c r="C42" s="26"/>
      <c r="D42" s="26"/>
      <c r="E42" s="26"/>
      <c r="F42" s="26"/>
      <c r="G42" s="29"/>
      <c r="H42" s="22"/>
    </row>
    <row r="43">
      <c r="A43" s="10">
        <v>1.0</v>
      </c>
      <c r="B43" s="11" t="s">
        <v>28</v>
      </c>
      <c r="C43" s="10" t="s">
        <v>173</v>
      </c>
      <c r="D43" s="29"/>
      <c r="E43" s="29"/>
      <c r="F43" s="29"/>
      <c r="G43" s="29"/>
    </row>
    <row r="44">
      <c r="A44" s="10">
        <v>2.0</v>
      </c>
      <c r="B44" s="11" t="s">
        <v>95</v>
      </c>
      <c r="C44" s="10" t="s">
        <v>173</v>
      </c>
      <c r="D44" s="29"/>
      <c r="E44" s="29"/>
      <c r="F44" s="29"/>
      <c r="G44" s="29"/>
    </row>
    <row r="45">
      <c r="A45" s="10">
        <v>3.0</v>
      </c>
      <c r="B45" s="11" t="s">
        <v>159</v>
      </c>
      <c r="C45" s="10" t="s">
        <v>173</v>
      </c>
      <c r="D45" s="29"/>
      <c r="E45" s="29"/>
      <c r="F45" s="29"/>
      <c r="G45" s="29"/>
    </row>
    <row r="46">
      <c r="A46" s="10">
        <v>4.0</v>
      </c>
      <c r="B46" s="11"/>
      <c r="C46" s="29"/>
      <c r="D46" s="29"/>
      <c r="E46" s="29"/>
      <c r="F46" s="29"/>
      <c r="G46" s="29"/>
    </row>
    <row r="47">
      <c r="A47" s="10">
        <v>5.0</v>
      </c>
      <c r="B47" s="11"/>
      <c r="C47" s="29"/>
      <c r="D47" s="29"/>
      <c r="E47" s="29"/>
      <c r="F47" s="29"/>
      <c r="G47" s="29"/>
    </row>
    <row r="48">
      <c r="A48" s="10">
        <v>6.0</v>
      </c>
      <c r="B48" s="11"/>
      <c r="C48" s="29"/>
      <c r="D48" s="29"/>
      <c r="E48" s="29"/>
      <c r="F48" s="29"/>
      <c r="G48" s="29"/>
    </row>
    <row r="49">
      <c r="A49" s="10">
        <v>7.0</v>
      </c>
      <c r="B49" s="11"/>
      <c r="C49" s="29"/>
      <c r="D49" s="29"/>
      <c r="E49" s="29"/>
      <c r="F49" s="10"/>
      <c r="G49" s="29"/>
    </row>
    <row r="50">
      <c r="A50" s="43"/>
      <c r="B50" s="43"/>
      <c r="C50" s="43"/>
      <c r="D50" s="43"/>
      <c r="E50" s="43"/>
      <c r="F50" s="44"/>
      <c r="G50" s="45" t="s">
        <v>148</v>
      </c>
      <c r="H50" s="43">
        <f>SUM(C40:G40)</f>
        <v>5</v>
      </c>
    </row>
    <row r="51">
      <c r="A51" s="5" t="s">
        <v>149</v>
      </c>
      <c r="F51" s="5"/>
    </row>
    <row r="52">
      <c r="A52" s="5" t="s">
        <v>161</v>
      </c>
      <c r="F52" s="5"/>
    </row>
    <row r="53">
      <c r="A53" s="24" t="s">
        <v>162</v>
      </c>
      <c r="B53" s="36"/>
      <c r="C53" s="36"/>
      <c r="D53" s="36"/>
      <c r="E53" s="36"/>
      <c r="F53" s="36"/>
      <c r="G53" s="36"/>
      <c r="H53" s="36"/>
    </row>
    <row r="55">
      <c r="A55" s="10" t="s">
        <v>3</v>
      </c>
      <c r="B55" s="10"/>
      <c r="C55" s="29"/>
      <c r="D55" s="29"/>
      <c r="E55" s="29"/>
      <c r="F55" s="10" t="s">
        <v>154</v>
      </c>
      <c r="G55" s="26" t="s">
        <v>163</v>
      </c>
    </row>
    <row r="56">
      <c r="A56" s="10">
        <v>1.0</v>
      </c>
      <c r="B56" s="10" t="s">
        <v>174</v>
      </c>
      <c r="C56" s="29"/>
      <c r="D56" s="29"/>
      <c r="E56" s="29"/>
      <c r="F56" s="46" t="s">
        <v>158</v>
      </c>
      <c r="G56" s="46">
        <v>10.0</v>
      </c>
    </row>
    <row r="57">
      <c r="A57" s="29"/>
      <c r="B57" s="29"/>
      <c r="C57" s="29"/>
      <c r="D57" s="29"/>
      <c r="E57" s="29"/>
      <c r="F57" s="10" t="s">
        <v>146</v>
      </c>
      <c r="G57" s="47">
        <v>10.0</v>
      </c>
    </row>
    <row r="58">
      <c r="A58" s="43"/>
      <c r="B58" s="43"/>
      <c r="C58" s="43"/>
      <c r="D58" s="43"/>
      <c r="E58" s="43"/>
      <c r="F58" s="43"/>
      <c r="G58" s="45" t="s">
        <v>148</v>
      </c>
      <c r="H58" s="43">
        <f>G57</f>
        <v>10</v>
      </c>
    </row>
  </sheetData>
  <mergeCells count="6">
    <mergeCell ref="B1:H1"/>
    <mergeCell ref="B5:G5"/>
    <mergeCell ref="B8:F8"/>
    <mergeCell ref="F11:G11"/>
    <mergeCell ref="H14:H15"/>
    <mergeCell ref="A38:A42"/>
  </mergeCells>
  <dataValidations>
    <dataValidation type="list" allowBlank="1" showErrorMessage="1" sqref="B43:B49">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10.0</v>
      </c>
    </row>
    <row r="5" ht="78.75" customHeight="1">
      <c r="A5" s="1" t="s">
        <v>120</v>
      </c>
      <c r="B5" s="20" t="s">
        <v>178</v>
      </c>
    </row>
    <row r="6">
      <c r="A6" s="19" t="s">
        <v>121</v>
      </c>
      <c r="B6" s="6"/>
      <c r="C6" s="6"/>
      <c r="D6" s="6"/>
      <c r="E6" s="6"/>
      <c r="F6" s="6"/>
    </row>
    <row r="7">
      <c r="A7" s="1"/>
      <c r="B7" s="6"/>
      <c r="C7" s="6"/>
      <c r="D7" s="6"/>
      <c r="E7" s="6"/>
      <c r="F7" s="6"/>
    </row>
    <row r="8">
      <c r="A8" s="1" t="s">
        <v>137</v>
      </c>
      <c r="B8" s="6" t="s">
        <v>138</v>
      </c>
    </row>
    <row r="11">
      <c r="A11" s="1" t="s">
        <v>139</v>
      </c>
      <c r="B11" s="5">
        <f>SUM(C41:G41)</f>
        <v>0</v>
      </c>
      <c r="C11" s="22"/>
      <c r="F11" s="23" t="s">
        <v>140</v>
      </c>
      <c r="H11" s="22">
        <f>H30+H50+H58</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25.0</v>
      </c>
      <c r="E16" s="26">
        <v>10.0</v>
      </c>
      <c r="F16" s="26">
        <v>25.0</v>
      </c>
      <c r="G16" s="26">
        <v>25.0</v>
      </c>
      <c r="H16" s="28"/>
    </row>
    <row r="17">
      <c r="A17" s="26" t="s">
        <v>3</v>
      </c>
      <c r="B17" s="26" t="s">
        <v>6</v>
      </c>
      <c r="C17" s="26" t="s">
        <v>7</v>
      </c>
      <c r="D17" s="26"/>
      <c r="E17" s="26"/>
      <c r="F17" s="26"/>
      <c r="G17" s="26"/>
    </row>
    <row r="18">
      <c r="A18" s="10">
        <v>1.0</v>
      </c>
      <c r="B18" s="29" t="str">
        <f>IFERROR(__xludf.DUMMYFUNCTION("FILTER('Diseño Curricular'!D:D,'Diseño Curricular'!G:G=$B$3)"),"Arquitectura de sistemas")</f>
        <v>Arquitectura de sistemas</v>
      </c>
      <c r="C18" s="29" t="str">
        <f>IFERROR(__xludf.DUMMYFUNCTION("FILTER('Diseño Curricular'!E:E,'Diseño Curricular'!G:G=$B$3)"),"Ejemplos de arquitecturas")</f>
        <v>Ejemplos de arquitecturas</v>
      </c>
      <c r="D18" s="30" t="s">
        <v>173</v>
      </c>
      <c r="E18" s="30" t="s">
        <v>173</v>
      </c>
      <c r="F18" s="31"/>
      <c r="G18" s="31"/>
    </row>
    <row r="19">
      <c r="A19" s="10">
        <v>2.0</v>
      </c>
      <c r="B19" s="29" t="str">
        <f>IFERROR(__xludf.DUMMYFUNCTION("""COMPUTED_VALUE"""),"Arquitectura de sistemas")</f>
        <v>Arquitectura de sistemas</v>
      </c>
      <c r="C19" s="29" t="str">
        <f>IFERROR(__xludf.DUMMYFUNCTION("""COMPUTED_VALUE"""),"Herramientas para arquitecturas")</f>
        <v>Herramientas para arquitecturas</v>
      </c>
      <c r="D19" s="30" t="s">
        <v>173</v>
      </c>
      <c r="E19" s="31"/>
      <c r="F19" s="31"/>
      <c r="G19" s="31"/>
    </row>
    <row r="20">
      <c r="A20" s="10">
        <v>3.0</v>
      </c>
      <c r="B20" s="29" t="str">
        <f>IFERROR(__xludf.DUMMYFUNCTION("""COMPUTED_VALUE"""),"Arquitectura de sistemas")</f>
        <v>Arquitectura de sistemas</v>
      </c>
      <c r="C20" s="29" t="str">
        <f>IFERROR(__xludf.DUMMYFUNCTION("""COMPUTED_VALUE"""),"Impacto en la organización")</f>
        <v>Impacto en la organización</v>
      </c>
      <c r="D20" s="30"/>
      <c r="E20" s="30"/>
      <c r="F20" s="30" t="s">
        <v>173</v>
      </c>
      <c r="G20" s="30" t="s">
        <v>173</v>
      </c>
    </row>
    <row r="21">
      <c r="A21" s="10">
        <v>4.0</v>
      </c>
      <c r="B21" s="29" t="str">
        <f>IFERROR(__xludf.DUMMYFUNCTION("""COMPUTED_VALUE"""),"Arquitectura de sistemas")</f>
        <v>Arquitectura de sistemas</v>
      </c>
      <c r="C21" s="29" t="str">
        <f>IFERROR(__xludf.DUMMYFUNCTION("""COMPUTED_VALUE"""),"Futuro de la arquitectura de sistemas")</f>
        <v>Futuro de la arquitectura de sistemas</v>
      </c>
      <c r="D21" s="30"/>
      <c r="E21" s="31"/>
      <c r="F21" s="30" t="s">
        <v>173</v>
      </c>
      <c r="G21" s="31"/>
    </row>
    <row r="22">
      <c r="A22" s="10">
        <v>5.0</v>
      </c>
      <c r="B22" s="29" t="str">
        <f>IFERROR(__xludf.DUMMYFUNCTION("""COMPUTED_VALUE"""),"Arquitectura de sistemas")</f>
        <v>Arquitectura de sistemas</v>
      </c>
      <c r="C22" s="29" t="str">
        <f>IFERROR(__xludf.DUMMYFUNCTION("""COMPUTED_VALUE"""),"Conclusiones sobre arquitectura")</f>
        <v>Conclusiones sobre arquitectura</v>
      </c>
      <c r="D22" s="30" t="s">
        <v>173</v>
      </c>
      <c r="E22" s="31"/>
      <c r="F22" s="30"/>
      <c r="G22" s="31"/>
    </row>
    <row r="23">
      <c r="A23" s="10">
        <v>6.0</v>
      </c>
      <c r="B23" s="29" t="str">
        <f>IFERROR(__xludf.DUMMYFUNCTION("""COMPUTED_VALUE"""),"El ciclo de vida de un sistema")</f>
        <v>El ciclo de vida de un sistema</v>
      </c>
      <c r="C23" s="29" t="str">
        <f>IFERROR(__xludf.DUMMYFUNCTION("""COMPUTED_VALUE"""),"Definición del ciclo de vida")</f>
        <v>Definición del ciclo de vida</v>
      </c>
      <c r="D23" s="31"/>
      <c r="E23" s="31"/>
      <c r="F23" s="30" t="s">
        <v>173</v>
      </c>
      <c r="G23" s="31"/>
    </row>
    <row r="24">
      <c r="A24" s="10">
        <v>7.0</v>
      </c>
      <c r="B24" s="29" t="str">
        <f>IFERROR(__xludf.DUMMYFUNCTION("""COMPUTED_VALUE"""),"El ciclo de vida de un sistema")</f>
        <v>El ciclo de vida de un sistema</v>
      </c>
      <c r="C24" s="29" t="str">
        <f>IFERROR(__xludf.DUMMYFUNCTION("""COMPUTED_VALUE"""),"Etapas del ciclo de vida")</f>
        <v>Etapas del ciclo de vida</v>
      </c>
      <c r="D24" s="31"/>
      <c r="E24" s="31"/>
      <c r="F24" s="30" t="s">
        <v>173</v>
      </c>
      <c r="G24" s="31"/>
    </row>
    <row r="25">
      <c r="A25" s="10">
        <v>8.0</v>
      </c>
      <c r="B25" s="29" t="str">
        <f>IFERROR(__xludf.DUMMYFUNCTION("""COMPUTED_VALUE"""),"El ciclo de vida de un sistema")</f>
        <v>El ciclo de vida de un sistema</v>
      </c>
      <c r="C25" s="29" t="str">
        <f>IFERROR(__xludf.DUMMYFUNCTION("""COMPUTED_VALUE"""),"Herramientas para el ciclo de vida")</f>
        <v>Herramientas para el ciclo de vida</v>
      </c>
      <c r="D25" s="30" t="s">
        <v>173</v>
      </c>
      <c r="E25" s="31"/>
      <c r="F25" s="31"/>
      <c r="G25" s="31"/>
    </row>
    <row r="26">
      <c r="A26" s="10">
        <v>9.0</v>
      </c>
      <c r="B26" s="29" t="str">
        <f>IFERROR(__xludf.DUMMYFUNCTION("""COMPUTED_VALUE"""),"El ciclo de vida de un sistema")</f>
        <v>El ciclo de vida de un sistema</v>
      </c>
      <c r="C26" s="29" t="str">
        <f>IFERROR(__xludf.DUMMYFUNCTION("""COMPUTED_VALUE"""),"Importancia del ciclo de vida")</f>
        <v>Importancia del ciclo de vida</v>
      </c>
      <c r="D26" s="30" t="s">
        <v>173</v>
      </c>
      <c r="E26" s="31"/>
      <c r="F26" s="31"/>
      <c r="G26" s="31"/>
    </row>
    <row r="27">
      <c r="A27" s="10">
        <v>10.0</v>
      </c>
      <c r="B27" s="29" t="str">
        <f>IFERROR(__xludf.DUMMYFUNCTION("""COMPUTED_VALUE"""),"El ciclo de vida de un sistema")</f>
        <v>El ciclo de vida de un sistema</v>
      </c>
      <c r="C27" s="29" t="str">
        <f>IFERROR(__xludf.DUMMYFUNCTION("""COMPUTED_VALUE"""),"Ejemplos de aplicación")</f>
        <v>Ejemplos de aplicación</v>
      </c>
      <c r="D27" s="31"/>
      <c r="E27" s="31"/>
      <c r="F27" s="30" t="s">
        <v>173</v>
      </c>
      <c r="G27" s="31"/>
    </row>
    <row r="28">
      <c r="A28" s="10">
        <v>11.0</v>
      </c>
      <c r="B28" s="29" t="str">
        <f>IFERROR(__xludf.DUMMYFUNCTION("""COMPUTED_VALUE"""),"El ciclo de vida de un sistema")</f>
        <v>El ciclo de vida de un sistema</v>
      </c>
      <c r="C28" s="29" t="str">
        <f>IFERROR(__xludf.DUMMYFUNCTION("""COMPUTED_VALUE"""),"Desafíos en el ciclo de vida")</f>
        <v>Desafíos en el ciclo de vida</v>
      </c>
      <c r="D28" s="31"/>
      <c r="E28" s="30" t="s">
        <v>173</v>
      </c>
      <c r="F28" s="31"/>
      <c r="G28" s="31"/>
    </row>
    <row r="29">
      <c r="A29" s="10">
        <v>12.0</v>
      </c>
      <c r="B29" s="29" t="str">
        <f>IFERROR(__xludf.DUMMYFUNCTION("""COMPUTED_VALUE"""),"El ciclo de vida de un sistema")</f>
        <v>El ciclo de vida de un sistema</v>
      </c>
      <c r="C29" s="29" t="str">
        <f>IFERROR(__xludf.DUMMYFUNCTION("""COMPUTED_VALUE"""),"Futuro del ciclo de vida")</f>
        <v>Futuro del ciclo de vida</v>
      </c>
      <c r="D29" s="30" t="s">
        <v>173</v>
      </c>
      <c r="E29" s="31"/>
      <c r="F29" s="31"/>
      <c r="G29" s="30" t="s">
        <v>173</v>
      </c>
    </row>
    <row r="30">
      <c r="A30" s="32"/>
      <c r="B30" s="32"/>
      <c r="C30" s="32"/>
      <c r="D30" s="32"/>
      <c r="E30" s="32"/>
      <c r="F30" s="32"/>
      <c r="G30" s="33" t="s">
        <v>148</v>
      </c>
      <c r="H30" s="32">
        <f>SUM(D16:G16)</f>
        <v>85</v>
      </c>
    </row>
    <row r="31">
      <c r="A31" s="5" t="s">
        <v>149</v>
      </c>
    </row>
    <row r="32">
      <c r="A32" s="5" t="s">
        <v>150</v>
      </c>
      <c r="E32" s="16"/>
    </row>
    <row r="33">
      <c r="A33" s="35"/>
    </row>
    <row r="34">
      <c r="A34" s="24" t="s">
        <v>151</v>
      </c>
      <c r="B34" s="36"/>
      <c r="C34" s="36"/>
      <c r="D34" s="36"/>
      <c r="E34" s="36"/>
      <c r="F34" s="36"/>
      <c r="G34" s="36"/>
      <c r="H34" s="36"/>
    </row>
    <row r="35">
      <c r="A35" s="5" t="s">
        <v>152</v>
      </c>
      <c r="B35" s="22"/>
      <c r="C35" s="22"/>
      <c r="D35" s="22"/>
      <c r="E35" s="22"/>
      <c r="F35" s="22"/>
      <c r="G35" s="22"/>
      <c r="H35" s="37"/>
    </row>
    <row r="36">
      <c r="A36" s="5" t="s">
        <v>153</v>
      </c>
      <c r="B36" s="22"/>
      <c r="C36" s="22"/>
      <c r="D36" s="22"/>
      <c r="E36" s="22"/>
      <c r="F36" s="22"/>
      <c r="G36" s="22"/>
      <c r="H36" s="37"/>
    </row>
    <row r="37">
      <c r="A37" s="22"/>
      <c r="B37" s="22"/>
      <c r="C37" s="22"/>
      <c r="D37" s="22"/>
      <c r="E37" s="22"/>
      <c r="F37" s="22"/>
      <c r="G37" s="22"/>
      <c r="H37" s="37"/>
    </row>
    <row r="38">
      <c r="A38" s="38" t="s">
        <v>3</v>
      </c>
      <c r="B38" s="26" t="s">
        <v>154</v>
      </c>
      <c r="C38" s="39" t="s">
        <v>155</v>
      </c>
      <c r="D38" s="26" t="s">
        <v>156</v>
      </c>
      <c r="E38" s="26" t="s">
        <v>124</v>
      </c>
      <c r="F38" s="26" t="s">
        <v>144</v>
      </c>
      <c r="G38" s="40" t="s">
        <v>157</v>
      </c>
      <c r="H38" s="37"/>
    </row>
    <row r="39">
      <c r="A39" s="41"/>
      <c r="B39" s="27" t="s">
        <v>158</v>
      </c>
      <c r="C39" s="27">
        <v>25.0</v>
      </c>
      <c r="D39" s="27">
        <v>25.0</v>
      </c>
      <c r="E39" s="27">
        <v>25.0</v>
      </c>
      <c r="F39" s="27">
        <v>25.0</v>
      </c>
      <c r="G39" s="27">
        <v>15.0</v>
      </c>
      <c r="H39" s="22"/>
    </row>
    <row r="40">
      <c r="A40" s="41"/>
      <c r="B40" s="40" t="s">
        <v>146</v>
      </c>
      <c r="C40" s="26">
        <v>5.0</v>
      </c>
      <c r="D40" s="26"/>
      <c r="E40" s="26"/>
      <c r="F40" s="26"/>
      <c r="G40" s="29"/>
      <c r="H40" s="22"/>
    </row>
    <row r="41">
      <c r="A41" s="41"/>
      <c r="B41" s="26" t="s">
        <v>139</v>
      </c>
      <c r="C41" s="26">
        <v>0.0</v>
      </c>
      <c r="D41" s="26"/>
      <c r="E41" s="26"/>
      <c r="F41" s="26"/>
      <c r="G41" s="29"/>
      <c r="H41" s="22"/>
    </row>
    <row r="42">
      <c r="A42" s="42"/>
      <c r="B42" s="26" t="s">
        <v>4</v>
      </c>
      <c r="C42" s="26"/>
      <c r="D42" s="26"/>
      <c r="E42" s="26"/>
      <c r="F42" s="26"/>
      <c r="G42" s="29"/>
      <c r="H42" s="22"/>
    </row>
    <row r="43">
      <c r="A43" s="10">
        <v>1.0</v>
      </c>
      <c r="B43" s="11" t="s">
        <v>10</v>
      </c>
      <c r="C43" s="10" t="s">
        <v>173</v>
      </c>
      <c r="D43" s="29"/>
      <c r="E43" s="29"/>
      <c r="F43" s="29"/>
      <c r="G43" s="29"/>
    </row>
    <row r="44">
      <c r="A44" s="10">
        <v>2.0</v>
      </c>
      <c r="B44" s="11" t="s">
        <v>159</v>
      </c>
      <c r="C44" s="10" t="s">
        <v>173</v>
      </c>
      <c r="D44" s="29"/>
      <c r="E44" s="29"/>
      <c r="F44" s="29"/>
      <c r="G44" s="29"/>
    </row>
    <row r="45">
      <c r="A45" s="10">
        <v>3.0</v>
      </c>
      <c r="B45" s="11" t="s">
        <v>19</v>
      </c>
      <c r="C45" s="10" t="s">
        <v>173</v>
      </c>
      <c r="D45" s="29"/>
      <c r="E45" s="29"/>
      <c r="F45" s="29"/>
      <c r="G45" s="29"/>
    </row>
    <row r="46">
      <c r="A46" s="10">
        <v>4.0</v>
      </c>
      <c r="B46" s="11"/>
      <c r="C46" s="29"/>
      <c r="D46" s="29"/>
      <c r="E46" s="29"/>
      <c r="F46" s="29"/>
      <c r="G46" s="29"/>
    </row>
    <row r="47">
      <c r="A47" s="10">
        <v>5.0</v>
      </c>
      <c r="B47" s="11"/>
      <c r="C47" s="29"/>
      <c r="D47" s="29"/>
      <c r="E47" s="29"/>
      <c r="F47" s="29"/>
      <c r="G47" s="29"/>
    </row>
    <row r="48">
      <c r="A48" s="10">
        <v>6.0</v>
      </c>
      <c r="B48" s="11"/>
      <c r="C48" s="29"/>
      <c r="D48" s="29"/>
      <c r="E48" s="29"/>
      <c r="F48" s="29"/>
      <c r="G48" s="29"/>
    </row>
    <row r="49">
      <c r="A49" s="10">
        <v>7.0</v>
      </c>
      <c r="B49" s="11"/>
      <c r="C49" s="29"/>
      <c r="D49" s="29"/>
      <c r="E49" s="29"/>
      <c r="F49" s="10"/>
      <c r="G49" s="29"/>
    </row>
    <row r="50">
      <c r="A50" s="43"/>
      <c r="B50" s="43"/>
      <c r="C50" s="43"/>
      <c r="D50" s="43"/>
      <c r="E50" s="43"/>
      <c r="F50" s="44"/>
      <c r="G50" s="45" t="s">
        <v>148</v>
      </c>
      <c r="H50" s="43">
        <f>SUM(C40:G40)</f>
        <v>5</v>
      </c>
    </row>
    <row r="51">
      <c r="A51" s="5" t="s">
        <v>149</v>
      </c>
      <c r="F51" s="5"/>
    </row>
    <row r="52">
      <c r="A52" s="5" t="s">
        <v>161</v>
      </c>
      <c r="F52" s="5"/>
    </row>
    <row r="53">
      <c r="A53" s="24" t="s">
        <v>162</v>
      </c>
      <c r="B53" s="36"/>
      <c r="C53" s="36"/>
      <c r="D53" s="36"/>
      <c r="E53" s="36"/>
      <c r="F53" s="36"/>
      <c r="G53" s="36"/>
      <c r="H53" s="36"/>
    </row>
    <row r="55">
      <c r="A55" s="10" t="s">
        <v>3</v>
      </c>
      <c r="B55" s="10"/>
      <c r="C55" s="29"/>
      <c r="D55" s="29"/>
      <c r="E55" s="29"/>
      <c r="F55" s="10" t="s">
        <v>154</v>
      </c>
      <c r="G55" s="26" t="s">
        <v>163</v>
      </c>
    </row>
    <row r="56">
      <c r="A56" s="10">
        <v>1.0</v>
      </c>
      <c r="B56" s="10" t="s">
        <v>179</v>
      </c>
      <c r="C56" s="29"/>
      <c r="D56" s="29"/>
      <c r="E56" s="29"/>
      <c r="F56" s="46" t="s">
        <v>158</v>
      </c>
      <c r="G56" s="46">
        <v>10.0</v>
      </c>
    </row>
    <row r="57">
      <c r="A57" s="29"/>
      <c r="B57" s="29"/>
      <c r="C57" s="29"/>
      <c r="D57" s="29"/>
      <c r="E57" s="29"/>
      <c r="F57" s="10" t="s">
        <v>146</v>
      </c>
      <c r="G57" s="47">
        <v>10.0</v>
      </c>
    </row>
    <row r="58">
      <c r="A58" s="43"/>
      <c r="B58" s="43"/>
      <c r="C58" s="43"/>
      <c r="D58" s="43"/>
      <c r="E58" s="43"/>
      <c r="F58" s="43"/>
      <c r="G58" s="45" t="s">
        <v>148</v>
      </c>
      <c r="H58" s="43">
        <f>G57</f>
        <v>10</v>
      </c>
    </row>
  </sheetData>
  <mergeCells count="6">
    <mergeCell ref="B1:H1"/>
    <mergeCell ref="B5:G5"/>
    <mergeCell ref="B8:F8"/>
    <mergeCell ref="F11:G11"/>
    <mergeCell ref="H14:H15"/>
    <mergeCell ref="A38:A42"/>
  </mergeCells>
  <dataValidations>
    <dataValidation type="list" allowBlank="1" showErrorMessage="1" sqref="B43:B49">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11.0</v>
      </c>
    </row>
    <row r="5" ht="78.75" customHeight="1">
      <c r="A5" s="1" t="s">
        <v>120</v>
      </c>
      <c r="B5" s="20" t="s">
        <v>180</v>
      </c>
    </row>
    <row r="6">
      <c r="A6" s="19" t="s">
        <v>121</v>
      </c>
      <c r="B6" s="6"/>
      <c r="C6" s="6"/>
      <c r="D6" s="6"/>
      <c r="E6" s="6"/>
      <c r="F6" s="6"/>
    </row>
    <row r="7">
      <c r="A7" s="1"/>
      <c r="B7" s="6"/>
      <c r="C7" s="6"/>
      <c r="D7" s="6"/>
      <c r="E7" s="6"/>
      <c r="F7" s="6"/>
    </row>
    <row r="8">
      <c r="A8" s="1" t="s">
        <v>137</v>
      </c>
      <c r="B8" s="6" t="s">
        <v>138</v>
      </c>
    </row>
    <row r="11">
      <c r="A11" s="1" t="s">
        <v>139</v>
      </c>
      <c r="B11" s="5">
        <f>SUM(C38:G38)</f>
        <v>0</v>
      </c>
      <c r="C11" s="22"/>
      <c r="F11" s="23" t="s">
        <v>140</v>
      </c>
      <c r="H11" s="22">
        <f>H27+H47+H55</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25.0</v>
      </c>
      <c r="E16" s="26">
        <v>10.0</v>
      </c>
      <c r="F16" s="26">
        <v>25.0</v>
      </c>
      <c r="G16" s="26">
        <v>25.0</v>
      </c>
      <c r="H16" s="28"/>
    </row>
    <row r="17">
      <c r="A17" s="26" t="s">
        <v>3</v>
      </c>
      <c r="B17" s="26" t="s">
        <v>6</v>
      </c>
      <c r="C17" s="26" t="s">
        <v>7</v>
      </c>
      <c r="D17" s="26"/>
      <c r="E17" s="26"/>
      <c r="F17" s="26"/>
      <c r="G17" s="26"/>
    </row>
    <row r="18">
      <c r="A18" s="10">
        <v>1.0</v>
      </c>
      <c r="B18" s="29" t="str">
        <f>IFERROR(__xludf.DUMMYFUNCTION("FILTER('Diseño Curricular'!D:D,'Diseño Curricular'!G:G=$B$3)"),"E-learning")</f>
        <v>E-learning</v>
      </c>
      <c r="C18" s="29" t="str">
        <f>IFERROR(__xludf.DUMMYFUNCTION("FILTER('Diseño Curricular'!E:E,'Diseño Curricular'!G:G=$B$3)"),"Definición de e-learning")</f>
        <v>Definición de e-learning</v>
      </c>
      <c r="D18" s="30" t="s">
        <v>173</v>
      </c>
      <c r="E18" s="30" t="s">
        <v>173</v>
      </c>
      <c r="F18" s="31"/>
      <c r="G18" s="30" t="s">
        <v>173</v>
      </c>
    </row>
    <row r="19">
      <c r="A19" s="10">
        <v>2.0</v>
      </c>
      <c r="B19" s="29" t="str">
        <f>IFERROR(__xludf.DUMMYFUNCTION("""COMPUTED_VALUE"""),"E-learning")</f>
        <v>E-learning</v>
      </c>
      <c r="C19" s="29" t="str">
        <f>IFERROR(__xludf.DUMMYFUNCTION("""COMPUTED_VALUE"""),"Ventajas del e-learning")</f>
        <v>Ventajas del e-learning</v>
      </c>
      <c r="D19" s="30" t="s">
        <v>173</v>
      </c>
      <c r="E19" s="31"/>
      <c r="F19" s="31"/>
      <c r="G19" s="31"/>
    </row>
    <row r="20">
      <c r="A20" s="10">
        <v>3.0</v>
      </c>
      <c r="B20" s="29" t="str">
        <f>IFERROR(__xludf.DUMMYFUNCTION("""COMPUTED_VALUE"""),"E-learning")</f>
        <v>E-learning</v>
      </c>
      <c r="C20" s="29" t="str">
        <f>IFERROR(__xludf.DUMMYFUNCTION("""COMPUTED_VALUE"""),"Desafíos del e-learning")</f>
        <v>Desafíos del e-learning</v>
      </c>
      <c r="D20" s="30" t="s">
        <v>173</v>
      </c>
      <c r="E20" s="30" t="s">
        <v>173</v>
      </c>
      <c r="F20" s="30" t="s">
        <v>173</v>
      </c>
      <c r="G20" s="31"/>
    </row>
    <row r="21">
      <c r="A21" s="10">
        <v>4.0</v>
      </c>
      <c r="B21" s="29" t="str">
        <f>IFERROR(__xludf.DUMMYFUNCTION("""COMPUTED_VALUE"""),"E-learning")</f>
        <v>E-learning</v>
      </c>
      <c r="C21" s="29" t="str">
        <f>IFERROR(__xludf.DUMMYFUNCTION("""COMPUTED_VALUE"""),"Herramientas para e-learning")</f>
        <v>Herramientas para e-learning</v>
      </c>
      <c r="D21" s="30"/>
      <c r="E21" s="31"/>
      <c r="F21" s="30" t="s">
        <v>173</v>
      </c>
      <c r="G21" s="31"/>
    </row>
    <row r="22">
      <c r="A22" s="10">
        <v>5.0</v>
      </c>
      <c r="B22" s="29" t="str">
        <f>IFERROR(__xludf.DUMMYFUNCTION("""COMPUTED_VALUE"""),"E-learning")</f>
        <v>E-learning</v>
      </c>
      <c r="C22" s="29" t="str">
        <f>IFERROR(__xludf.DUMMYFUNCTION("""COMPUTED_VALUE"""),"Casos de éxito")</f>
        <v>Casos de éxito</v>
      </c>
      <c r="D22" s="30" t="s">
        <v>173</v>
      </c>
      <c r="E22" s="31"/>
      <c r="F22" s="30"/>
      <c r="G22" s="30" t="s">
        <v>173</v>
      </c>
    </row>
    <row r="23">
      <c r="A23" s="10">
        <v>6.0</v>
      </c>
      <c r="B23" s="29" t="str">
        <f>IFERROR(__xludf.DUMMYFUNCTION("""COMPUTED_VALUE"""),"E-learning")</f>
        <v>E-learning</v>
      </c>
      <c r="C23" s="29" t="str">
        <f>IFERROR(__xludf.DUMMYFUNCTION("""COMPUTED_VALUE"""),"Futuro del e-learning")</f>
        <v>Futuro del e-learning</v>
      </c>
      <c r="D23" s="30" t="s">
        <v>173</v>
      </c>
      <c r="E23" s="31"/>
      <c r="F23" s="31"/>
      <c r="G23" s="31"/>
    </row>
    <row r="24">
      <c r="A24" s="10">
        <v>7.0</v>
      </c>
      <c r="B24" s="29" t="str">
        <f>IFERROR(__xludf.DUMMYFUNCTION("""COMPUTED_VALUE"""),"E-learning")</f>
        <v>E-learning</v>
      </c>
      <c r="C24" s="29" t="str">
        <f>IFERROR(__xludf.DUMMYFUNCTION("""COMPUTED_VALUE"""),"Conclusiones sobre e-learning")</f>
        <v>Conclusiones sobre e-learning</v>
      </c>
      <c r="D24" s="30" t="s">
        <v>173</v>
      </c>
      <c r="E24" s="31"/>
      <c r="F24" s="31"/>
      <c r="G24" s="30" t="s">
        <v>173</v>
      </c>
    </row>
    <row r="25">
      <c r="A25" s="10">
        <v>8.0</v>
      </c>
      <c r="B25" s="29" t="str">
        <f>IFERROR(__xludf.DUMMYFUNCTION("""COMPUTED_VALUE"""),"Gamificación en educación")</f>
        <v>Gamificación en educación</v>
      </c>
      <c r="C25" s="29" t="str">
        <f>IFERROR(__xludf.DUMMYFUNCTION("""COMPUTED_VALUE"""),"Definición de plataformas educativas")</f>
        <v>Definición de plataformas educativas</v>
      </c>
      <c r="D25" s="30" t="s">
        <v>173</v>
      </c>
      <c r="E25" s="31"/>
      <c r="F25" s="30" t="s">
        <v>173</v>
      </c>
      <c r="G25" s="31"/>
    </row>
    <row r="26">
      <c r="A26" s="10">
        <v>9.0</v>
      </c>
      <c r="B26" s="29" t="str">
        <f>IFERROR(__xludf.DUMMYFUNCTION("""COMPUTED_VALUE"""),"Gamificación en educación")</f>
        <v>Gamificación en educación</v>
      </c>
      <c r="C26" s="29" t="str">
        <f>IFERROR(__xludf.DUMMYFUNCTION("""COMPUTED_VALUE"""),"Ejemplos de plataformas educativas")</f>
        <v>Ejemplos de plataformas educativas</v>
      </c>
      <c r="D26" s="30" t="s">
        <v>173</v>
      </c>
      <c r="E26" s="31"/>
      <c r="F26" s="30"/>
      <c r="G26" s="31"/>
    </row>
    <row r="27">
      <c r="A27" s="32"/>
      <c r="B27" s="32" t="str">
        <f>IFERROR(__xludf.DUMMYFUNCTION("""COMPUTED_VALUE"""),"Gamificación en educación")</f>
        <v>Gamificación en educación</v>
      </c>
      <c r="C27" s="32" t="str">
        <f>IFERROR(__xludf.DUMMYFUNCTION("""COMPUTED_VALUE"""),"Ventajas de las plataformas")</f>
        <v>Ventajas de las plataformas</v>
      </c>
      <c r="D27" s="32"/>
      <c r="E27" s="32"/>
      <c r="F27" s="32"/>
      <c r="G27" s="33" t="s">
        <v>148</v>
      </c>
      <c r="H27" s="32">
        <f>SUM(D16:G16)</f>
        <v>85</v>
      </c>
    </row>
    <row r="28">
      <c r="A28" s="5" t="s">
        <v>149</v>
      </c>
      <c r="B28" s="34" t="str">
        <f>IFERROR(__xludf.DUMMYFUNCTION("""COMPUTED_VALUE"""),"Gamificación en educación")</f>
        <v>Gamificación en educación</v>
      </c>
      <c r="C28" s="34" t="str">
        <f>IFERROR(__xludf.DUMMYFUNCTION("""COMPUTED_VALUE"""),"Desafíos de las plataformas")</f>
        <v>Desafíos de las plataformas</v>
      </c>
    </row>
    <row r="29">
      <c r="A29" s="5" t="s">
        <v>150</v>
      </c>
      <c r="B29" s="34" t="str">
        <f>IFERROR(__xludf.DUMMYFUNCTION("""COMPUTED_VALUE"""),"Gamificación en educación")</f>
        <v>Gamificación en educación</v>
      </c>
      <c r="C29" s="34" t="str">
        <f>IFERROR(__xludf.DUMMYFUNCTION("""COMPUTED_VALUE"""),"Futuro de las plataformas")</f>
        <v>Futuro de las plataformas</v>
      </c>
      <c r="E29" s="16"/>
    </row>
    <row r="30">
      <c r="A30" s="35"/>
      <c r="B30" s="34" t="str">
        <f>IFERROR(__xludf.DUMMYFUNCTION("""COMPUTED_VALUE"""),"Gamificación en educación")</f>
        <v>Gamificación en educación</v>
      </c>
      <c r="C30" s="34" t="str">
        <f>IFERROR(__xludf.DUMMYFUNCTION("""COMPUTED_VALUE"""),"Casos de éxito")</f>
        <v>Casos de éxito</v>
      </c>
    </row>
    <row r="31">
      <c r="A31" s="24" t="s">
        <v>151</v>
      </c>
      <c r="B31" s="36" t="str">
        <f>IFERROR(__xludf.DUMMYFUNCTION("""COMPUTED_VALUE"""),"Gamificación en educación")</f>
        <v>Gamificación en educación</v>
      </c>
      <c r="C31" s="36" t="str">
        <f>IFERROR(__xludf.DUMMYFUNCTION("""COMPUTED_VALUE"""),"Conclusiones sobre plataformas")</f>
        <v>Conclusiones sobre plataformas</v>
      </c>
      <c r="D31" s="36"/>
      <c r="E31" s="36"/>
      <c r="F31" s="36"/>
      <c r="G31" s="36"/>
      <c r="H31" s="36"/>
    </row>
    <row r="32">
      <c r="A32" s="5" t="s">
        <v>152</v>
      </c>
      <c r="B32" s="22"/>
      <c r="C32" s="22"/>
      <c r="D32" s="22"/>
      <c r="E32" s="22"/>
      <c r="F32" s="22"/>
      <c r="G32" s="22"/>
      <c r="H32" s="37"/>
    </row>
    <row r="33">
      <c r="A33" s="5" t="s">
        <v>153</v>
      </c>
      <c r="B33" s="22"/>
      <c r="C33" s="22"/>
      <c r="D33" s="22"/>
      <c r="E33" s="22"/>
      <c r="F33" s="22"/>
      <c r="G33" s="22"/>
      <c r="H33" s="37"/>
    </row>
    <row r="34">
      <c r="A34" s="22"/>
      <c r="B34" s="22"/>
      <c r="C34" s="22"/>
      <c r="D34" s="22"/>
      <c r="E34" s="22"/>
      <c r="F34" s="22"/>
      <c r="G34" s="22"/>
      <c r="H34" s="37"/>
    </row>
    <row r="35">
      <c r="A35" s="38" t="s">
        <v>3</v>
      </c>
      <c r="B35" s="26" t="s">
        <v>154</v>
      </c>
      <c r="C35" s="39" t="s">
        <v>155</v>
      </c>
      <c r="D35" s="26" t="s">
        <v>156</v>
      </c>
      <c r="E35" s="26" t="s">
        <v>124</v>
      </c>
      <c r="F35" s="26" t="s">
        <v>144</v>
      </c>
      <c r="G35" s="40" t="s">
        <v>157</v>
      </c>
      <c r="H35" s="37"/>
    </row>
    <row r="36">
      <c r="A36" s="41"/>
      <c r="B36" s="27" t="s">
        <v>158</v>
      </c>
      <c r="C36" s="27">
        <v>25.0</v>
      </c>
      <c r="D36" s="27">
        <v>25.0</v>
      </c>
      <c r="E36" s="27">
        <v>25.0</v>
      </c>
      <c r="F36" s="27">
        <v>25.0</v>
      </c>
      <c r="G36" s="27">
        <v>15.0</v>
      </c>
      <c r="H36" s="22"/>
    </row>
    <row r="37">
      <c r="A37" s="41"/>
      <c r="B37" s="40" t="s">
        <v>146</v>
      </c>
      <c r="C37" s="26">
        <v>5.0</v>
      </c>
      <c r="D37" s="26"/>
      <c r="E37" s="26"/>
      <c r="F37" s="26"/>
      <c r="G37" s="29"/>
      <c r="H37" s="22"/>
    </row>
    <row r="38">
      <c r="A38" s="41"/>
      <c r="B38" s="26" t="s">
        <v>139</v>
      </c>
      <c r="C38" s="26">
        <v>0.0</v>
      </c>
      <c r="D38" s="26"/>
      <c r="E38" s="26"/>
      <c r="F38" s="26"/>
      <c r="G38" s="29"/>
      <c r="H38" s="22"/>
    </row>
    <row r="39">
      <c r="A39" s="42"/>
      <c r="B39" s="26" t="s">
        <v>4</v>
      </c>
      <c r="C39" s="26"/>
      <c r="D39" s="26"/>
      <c r="E39" s="26"/>
      <c r="F39" s="26"/>
      <c r="G39" s="29"/>
      <c r="H39" s="22"/>
    </row>
    <row r="40">
      <c r="A40" s="10">
        <v>1.0</v>
      </c>
      <c r="B40" s="11" t="s">
        <v>160</v>
      </c>
      <c r="C40" s="10" t="s">
        <v>173</v>
      </c>
      <c r="D40" s="29"/>
      <c r="E40" s="29"/>
      <c r="F40" s="29"/>
      <c r="G40" s="29"/>
    </row>
    <row r="41">
      <c r="A41" s="10">
        <v>2.0</v>
      </c>
      <c r="B41" s="11" t="s">
        <v>105</v>
      </c>
      <c r="C41" s="10" t="s">
        <v>173</v>
      </c>
      <c r="D41" s="29"/>
      <c r="E41" s="29"/>
      <c r="F41" s="29"/>
      <c r="G41" s="29"/>
    </row>
    <row r="42">
      <c r="A42" s="10">
        <v>3.0</v>
      </c>
      <c r="B42" s="11"/>
      <c r="C42" s="29"/>
      <c r="D42" s="29"/>
      <c r="E42" s="29"/>
      <c r="F42" s="29"/>
      <c r="G42" s="29"/>
    </row>
    <row r="43">
      <c r="A43" s="10">
        <v>4.0</v>
      </c>
      <c r="B43" s="11"/>
      <c r="C43" s="29"/>
      <c r="D43" s="29"/>
      <c r="E43" s="29"/>
      <c r="F43" s="29"/>
      <c r="G43" s="29"/>
    </row>
    <row r="44">
      <c r="A44" s="10">
        <v>5.0</v>
      </c>
      <c r="B44" s="11"/>
      <c r="C44" s="29"/>
      <c r="D44" s="29"/>
      <c r="E44" s="29"/>
      <c r="F44" s="29"/>
      <c r="G44" s="29"/>
    </row>
    <row r="45">
      <c r="A45" s="10">
        <v>6.0</v>
      </c>
      <c r="B45" s="11"/>
      <c r="C45" s="29"/>
      <c r="D45" s="29"/>
      <c r="E45" s="29"/>
      <c r="F45" s="29"/>
      <c r="G45" s="29"/>
    </row>
    <row r="46">
      <c r="A46" s="10">
        <v>7.0</v>
      </c>
      <c r="B46" s="11"/>
      <c r="C46" s="29"/>
      <c r="D46" s="29"/>
      <c r="E46" s="29"/>
      <c r="F46" s="10"/>
      <c r="G46" s="29"/>
    </row>
    <row r="47">
      <c r="A47" s="43"/>
      <c r="B47" s="43"/>
      <c r="C47" s="43"/>
      <c r="D47" s="43"/>
      <c r="E47" s="43"/>
      <c r="F47" s="44"/>
      <c r="G47" s="45" t="s">
        <v>148</v>
      </c>
      <c r="H47" s="43">
        <f>SUM(C37:G37)</f>
        <v>5</v>
      </c>
    </row>
    <row r="48">
      <c r="A48" s="5" t="s">
        <v>149</v>
      </c>
      <c r="F48" s="5"/>
    </row>
    <row r="49">
      <c r="A49" s="5" t="s">
        <v>161</v>
      </c>
      <c r="F49" s="5"/>
    </row>
    <row r="50">
      <c r="A50" s="24" t="s">
        <v>162</v>
      </c>
      <c r="B50" s="36"/>
      <c r="C50" s="36"/>
      <c r="D50" s="36"/>
      <c r="E50" s="36"/>
      <c r="F50" s="36"/>
      <c r="G50" s="36"/>
      <c r="H50" s="36"/>
    </row>
    <row r="52">
      <c r="A52" s="10" t="s">
        <v>3</v>
      </c>
      <c r="B52" s="10"/>
      <c r="C52" s="29"/>
      <c r="D52" s="29"/>
      <c r="E52" s="29"/>
      <c r="F52" s="10" t="s">
        <v>154</v>
      </c>
      <c r="G52" s="26" t="s">
        <v>163</v>
      </c>
    </row>
    <row r="53">
      <c r="A53" s="10">
        <v>1.0</v>
      </c>
      <c r="B53" s="10" t="s">
        <v>179</v>
      </c>
      <c r="C53" s="29"/>
      <c r="D53" s="29"/>
      <c r="E53" s="29"/>
      <c r="F53" s="46" t="s">
        <v>158</v>
      </c>
      <c r="G53" s="46">
        <v>10.0</v>
      </c>
    </row>
    <row r="54">
      <c r="A54" s="29"/>
      <c r="B54" s="29"/>
      <c r="C54" s="29"/>
      <c r="D54" s="29"/>
      <c r="E54" s="29"/>
      <c r="F54" s="10" t="s">
        <v>146</v>
      </c>
      <c r="G54" s="47">
        <v>10.0</v>
      </c>
    </row>
    <row r="55">
      <c r="A55" s="43"/>
      <c r="B55" s="43"/>
      <c r="C55" s="43"/>
      <c r="D55" s="43"/>
      <c r="E55" s="43"/>
      <c r="F55" s="43"/>
      <c r="G55" s="45" t="s">
        <v>148</v>
      </c>
      <c r="H55" s="43">
        <f>G54</f>
        <v>10</v>
      </c>
    </row>
  </sheetData>
  <mergeCells count="6">
    <mergeCell ref="B1:H1"/>
    <mergeCell ref="B5:G5"/>
    <mergeCell ref="B8:F8"/>
    <mergeCell ref="F11:G11"/>
    <mergeCell ref="H14:H15"/>
    <mergeCell ref="A35:A39"/>
  </mergeCells>
  <dataValidations>
    <dataValidation type="list" allowBlank="1" showErrorMessage="1" sqref="B40:B46">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786 - Sistemas Organizacionales y Gerenciales 1</v>
      </c>
    </row>
    <row r="2">
      <c r="C2" s="18"/>
    </row>
    <row r="3">
      <c r="A3" s="1" t="s">
        <v>9</v>
      </c>
      <c r="B3" s="19">
        <v>12.0</v>
      </c>
    </row>
    <row r="5" ht="78.75" customHeight="1">
      <c r="A5" s="1" t="s">
        <v>120</v>
      </c>
      <c r="B5" s="20" t="s">
        <v>180</v>
      </c>
    </row>
    <row r="6">
      <c r="A6" s="19" t="s">
        <v>121</v>
      </c>
      <c r="B6" s="6"/>
      <c r="C6" s="6"/>
      <c r="D6" s="6"/>
      <c r="E6" s="6"/>
      <c r="F6" s="6"/>
    </row>
    <row r="7">
      <c r="A7" s="1"/>
      <c r="B7" s="6"/>
      <c r="C7" s="6"/>
      <c r="D7" s="6"/>
      <c r="E7" s="6"/>
      <c r="F7" s="6"/>
    </row>
    <row r="8">
      <c r="A8" s="1" t="s">
        <v>137</v>
      </c>
      <c r="B8" s="6" t="s">
        <v>138</v>
      </c>
    </row>
    <row r="11">
      <c r="A11" s="1" t="s">
        <v>139</v>
      </c>
      <c r="B11" s="5">
        <f>SUM(C38:G38)</f>
        <v>0</v>
      </c>
      <c r="C11" s="22"/>
      <c r="F11" s="23" t="s">
        <v>140</v>
      </c>
      <c r="H11" s="22">
        <f>H27+H47+H55</f>
        <v>100</v>
      </c>
    </row>
    <row r="12">
      <c r="A12" s="5"/>
    </row>
    <row r="13">
      <c r="A13" s="24" t="s">
        <v>141</v>
      </c>
      <c r="B13" s="25"/>
      <c r="C13" s="25"/>
      <c r="D13" s="25"/>
      <c r="E13" s="25"/>
      <c r="F13" s="25"/>
      <c r="G13" s="25"/>
      <c r="H13" s="25"/>
    </row>
    <row r="14">
      <c r="A14" s="22"/>
      <c r="B14" s="22"/>
      <c r="C14" s="26" t="s">
        <v>142</v>
      </c>
      <c r="D14" s="26" t="s">
        <v>128</v>
      </c>
      <c r="E14" s="26" t="s">
        <v>143</v>
      </c>
      <c r="F14" s="26" t="s">
        <v>134</v>
      </c>
      <c r="G14" s="26" t="s">
        <v>144</v>
      </c>
      <c r="H14" s="22"/>
    </row>
    <row r="15">
      <c r="A15" s="22"/>
      <c r="B15" s="22"/>
      <c r="C15" s="27" t="s">
        <v>145</v>
      </c>
      <c r="D15" s="27">
        <v>25.0</v>
      </c>
      <c r="E15" s="27">
        <v>10.0</v>
      </c>
      <c r="F15" s="27">
        <v>25.0</v>
      </c>
      <c r="G15" s="27">
        <v>25.0</v>
      </c>
    </row>
    <row r="16">
      <c r="A16" s="22"/>
      <c r="B16" s="22"/>
      <c r="C16" s="26" t="s">
        <v>146</v>
      </c>
      <c r="D16" s="26">
        <v>25.0</v>
      </c>
      <c r="E16" s="26">
        <v>10.0</v>
      </c>
      <c r="F16" s="26">
        <v>25.0</v>
      </c>
      <c r="G16" s="26">
        <v>25.0</v>
      </c>
      <c r="H16" s="28"/>
    </row>
    <row r="17">
      <c r="A17" s="26" t="s">
        <v>3</v>
      </c>
      <c r="B17" s="26" t="s">
        <v>6</v>
      </c>
      <c r="C17" s="26" t="s">
        <v>7</v>
      </c>
      <c r="D17" s="26"/>
      <c r="E17" s="26"/>
      <c r="F17" s="26"/>
      <c r="G17" s="26"/>
    </row>
    <row r="18">
      <c r="A18" s="10">
        <v>1.0</v>
      </c>
      <c r="B18" s="29" t="str">
        <f>IFERROR(__xludf.DUMMYFUNCTION("FILTER('Diseño Curricular'!D:D,'Diseño Curricular'!G:G=$B$3)"),"#N/A")</f>
        <v>#N/A</v>
      </c>
      <c r="C18" s="29" t="str">
        <f>IFERROR(__xludf.DUMMYFUNCTION("FILTER('Diseño Curricular'!E:E,'Diseño Curricular'!G:G=$B$3)"),"#N/A")</f>
        <v>#N/A</v>
      </c>
      <c r="D18" s="30" t="s">
        <v>173</v>
      </c>
      <c r="E18" s="30" t="s">
        <v>173</v>
      </c>
      <c r="F18" s="31"/>
      <c r="G18" s="30" t="s">
        <v>173</v>
      </c>
    </row>
    <row r="19">
      <c r="A19" s="10">
        <v>2.0</v>
      </c>
      <c r="B19" s="29"/>
      <c r="C19" s="29"/>
      <c r="D19" s="30" t="s">
        <v>173</v>
      </c>
      <c r="E19" s="31"/>
      <c r="F19" s="31"/>
      <c r="G19" s="31"/>
    </row>
    <row r="20">
      <c r="A20" s="10">
        <v>3.0</v>
      </c>
      <c r="B20" s="29"/>
      <c r="C20" s="29"/>
      <c r="D20" s="30" t="s">
        <v>173</v>
      </c>
      <c r="E20" s="30" t="s">
        <v>173</v>
      </c>
      <c r="F20" s="30" t="s">
        <v>173</v>
      </c>
      <c r="G20" s="31"/>
    </row>
    <row r="21">
      <c r="A21" s="10">
        <v>4.0</v>
      </c>
      <c r="B21" s="29"/>
      <c r="C21" s="29"/>
      <c r="D21" s="30"/>
      <c r="E21" s="31"/>
      <c r="F21" s="30" t="s">
        <v>173</v>
      </c>
      <c r="G21" s="31"/>
    </row>
    <row r="22">
      <c r="A22" s="10">
        <v>5.0</v>
      </c>
      <c r="B22" s="29"/>
      <c r="C22" s="29"/>
      <c r="D22" s="30" t="s">
        <v>173</v>
      </c>
      <c r="E22" s="31"/>
      <c r="F22" s="30"/>
      <c r="G22" s="30" t="s">
        <v>173</v>
      </c>
    </row>
    <row r="23">
      <c r="A23" s="10">
        <v>6.0</v>
      </c>
      <c r="B23" s="29"/>
      <c r="C23" s="29"/>
      <c r="D23" s="30" t="s">
        <v>173</v>
      </c>
      <c r="E23" s="31"/>
      <c r="F23" s="31"/>
      <c r="G23" s="31"/>
    </row>
    <row r="24">
      <c r="A24" s="10">
        <v>7.0</v>
      </c>
      <c r="B24" s="29"/>
      <c r="C24" s="29"/>
      <c r="D24" s="30" t="s">
        <v>173</v>
      </c>
      <c r="E24" s="31"/>
      <c r="F24" s="31"/>
      <c r="G24" s="30" t="s">
        <v>173</v>
      </c>
    </row>
    <row r="25">
      <c r="A25" s="10">
        <v>8.0</v>
      </c>
      <c r="B25" s="29"/>
      <c r="C25" s="29"/>
      <c r="D25" s="30" t="s">
        <v>173</v>
      </c>
      <c r="E25" s="31"/>
      <c r="F25" s="30" t="s">
        <v>173</v>
      </c>
      <c r="G25" s="31"/>
    </row>
    <row r="26">
      <c r="A26" s="10">
        <v>9.0</v>
      </c>
      <c r="B26" s="29"/>
      <c r="C26" s="29"/>
      <c r="D26" s="30" t="s">
        <v>173</v>
      </c>
      <c r="E26" s="31"/>
      <c r="F26" s="30"/>
      <c r="G26" s="31"/>
    </row>
    <row r="27">
      <c r="A27" s="32"/>
      <c r="B27" s="32"/>
      <c r="C27" s="32"/>
      <c r="D27" s="32"/>
      <c r="E27" s="32"/>
      <c r="F27" s="32"/>
      <c r="G27" s="33" t="s">
        <v>148</v>
      </c>
      <c r="H27" s="32">
        <f>SUM(D16:G16)</f>
        <v>85</v>
      </c>
    </row>
    <row r="28">
      <c r="A28" s="5" t="s">
        <v>149</v>
      </c>
    </row>
    <row r="29">
      <c r="A29" s="5" t="s">
        <v>150</v>
      </c>
      <c r="E29" s="16"/>
    </row>
    <row r="30">
      <c r="A30" s="35"/>
    </row>
    <row r="31">
      <c r="A31" s="24" t="s">
        <v>151</v>
      </c>
      <c r="B31" s="36"/>
      <c r="C31" s="36"/>
      <c r="D31" s="36"/>
      <c r="E31" s="36"/>
      <c r="F31" s="36"/>
      <c r="G31" s="36"/>
      <c r="H31" s="36"/>
    </row>
    <row r="32">
      <c r="A32" s="5" t="s">
        <v>152</v>
      </c>
      <c r="B32" s="22"/>
      <c r="C32" s="22"/>
      <c r="D32" s="22"/>
      <c r="E32" s="22"/>
      <c r="F32" s="22"/>
      <c r="G32" s="22"/>
      <c r="H32" s="37"/>
    </row>
    <row r="33">
      <c r="A33" s="5" t="s">
        <v>153</v>
      </c>
      <c r="B33" s="22"/>
      <c r="C33" s="22"/>
      <c r="D33" s="22"/>
      <c r="E33" s="22"/>
      <c r="F33" s="22"/>
      <c r="G33" s="22"/>
      <c r="H33" s="37"/>
    </row>
    <row r="34">
      <c r="A34" s="22"/>
      <c r="B34" s="22"/>
      <c r="C34" s="22"/>
      <c r="D34" s="22"/>
      <c r="E34" s="22"/>
      <c r="F34" s="22"/>
      <c r="G34" s="22"/>
      <c r="H34" s="37"/>
    </row>
    <row r="35">
      <c r="A35" s="38" t="s">
        <v>3</v>
      </c>
      <c r="B35" s="26" t="s">
        <v>154</v>
      </c>
      <c r="C35" s="39" t="s">
        <v>155</v>
      </c>
      <c r="D35" s="26" t="s">
        <v>156</v>
      </c>
      <c r="E35" s="26" t="s">
        <v>124</v>
      </c>
      <c r="F35" s="26" t="s">
        <v>144</v>
      </c>
      <c r="G35" s="40" t="s">
        <v>157</v>
      </c>
      <c r="H35" s="37"/>
    </row>
    <row r="36">
      <c r="A36" s="41"/>
      <c r="B36" s="27" t="s">
        <v>158</v>
      </c>
      <c r="C36" s="27">
        <v>25.0</v>
      </c>
      <c r="D36" s="27">
        <v>25.0</v>
      </c>
      <c r="E36" s="27">
        <v>25.0</v>
      </c>
      <c r="F36" s="27">
        <v>25.0</v>
      </c>
      <c r="G36" s="27">
        <v>15.0</v>
      </c>
      <c r="H36" s="22"/>
    </row>
    <row r="37">
      <c r="A37" s="41"/>
      <c r="B37" s="40" t="s">
        <v>146</v>
      </c>
      <c r="C37" s="26">
        <v>5.0</v>
      </c>
      <c r="D37" s="26"/>
      <c r="E37" s="26"/>
      <c r="F37" s="26"/>
      <c r="G37" s="29"/>
      <c r="H37" s="22"/>
    </row>
    <row r="38">
      <c r="A38" s="41"/>
      <c r="B38" s="26" t="s">
        <v>139</v>
      </c>
      <c r="C38" s="26">
        <v>0.0</v>
      </c>
      <c r="D38" s="26"/>
      <c r="E38" s="26"/>
      <c r="F38" s="26"/>
      <c r="G38" s="29"/>
      <c r="H38" s="22"/>
    </row>
    <row r="39">
      <c r="A39" s="42"/>
      <c r="B39" s="26" t="s">
        <v>4</v>
      </c>
      <c r="C39" s="26"/>
      <c r="D39" s="26"/>
      <c r="E39" s="26"/>
      <c r="F39" s="26"/>
      <c r="G39" s="29"/>
      <c r="H39" s="22"/>
    </row>
    <row r="40">
      <c r="A40" s="10">
        <v>1.0</v>
      </c>
      <c r="B40" s="11" t="s">
        <v>160</v>
      </c>
      <c r="C40" s="10" t="s">
        <v>173</v>
      </c>
      <c r="D40" s="29"/>
      <c r="E40" s="29"/>
      <c r="F40" s="29"/>
      <c r="G40" s="29"/>
    </row>
    <row r="41">
      <c r="A41" s="10">
        <v>2.0</v>
      </c>
      <c r="B41" s="11" t="s">
        <v>105</v>
      </c>
      <c r="C41" s="10" t="s">
        <v>173</v>
      </c>
      <c r="D41" s="29"/>
      <c r="E41" s="29"/>
      <c r="F41" s="29"/>
      <c r="G41" s="29"/>
    </row>
    <row r="42">
      <c r="A42" s="10">
        <v>3.0</v>
      </c>
      <c r="B42" s="11"/>
      <c r="C42" s="29"/>
      <c r="D42" s="29"/>
      <c r="E42" s="29"/>
      <c r="F42" s="29"/>
      <c r="G42" s="29"/>
    </row>
    <row r="43">
      <c r="A43" s="10">
        <v>4.0</v>
      </c>
      <c r="B43" s="11"/>
      <c r="C43" s="29"/>
      <c r="D43" s="29"/>
      <c r="E43" s="29"/>
      <c r="F43" s="29"/>
      <c r="G43" s="29"/>
    </row>
    <row r="44">
      <c r="A44" s="10">
        <v>5.0</v>
      </c>
      <c r="B44" s="11"/>
      <c r="C44" s="29"/>
      <c r="D44" s="29"/>
      <c r="E44" s="29"/>
      <c r="F44" s="29"/>
      <c r="G44" s="29"/>
    </row>
    <row r="45">
      <c r="A45" s="10">
        <v>6.0</v>
      </c>
      <c r="B45" s="11"/>
      <c r="C45" s="29"/>
      <c r="D45" s="29"/>
      <c r="E45" s="29"/>
      <c r="F45" s="29"/>
      <c r="G45" s="29"/>
    </row>
    <row r="46">
      <c r="A46" s="10">
        <v>7.0</v>
      </c>
      <c r="B46" s="11"/>
      <c r="C46" s="29"/>
      <c r="D46" s="29"/>
      <c r="E46" s="29"/>
      <c r="F46" s="10"/>
      <c r="G46" s="29"/>
    </row>
    <row r="47">
      <c r="A47" s="43"/>
      <c r="B47" s="43"/>
      <c r="C47" s="43"/>
      <c r="D47" s="43"/>
      <c r="E47" s="43"/>
      <c r="F47" s="44"/>
      <c r="G47" s="45" t="s">
        <v>148</v>
      </c>
      <c r="H47" s="43">
        <f>SUM(C37:G37)</f>
        <v>5</v>
      </c>
    </row>
    <row r="48">
      <c r="A48" s="5" t="s">
        <v>149</v>
      </c>
      <c r="F48" s="5"/>
    </row>
    <row r="49">
      <c r="A49" s="5" t="s">
        <v>161</v>
      </c>
      <c r="F49" s="5"/>
    </row>
    <row r="50">
      <c r="A50" s="24" t="s">
        <v>162</v>
      </c>
      <c r="B50" s="36"/>
      <c r="C50" s="36"/>
      <c r="D50" s="36"/>
      <c r="E50" s="36"/>
      <c r="F50" s="36"/>
      <c r="G50" s="36"/>
      <c r="H50" s="36"/>
    </row>
    <row r="52">
      <c r="A52" s="10" t="s">
        <v>3</v>
      </c>
      <c r="B52" s="10"/>
      <c r="C52" s="29"/>
      <c r="D52" s="29"/>
      <c r="E52" s="29"/>
      <c r="F52" s="10" t="s">
        <v>154</v>
      </c>
      <c r="G52" s="26" t="s">
        <v>163</v>
      </c>
    </row>
    <row r="53">
      <c r="A53" s="10">
        <v>1.0</v>
      </c>
      <c r="B53" s="10" t="s">
        <v>179</v>
      </c>
      <c r="C53" s="29"/>
      <c r="D53" s="29"/>
      <c r="E53" s="29"/>
      <c r="F53" s="46" t="s">
        <v>158</v>
      </c>
      <c r="G53" s="46">
        <v>10.0</v>
      </c>
    </row>
    <row r="54">
      <c r="A54" s="29"/>
      <c r="B54" s="29"/>
      <c r="C54" s="29"/>
      <c r="D54" s="29"/>
      <c r="E54" s="29"/>
      <c r="F54" s="10" t="s">
        <v>146</v>
      </c>
      <c r="G54" s="47">
        <v>10.0</v>
      </c>
    </row>
    <row r="55">
      <c r="A55" s="43"/>
      <c r="B55" s="43"/>
      <c r="C55" s="43"/>
      <c r="D55" s="43"/>
      <c r="E55" s="43"/>
      <c r="F55" s="43"/>
      <c r="G55" s="45" t="s">
        <v>148</v>
      </c>
      <c r="H55" s="43">
        <f>G54</f>
        <v>10</v>
      </c>
    </row>
  </sheetData>
  <mergeCells count="6">
    <mergeCell ref="B1:H1"/>
    <mergeCell ref="B5:G5"/>
    <mergeCell ref="B8:F8"/>
    <mergeCell ref="F11:G11"/>
    <mergeCell ref="H14:H15"/>
    <mergeCell ref="A35:A39"/>
  </mergeCells>
  <dataValidations>
    <dataValidation type="list" allowBlank="1" showErrorMessage="1" sqref="B40:B46">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7" t="str">
        <f>'Diseño Curricular'!B1</f>
        <v>786 - Sistemas Organizacionales y Gerenciales 1</v>
      </c>
    </row>
    <row r="3">
      <c r="A3" s="19" t="s">
        <v>181</v>
      </c>
      <c r="H3" s="49">
        <f>SUM(C11,C35,C59)</f>
        <v>60</v>
      </c>
    </row>
    <row r="5">
      <c r="A5" s="50" t="s">
        <v>182</v>
      </c>
      <c r="B5" s="51"/>
      <c r="C5" s="51"/>
      <c r="D5" s="51"/>
      <c r="E5" s="51"/>
      <c r="F5" s="51"/>
      <c r="G5" s="51"/>
      <c r="H5" s="51"/>
    </row>
    <row r="6">
      <c r="A6" s="19"/>
      <c r="B6" s="18"/>
      <c r="C6" s="18"/>
      <c r="D6" s="18"/>
      <c r="E6" s="18"/>
      <c r="F6" s="18"/>
      <c r="G6" s="18"/>
      <c r="H6" s="18"/>
    </row>
    <row r="7" ht="51.75" customHeight="1">
      <c r="A7" s="19" t="s">
        <v>183</v>
      </c>
      <c r="B7" s="52" t="s">
        <v>184</v>
      </c>
    </row>
    <row r="8">
      <c r="A8" s="19"/>
      <c r="B8" s="19"/>
      <c r="C8" s="18"/>
      <c r="D8" s="18"/>
      <c r="E8" s="18"/>
      <c r="F8" s="18"/>
      <c r="G8" s="18"/>
      <c r="H8" s="18"/>
    </row>
    <row r="9">
      <c r="A9" s="19" t="s">
        <v>185</v>
      </c>
      <c r="C9" s="52">
        <v>15.0</v>
      </c>
    </row>
    <row r="10">
      <c r="A10" s="19"/>
      <c r="B10" s="19"/>
    </row>
    <row r="11">
      <c r="A11" s="19" t="s">
        <v>186</v>
      </c>
      <c r="C11" s="52">
        <v>20.0</v>
      </c>
    </row>
    <row r="12">
      <c r="A12" s="5"/>
    </row>
    <row r="13">
      <c r="A13" s="19" t="s">
        <v>187</v>
      </c>
      <c r="C13" s="52">
        <v>6.0</v>
      </c>
    </row>
    <row r="14">
      <c r="A14" s="5"/>
    </row>
    <row r="15">
      <c r="A15" s="53" t="s">
        <v>188</v>
      </c>
      <c r="B15" s="54" t="s">
        <v>28</v>
      </c>
      <c r="C15" s="55"/>
      <c r="D15" s="55"/>
      <c r="E15" s="55"/>
      <c r="F15" s="55"/>
      <c r="G15" s="55"/>
      <c r="H15" s="56"/>
    </row>
    <row r="16">
      <c r="B16" s="54" t="s">
        <v>10</v>
      </c>
      <c r="C16" s="55"/>
      <c r="D16" s="55"/>
      <c r="E16" s="55"/>
      <c r="F16" s="55"/>
      <c r="G16" s="55"/>
      <c r="H16" s="56"/>
    </row>
    <row r="17">
      <c r="B17" s="54" t="s">
        <v>105</v>
      </c>
      <c r="C17" s="55"/>
      <c r="D17" s="55"/>
      <c r="E17" s="55"/>
      <c r="F17" s="55"/>
      <c r="G17" s="55"/>
      <c r="H17" s="56"/>
    </row>
    <row r="18">
      <c r="B18" s="54" t="s">
        <v>160</v>
      </c>
      <c r="C18" s="55"/>
      <c r="D18" s="55"/>
      <c r="E18" s="55"/>
      <c r="F18" s="55"/>
      <c r="G18" s="55"/>
      <c r="H18" s="56"/>
    </row>
    <row r="19">
      <c r="B19" s="54" t="s">
        <v>159</v>
      </c>
      <c r="C19" s="55"/>
      <c r="D19" s="55"/>
      <c r="E19" s="55"/>
      <c r="F19" s="55"/>
      <c r="G19" s="55"/>
      <c r="H19" s="56"/>
    </row>
    <row r="20">
      <c r="B20" s="54" t="s">
        <v>19</v>
      </c>
      <c r="C20" s="55"/>
      <c r="D20" s="55"/>
      <c r="E20" s="55"/>
      <c r="F20" s="55"/>
      <c r="G20" s="55"/>
      <c r="H20" s="56"/>
    </row>
    <row r="21">
      <c r="B21" s="54" t="s">
        <v>95</v>
      </c>
      <c r="C21" s="55"/>
      <c r="D21" s="55"/>
      <c r="E21" s="55"/>
      <c r="F21" s="55"/>
      <c r="G21" s="55"/>
      <c r="H21" s="56"/>
    </row>
    <row r="25">
      <c r="A25" s="22" t="s">
        <v>189</v>
      </c>
    </row>
    <row r="26" ht="138.75" customHeight="1">
      <c r="A26" s="57" t="s">
        <v>190</v>
      </c>
      <c r="B26" s="55"/>
      <c r="C26" s="55"/>
      <c r="D26" s="55"/>
      <c r="E26" s="55"/>
      <c r="F26" s="55"/>
      <c r="G26" s="55"/>
      <c r="H26" s="56"/>
    </row>
    <row r="29">
      <c r="A29" s="50" t="s">
        <v>191</v>
      </c>
      <c r="B29" s="51"/>
      <c r="C29" s="51"/>
      <c r="D29" s="51"/>
      <c r="E29" s="51"/>
      <c r="F29" s="51"/>
      <c r="G29" s="51"/>
      <c r="H29" s="51"/>
    </row>
    <row r="30">
      <c r="A30" s="19"/>
      <c r="B30" s="18"/>
      <c r="C30" s="18"/>
      <c r="D30" s="18"/>
      <c r="E30" s="18"/>
      <c r="F30" s="18"/>
      <c r="G30" s="18"/>
      <c r="H30" s="18"/>
    </row>
    <row r="31">
      <c r="A31" s="19" t="s">
        <v>183</v>
      </c>
      <c r="B31" s="52" t="s">
        <v>192</v>
      </c>
    </row>
    <row r="32">
      <c r="A32" s="19"/>
      <c r="B32" s="19"/>
      <c r="C32" s="18"/>
      <c r="D32" s="18"/>
      <c r="E32" s="18"/>
      <c r="F32" s="18"/>
      <c r="G32" s="18"/>
      <c r="H32" s="58"/>
    </row>
    <row r="33">
      <c r="A33" s="19" t="s">
        <v>185</v>
      </c>
      <c r="C33" s="52">
        <v>20.0</v>
      </c>
    </row>
    <row r="34">
      <c r="A34" s="19"/>
      <c r="B34" s="19"/>
    </row>
    <row r="35">
      <c r="A35" s="19" t="s">
        <v>186</v>
      </c>
      <c r="C35" s="52">
        <v>20.0</v>
      </c>
    </row>
    <row r="36">
      <c r="A36" s="5"/>
    </row>
    <row r="37">
      <c r="A37" s="19" t="s">
        <v>187</v>
      </c>
      <c r="C37" s="52">
        <v>8.0</v>
      </c>
    </row>
    <row r="38">
      <c r="A38" s="5"/>
    </row>
    <row r="39">
      <c r="A39" s="53" t="s">
        <v>188</v>
      </c>
      <c r="B39" s="54"/>
      <c r="C39" s="55"/>
      <c r="D39" s="55"/>
      <c r="E39" s="55"/>
      <c r="F39" s="55"/>
      <c r="G39" s="55"/>
      <c r="H39" s="56"/>
    </row>
    <row r="40">
      <c r="B40" s="54"/>
      <c r="C40" s="55"/>
      <c r="D40" s="55"/>
      <c r="E40" s="55"/>
      <c r="F40" s="55"/>
      <c r="G40" s="55"/>
      <c r="H40" s="56"/>
    </row>
    <row r="41">
      <c r="B41" s="54"/>
      <c r="C41" s="55"/>
      <c r="D41" s="55"/>
      <c r="E41" s="55"/>
      <c r="F41" s="55"/>
      <c r="G41" s="55"/>
      <c r="H41" s="56"/>
    </row>
    <row r="42">
      <c r="B42" s="54"/>
      <c r="C42" s="55"/>
      <c r="D42" s="55"/>
      <c r="E42" s="55"/>
      <c r="F42" s="55"/>
      <c r="G42" s="55"/>
      <c r="H42" s="56"/>
    </row>
    <row r="43">
      <c r="B43" s="54"/>
      <c r="C43" s="55"/>
      <c r="D43" s="55"/>
      <c r="E43" s="55"/>
      <c r="F43" s="55"/>
      <c r="G43" s="55"/>
      <c r="H43" s="56"/>
    </row>
    <row r="44">
      <c r="B44" s="54"/>
      <c r="C44" s="55"/>
      <c r="D44" s="55"/>
      <c r="E44" s="55"/>
      <c r="F44" s="55"/>
      <c r="G44" s="55"/>
      <c r="H44" s="56"/>
    </row>
    <row r="45">
      <c r="B45" s="54"/>
      <c r="C45" s="55"/>
      <c r="D45" s="55"/>
      <c r="E45" s="55"/>
      <c r="F45" s="55"/>
      <c r="G45" s="55"/>
      <c r="H45" s="56"/>
    </row>
    <row r="49">
      <c r="A49" s="22" t="s">
        <v>189</v>
      </c>
    </row>
    <row r="50" ht="104.25" customHeight="1">
      <c r="A50" s="59"/>
      <c r="B50" s="55"/>
      <c r="C50" s="55"/>
      <c r="D50" s="55"/>
      <c r="E50" s="55"/>
      <c r="F50" s="55"/>
      <c r="G50" s="55"/>
      <c r="H50" s="56"/>
    </row>
    <row r="53">
      <c r="A53" s="50" t="s">
        <v>193</v>
      </c>
      <c r="B53" s="51"/>
      <c r="C53" s="51"/>
      <c r="D53" s="51"/>
      <c r="E53" s="51"/>
      <c r="F53" s="51"/>
      <c r="G53" s="51"/>
      <c r="H53" s="51"/>
    </row>
    <row r="54">
      <c r="A54" s="19"/>
      <c r="B54" s="18"/>
      <c r="C54" s="18"/>
      <c r="D54" s="18"/>
      <c r="E54" s="18"/>
      <c r="F54" s="18"/>
      <c r="G54" s="18"/>
      <c r="H54" s="18"/>
    </row>
    <row r="55">
      <c r="A55" s="19" t="s">
        <v>183</v>
      </c>
      <c r="B55" s="52" t="s">
        <v>194</v>
      </c>
    </row>
    <row r="56">
      <c r="A56" s="19"/>
      <c r="B56" s="19"/>
      <c r="C56" s="18"/>
      <c r="D56" s="18"/>
      <c r="E56" s="18"/>
      <c r="F56" s="18"/>
      <c r="G56" s="18"/>
      <c r="H56" s="58"/>
    </row>
    <row r="57">
      <c r="A57" s="19" t="s">
        <v>185</v>
      </c>
      <c r="C57" s="52">
        <v>15.0</v>
      </c>
    </row>
    <row r="58">
      <c r="A58" s="19"/>
      <c r="B58" s="19"/>
    </row>
    <row r="59">
      <c r="A59" s="19" t="s">
        <v>186</v>
      </c>
      <c r="C59" s="52">
        <v>20.0</v>
      </c>
    </row>
    <row r="60">
      <c r="A60" s="5"/>
    </row>
    <row r="61">
      <c r="A61" s="19" t="s">
        <v>187</v>
      </c>
      <c r="C61" s="52">
        <v>10.0</v>
      </c>
    </row>
    <row r="62">
      <c r="A62" s="5"/>
    </row>
    <row r="63">
      <c r="A63" s="53" t="s">
        <v>188</v>
      </c>
      <c r="B63" s="54"/>
      <c r="C63" s="55"/>
      <c r="D63" s="55"/>
      <c r="E63" s="55"/>
      <c r="F63" s="55"/>
      <c r="G63" s="55"/>
      <c r="H63" s="56"/>
    </row>
    <row r="64">
      <c r="B64" s="54"/>
      <c r="C64" s="55"/>
      <c r="D64" s="55"/>
      <c r="E64" s="55"/>
      <c r="F64" s="55"/>
      <c r="G64" s="55"/>
      <c r="H64" s="56"/>
    </row>
    <row r="65">
      <c r="B65" s="54"/>
      <c r="C65" s="55"/>
      <c r="D65" s="55"/>
      <c r="E65" s="55"/>
      <c r="F65" s="55"/>
      <c r="G65" s="55"/>
      <c r="H65" s="56"/>
    </row>
    <row r="66">
      <c r="B66" s="54"/>
      <c r="C66" s="55"/>
      <c r="D66" s="55"/>
      <c r="E66" s="55"/>
      <c r="F66" s="55"/>
      <c r="G66" s="55"/>
      <c r="H66" s="56"/>
    </row>
    <row r="67">
      <c r="B67" s="54"/>
      <c r="C67" s="55"/>
      <c r="D67" s="55"/>
      <c r="E67" s="55"/>
      <c r="F67" s="55"/>
      <c r="G67" s="55"/>
      <c r="H67" s="56"/>
    </row>
    <row r="68">
      <c r="B68" s="54"/>
      <c r="C68" s="55"/>
      <c r="D68" s="55"/>
      <c r="E68" s="55"/>
      <c r="F68" s="55"/>
      <c r="G68" s="55"/>
      <c r="H68" s="56"/>
    </row>
    <row r="69">
      <c r="B69" s="54"/>
      <c r="C69" s="55"/>
      <c r="D69" s="55"/>
      <c r="E69" s="55"/>
      <c r="F69" s="55"/>
      <c r="G69" s="55"/>
      <c r="H69" s="56"/>
    </row>
    <row r="73">
      <c r="A73" s="22" t="s">
        <v>189</v>
      </c>
    </row>
    <row r="74" ht="84.0" customHeight="1">
      <c r="A74" s="59"/>
      <c r="B74" s="55"/>
      <c r="C74" s="55"/>
      <c r="D74" s="55"/>
      <c r="E74" s="55"/>
      <c r="F74" s="55"/>
      <c r="G74" s="55"/>
      <c r="H74" s="56"/>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7" t="str">
        <f>'Diseño Curricular'!B1</f>
        <v>786 - Sistemas Organizacionales y Gerenciales 1</v>
      </c>
    </row>
    <row r="3">
      <c r="A3" s="19" t="s">
        <v>195</v>
      </c>
      <c r="H3" s="49">
        <f>SUM(C11,C35,C59,C83,C107,C131,C155)</f>
        <v>30</v>
      </c>
    </row>
    <row r="5">
      <c r="A5" s="50" t="s">
        <v>196</v>
      </c>
      <c r="B5" s="51"/>
      <c r="C5" s="51"/>
      <c r="D5" s="51"/>
      <c r="E5" s="51"/>
      <c r="F5" s="51"/>
      <c r="G5" s="51"/>
      <c r="H5" s="51"/>
    </row>
    <row r="6">
      <c r="A6" s="19"/>
      <c r="B6" s="18"/>
      <c r="C6" s="18"/>
      <c r="D6" s="18"/>
      <c r="E6" s="18"/>
      <c r="F6" s="18"/>
      <c r="G6" s="18"/>
      <c r="H6" s="18"/>
    </row>
    <row r="7" ht="51.75" customHeight="1">
      <c r="A7" s="19" t="s">
        <v>183</v>
      </c>
      <c r="B7" s="52" t="s">
        <v>197</v>
      </c>
    </row>
    <row r="8">
      <c r="A8" s="19"/>
      <c r="B8" s="19"/>
      <c r="C8" s="18"/>
      <c r="D8" s="18"/>
      <c r="E8" s="18"/>
      <c r="F8" s="18"/>
      <c r="G8" s="18"/>
      <c r="H8" s="18"/>
    </row>
    <row r="9">
      <c r="A9" s="19" t="s">
        <v>185</v>
      </c>
      <c r="C9" s="52">
        <v>15.0</v>
      </c>
    </row>
    <row r="10">
      <c r="A10" s="19"/>
      <c r="B10" s="19"/>
    </row>
    <row r="11">
      <c r="A11" s="19" t="s">
        <v>186</v>
      </c>
      <c r="C11" s="52">
        <v>10.0</v>
      </c>
    </row>
    <row r="12">
      <c r="A12" s="5"/>
    </row>
    <row r="13">
      <c r="A13" s="19" t="s">
        <v>198</v>
      </c>
      <c r="C13" s="52" t="s">
        <v>199</v>
      </c>
    </row>
    <row r="14">
      <c r="A14" s="5"/>
    </row>
    <row r="15">
      <c r="A15" s="53" t="s">
        <v>188</v>
      </c>
      <c r="B15" s="54" t="s">
        <v>200</v>
      </c>
      <c r="C15" s="55"/>
      <c r="D15" s="55"/>
      <c r="E15" s="55"/>
      <c r="F15" s="55"/>
      <c r="G15" s="55"/>
      <c r="H15" s="56"/>
    </row>
    <row r="16">
      <c r="B16" s="54" t="s">
        <v>201</v>
      </c>
      <c r="C16" s="55"/>
      <c r="D16" s="55"/>
      <c r="E16" s="55"/>
      <c r="F16" s="55"/>
      <c r="G16" s="55"/>
      <c r="H16" s="56"/>
    </row>
    <row r="17">
      <c r="B17" s="54" t="s">
        <v>202</v>
      </c>
      <c r="C17" s="55"/>
      <c r="D17" s="55"/>
      <c r="E17" s="55"/>
      <c r="F17" s="55"/>
      <c r="G17" s="55"/>
      <c r="H17" s="56"/>
    </row>
    <row r="18">
      <c r="B18" s="54"/>
      <c r="C18" s="55"/>
      <c r="D18" s="55"/>
      <c r="E18" s="55"/>
      <c r="F18" s="55"/>
      <c r="G18" s="55"/>
      <c r="H18" s="56"/>
    </row>
    <row r="19">
      <c r="B19" s="54"/>
      <c r="C19" s="55"/>
      <c r="D19" s="55"/>
      <c r="E19" s="55"/>
      <c r="F19" s="55"/>
      <c r="G19" s="55"/>
      <c r="H19" s="56"/>
    </row>
    <row r="20">
      <c r="B20" s="54"/>
      <c r="C20" s="55"/>
      <c r="D20" s="55"/>
      <c r="E20" s="55"/>
      <c r="F20" s="55"/>
      <c r="G20" s="55"/>
      <c r="H20" s="56"/>
    </row>
    <row r="21">
      <c r="B21" s="54"/>
      <c r="C21" s="55"/>
      <c r="D21" s="55"/>
      <c r="E21" s="55"/>
      <c r="F21" s="55"/>
      <c r="G21" s="55"/>
      <c r="H21" s="56"/>
    </row>
    <row r="25">
      <c r="A25" s="22" t="s">
        <v>189</v>
      </c>
    </row>
    <row r="26" ht="138.75" customHeight="1">
      <c r="A26" s="57" t="s">
        <v>203</v>
      </c>
      <c r="B26" s="55"/>
      <c r="C26" s="55"/>
      <c r="D26" s="55"/>
      <c r="E26" s="55"/>
      <c r="F26" s="55"/>
      <c r="G26" s="55"/>
      <c r="H26" s="56"/>
    </row>
    <row r="29">
      <c r="A29" s="50" t="s">
        <v>204</v>
      </c>
      <c r="B29" s="51"/>
      <c r="C29" s="51"/>
      <c r="D29" s="51"/>
      <c r="E29" s="51"/>
      <c r="F29" s="51"/>
      <c r="G29" s="51"/>
      <c r="H29" s="51"/>
    </row>
    <row r="30">
      <c r="A30" s="19"/>
      <c r="B30" s="18"/>
      <c r="C30" s="18"/>
      <c r="D30" s="18"/>
      <c r="E30" s="18"/>
      <c r="F30" s="18"/>
      <c r="G30" s="18"/>
      <c r="H30" s="18"/>
    </row>
    <row r="31">
      <c r="A31" s="19" t="s">
        <v>183</v>
      </c>
      <c r="B31" s="52" t="s">
        <v>205</v>
      </c>
    </row>
    <row r="32">
      <c r="A32" s="19"/>
      <c r="B32" s="19"/>
      <c r="C32" s="18"/>
      <c r="D32" s="18"/>
      <c r="E32" s="18"/>
      <c r="F32" s="18"/>
      <c r="G32" s="18"/>
      <c r="H32" s="58"/>
    </row>
    <row r="33">
      <c r="A33" s="19" t="s">
        <v>185</v>
      </c>
      <c r="C33" s="52">
        <v>15.0</v>
      </c>
    </row>
    <row r="34">
      <c r="A34" s="19"/>
      <c r="B34" s="19"/>
    </row>
    <row r="35">
      <c r="A35" s="19" t="s">
        <v>186</v>
      </c>
      <c r="C35" s="52">
        <v>10.0</v>
      </c>
    </row>
    <row r="36">
      <c r="A36" s="5"/>
    </row>
    <row r="37">
      <c r="A37" s="19" t="s">
        <v>198</v>
      </c>
      <c r="C37" s="52" t="s">
        <v>206</v>
      </c>
    </row>
    <row r="38">
      <c r="A38" s="5"/>
    </row>
    <row r="39">
      <c r="A39" s="53" t="s">
        <v>188</v>
      </c>
      <c r="B39" s="54" t="s">
        <v>207</v>
      </c>
      <c r="C39" s="55"/>
      <c r="D39" s="55"/>
      <c r="E39" s="55"/>
      <c r="F39" s="55"/>
      <c r="G39" s="55"/>
      <c r="H39" s="56"/>
    </row>
    <row r="40">
      <c r="B40" s="54" t="s">
        <v>208</v>
      </c>
      <c r="C40" s="55"/>
      <c r="D40" s="55"/>
      <c r="E40" s="55"/>
      <c r="F40" s="55"/>
      <c r="G40" s="55"/>
      <c r="H40" s="56"/>
    </row>
    <row r="41">
      <c r="B41" s="54" t="s">
        <v>209</v>
      </c>
      <c r="C41" s="55"/>
      <c r="D41" s="55"/>
      <c r="E41" s="55"/>
      <c r="F41" s="55"/>
      <c r="G41" s="55"/>
      <c r="H41" s="56"/>
    </row>
    <row r="42">
      <c r="B42" s="54"/>
      <c r="C42" s="55"/>
      <c r="D42" s="55"/>
      <c r="E42" s="55"/>
      <c r="F42" s="55"/>
      <c r="G42" s="55"/>
      <c r="H42" s="56"/>
    </row>
    <row r="43">
      <c r="B43" s="54"/>
      <c r="C43" s="55"/>
      <c r="D43" s="55"/>
      <c r="E43" s="55"/>
      <c r="F43" s="55"/>
      <c r="G43" s="55"/>
      <c r="H43" s="56"/>
    </row>
    <row r="44">
      <c r="B44" s="54"/>
      <c r="C44" s="55"/>
      <c r="D44" s="55"/>
      <c r="E44" s="55"/>
      <c r="F44" s="55"/>
      <c r="G44" s="55"/>
      <c r="H44" s="56"/>
    </row>
    <row r="45">
      <c r="B45" s="54"/>
      <c r="C45" s="55"/>
      <c r="D45" s="55"/>
      <c r="E45" s="55"/>
      <c r="F45" s="55"/>
      <c r="G45" s="55"/>
      <c r="H45" s="56"/>
    </row>
    <row r="49">
      <c r="A49" s="22" t="s">
        <v>189</v>
      </c>
    </row>
    <row r="50" ht="104.25" customHeight="1">
      <c r="A50" s="57" t="s">
        <v>210</v>
      </c>
      <c r="B50" s="55"/>
      <c r="C50" s="55"/>
      <c r="D50" s="55"/>
      <c r="E50" s="55"/>
      <c r="F50" s="55"/>
      <c r="G50" s="55"/>
      <c r="H50" s="56"/>
    </row>
    <row r="53">
      <c r="A53" s="50" t="s">
        <v>211</v>
      </c>
      <c r="B53" s="51"/>
      <c r="C53" s="51"/>
      <c r="D53" s="51"/>
      <c r="E53" s="51"/>
      <c r="F53" s="51"/>
      <c r="G53" s="51"/>
      <c r="H53" s="51"/>
    </row>
    <row r="54">
      <c r="A54" s="19"/>
      <c r="B54" s="18"/>
      <c r="C54" s="18"/>
      <c r="D54" s="18"/>
      <c r="E54" s="18"/>
      <c r="F54" s="18"/>
      <c r="G54" s="18"/>
      <c r="H54" s="18"/>
    </row>
    <row r="55">
      <c r="A55" s="19" t="s">
        <v>183</v>
      </c>
      <c r="B55" s="52" t="s">
        <v>212</v>
      </c>
    </row>
    <row r="56">
      <c r="A56" s="19"/>
      <c r="B56" s="19"/>
      <c r="C56" s="18"/>
      <c r="D56" s="18"/>
      <c r="E56" s="18"/>
      <c r="F56" s="18"/>
      <c r="G56" s="18"/>
      <c r="H56" s="58"/>
    </row>
    <row r="57">
      <c r="A57" s="19" t="s">
        <v>185</v>
      </c>
      <c r="C57" s="52">
        <v>15.0</v>
      </c>
    </row>
    <row r="58">
      <c r="A58" s="19"/>
      <c r="B58" s="19"/>
    </row>
    <row r="59">
      <c r="A59" s="19" t="s">
        <v>186</v>
      </c>
      <c r="C59" s="52">
        <v>10.0</v>
      </c>
    </row>
    <row r="60">
      <c r="A60" s="5"/>
    </row>
    <row r="61">
      <c r="A61" s="19" t="s">
        <v>198</v>
      </c>
      <c r="C61" s="52" t="s">
        <v>213</v>
      </c>
    </row>
    <row r="62">
      <c r="A62" s="5"/>
    </row>
    <row r="63">
      <c r="A63" s="53" t="s">
        <v>188</v>
      </c>
      <c r="B63" s="54" t="s">
        <v>207</v>
      </c>
      <c r="C63" s="55"/>
      <c r="D63" s="55"/>
      <c r="E63" s="55"/>
      <c r="F63" s="55"/>
      <c r="G63" s="55"/>
      <c r="H63" s="56"/>
    </row>
    <row r="64">
      <c r="B64" s="54" t="s">
        <v>208</v>
      </c>
      <c r="C64" s="55"/>
      <c r="D64" s="55"/>
      <c r="E64" s="55"/>
      <c r="F64" s="55"/>
      <c r="G64" s="55"/>
      <c r="H64" s="56"/>
    </row>
    <row r="65">
      <c r="B65" s="54" t="s">
        <v>202</v>
      </c>
      <c r="C65" s="55"/>
      <c r="D65" s="55"/>
      <c r="E65" s="55"/>
      <c r="F65" s="55"/>
      <c r="G65" s="55"/>
      <c r="H65" s="56"/>
    </row>
    <row r="66">
      <c r="B66" s="54"/>
      <c r="C66" s="55"/>
      <c r="D66" s="55"/>
      <c r="E66" s="55"/>
      <c r="F66" s="55"/>
      <c r="G66" s="55"/>
      <c r="H66" s="56"/>
    </row>
    <row r="67">
      <c r="B67" s="54"/>
      <c r="C67" s="55"/>
      <c r="D67" s="55"/>
      <c r="E67" s="55"/>
      <c r="F67" s="55"/>
      <c r="G67" s="55"/>
      <c r="H67" s="56"/>
    </row>
    <row r="68">
      <c r="B68" s="54"/>
      <c r="C68" s="55"/>
      <c r="D68" s="55"/>
      <c r="E68" s="55"/>
      <c r="F68" s="55"/>
      <c r="G68" s="55"/>
      <c r="H68" s="56"/>
    </row>
    <row r="69">
      <c r="B69" s="54"/>
      <c r="C69" s="55"/>
      <c r="D69" s="55"/>
      <c r="E69" s="55"/>
      <c r="F69" s="55"/>
      <c r="G69" s="55"/>
      <c r="H69" s="56"/>
    </row>
    <row r="73">
      <c r="A73" s="22" t="s">
        <v>189</v>
      </c>
    </row>
    <row r="74" ht="84.0" customHeight="1">
      <c r="A74" s="57" t="s">
        <v>214</v>
      </c>
      <c r="B74" s="55"/>
      <c r="C74" s="55"/>
      <c r="D74" s="55"/>
      <c r="E74" s="55"/>
      <c r="F74" s="55"/>
      <c r="G74" s="55"/>
      <c r="H74" s="56"/>
    </row>
    <row r="77">
      <c r="A77" s="50" t="s">
        <v>215</v>
      </c>
      <c r="B77" s="51"/>
      <c r="C77" s="51"/>
      <c r="D77" s="51"/>
      <c r="E77" s="51"/>
      <c r="F77" s="51"/>
      <c r="G77" s="51"/>
      <c r="H77" s="51"/>
    </row>
    <row r="78">
      <c r="A78" s="19"/>
      <c r="B78" s="18"/>
      <c r="C78" s="18"/>
      <c r="D78" s="18"/>
      <c r="E78" s="18"/>
      <c r="F78" s="18"/>
      <c r="G78" s="18"/>
      <c r="H78" s="18"/>
    </row>
    <row r="79">
      <c r="A79" s="19" t="s">
        <v>183</v>
      </c>
      <c r="B79" s="52"/>
    </row>
    <row r="80">
      <c r="A80" s="19"/>
      <c r="B80" s="19"/>
      <c r="C80" s="18"/>
      <c r="D80" s="18"/>
      <c r="E80" s="18"/>
      <c r="F80" s="18"/>
      <c r="G80" s="18"/>
      <c r="H80" s="58"/>
    </row>
    <row r="81">
      <c r="A81" s="19" t="s">
        <v>185</v>
      </c>
      <c r="C81" s="52"/>
    </row>
    <row r="82">
      <c r="A82" s="19"/>
      <c r="B82" s="19"/>
    </row>
    <row r="83">
      <c r="A83" s="19" t="s">
        <v>186</v>
      </c>
      <c r="C83" s="52"/>
    </row>
    <row r="84">
      <c r="A84" s="5"/>
    </row>
    <row r="85">
      <c r="A85" s="19" t="s">
        <v>187</v>
      </c>
      <c r="C85" s="52"/>
      <c r="I85" s="19"/>
      <c r="K85" s="60"/>
      <c r="L85" s="60"/>
      <c r="M85" s="60"/>
      <c r="N85" s="60"/>
      <c r="O85" s="60"/>
      <c r="P85" s="60"/>
      <c r="Q85" s="19"/>
      <c r="S85" s="52"/>
    </row>
    <row r="86">
      <c r="A86" s="5"/>
    </row>
    <row r="87">
      <c r="A87" s="53" t="s">
        <v>188</v>
      </c>
      <c r="B87" s="54"/>
      <c r="C87" s="55"/>
      <c r="D87" s="55"/>
      <c r="E87" s="55"/>
      <c r="F87" s="55"/>
      <c r="G87" s="55"/>
      <c r="H87" s="56"/>
    </row>
    <row r="88">
      <c r="B88" s="54"/>
      <c r="C88" s="55"/>
      <c r="D88" s="55"/>
      <c r="E88" s="55"/>
      <c r="F88" s="55"/>
      <c r="G88" s="55"/>
      <c r="H88" s="56"/>
    </row>
    <row r="89">
      <c r="B89" s="54"/>
      <c r="C89" s="55"/>
      <c r="D89" s="55"/>
      <c r="E89" s="55"/>
      <c r="F89" s="55"/>
      <c r="G89" s="55"/>
      <c r="H89" s="56"/>
    </row>
    <row r="90">
      <c r="B90" s="54"/>
      <c r="C90" s="55"/>
      <c r="D90" s="55"/>
      <c r="E90" s="55"/>
      <c r="F90" s="55"/>
      <c r="G90" s="55"/>
      <c r="H90" s="56"/>
    </row>
    <row r="91">
      <c r="B91" s="54"/>
      <c r="C91" s="55"/>
      <c r="D91" s="55"/>
      <c r="E91" s="55"/>
      <c r="F91" s="55"/>
      <c r="G91" s="55"/>
      <c r="H91" s="56"/>
    </row>
    <row r="92">
      <c r="B92" s="54"/>
      <c r="C92" s="55"/>
      <c r="D92" s="55"/>
      <c r="E92" s="55"/>
      <c r="F92" s="55"/>
      <c r="G92" s="55"/>
      <c r="H92" s="56"/>
    </row>
    <row r="93">
      <c r="B93" s="54"/>
      <c r="C93" s="55"/>
      <c r="D93" s="55"/>
      <c r="E93" s="55"/>
      <c r="F93" s="55"/>
      <c r="G93" s="55"/>
      <c r="H93" s="56"/>
    </row>
    <row r="97">
      <c r="A97" s="22" t="s">
        <v>189</v>
      </c>
    </row>
    <row r="98" ht="79.5" customHeight="1">
      <c r="A98" s="59"/>
      <c r="B98" s="55"/>
      <c r="C98" s="55"/>
      <c r="D98" s="55"/>
      <c r="E98" s="55"/>
      <c r="F98" s="55"/>
      <c r="G98" s="55"/>
      <c r="H98" s="56"/>
    </row>
    <row r="101">
      <c r="A101" s="50" t="s">
        <v>216</v>
      </c>
      <c r="B101" s="51"/>
      <c r="C101" s="51"/>
      <c r="D101" s="51"/>
      <c r="E101" s="51"/>
      <c r="F101" s="51"/>
      <c r="G101" s="51"/>
      <c r="H101" s="51"/>
    </row>
    <row r="102">
      <c r="A102" s="19"/>
      <c r="B102" s="18"/>
      <c r="C102" s="18"/>
      <c r="D102" s="18"/>
      <c r="E102" s="18"/>
      <c r="F102" s="18"/>
      <c r="G102" s="18"/>
      <c r="H102" s="18"/>
    </row>
    <row r="103">
      <c r="A103" s="19" t="s">
        <v>183</v>
      </c>
      <c r="B103" s="52"/>
    </row>
    <row r="104">
      <c r="A104" s="19"/>
      <c r="B104" s="19"/>
      <c r="C104" s="18"/>
      <c r="D104" s="18"/>
      <c r="E104" s="18"/>
      <c r="F104" s="18"/>
      <c r="G104" s="18"/>
      <c r="H104" s="58"/>
    </row>
    <row r="105">
      <c r="A105" s="19" t="s">
        <v>185</v>
      </c>
      <c r="C105" s="52"/>
    </row>
    <row r="106">
      <c r="A106" s="19"/>
      <c r="B106" s="19"/>
    </row>
    <row r="107">
      <c r="A107" s="19" t="s">
        <v>186</v>
      </c>
      <c r="C107" s="52"/>
    </row>
    <row r="108">
      <c r="A108" s="5"/>
    </row>
    <row r="109">
      <c r="A109" s="19" t="s">
        <v>187</v>
      </c>
      <c r="C109" s="52"/>
      <c r="I109" s="19"/>
      <c r="K109" s="60"/>
      <c r="L109" s="60"/>
      <c r="M109" s="60"/>
      <c r="N109" s="60"/>
      <c r="O109" s="60"/>
      <c r="P109" s="60"/>
      <c r="Q109" s="19"/>
      <c r="S109" s="52"/>
    </row>
    <row r="110">
      <c r="A110" s="5"/>
    </row>
    <row r="111">
      <c r="A111" s="53" t="s">
        <v>188</v>
      </c>
      <c r="B111" s="54"/>
      <c r="C111" s="55"/>
      <c r="D111" s="55"/>
      <c r="E111" s="55"/>
      <c r="F111" s="55"/>
      <c r="G111" s="55"/>
      <c r="H111" s="56"/>
    </row>
    <row r="112">
      <c r="B112" s="54"/>
      <c r="C112" s="55"/>
      <c r="D112" s="55"/>
      <c r="E112" s="55"/>
      <c r="F112" s="55"/>
      <c r="G112" s="55"/>
      <c r="H112" s="56"/>
    </row>
    <row r="113">
      <c r="B113" s="54"/>
      <c r="C113" s="55"/>
      <c r="D113" s="55"/>
      <c r="E113" s="55"/>
      <c r="F113" s="55"/>
      <c r="G113" s="55"/>
      <c r="H113" s="56"/>
    </row>
    <row r="114">
      <c r="B114" s="54"/>
      <c r="C114" s="55"/>
      <c r="D114" s="55"/>
      <c r="E114" s="55"/>
      <c r="F114" s="55"/>
      <c r="G114" s="55"/>
      <c r="H114" s="56"/>
    </row>
    <row r="115">
      <c r="B115" s="54"/>
      <c r="C115" s="55"/>
      <c r="D115" s="55"/>
      <c r="E115" s="55"/>
      <c r="F115" s="55"/>
      <c r="G115" s="55"/>
      <c r="H115" s="56"/>
    </row>
    <row r="116">
      <c r="B116" s="54"/>
      <c r="C116" s="55"/>
      <c r="D116" s="55"/>
      <c r="E116" s="55"/>
      <c r="F116" s="55"/>
      <c r="G116" s="55"/>
      <c r="H116" s="56"/>
    </row>
    <row r="117">
      <c r="B117" s="54"/>
      <c r="C117" s="55"/>
      <c r="D117" s="55"/>
      <c r="E117" s="55"/>
      <c r="F117" s="55"/>
      <c r="G117" s="55"/>
      <c r="H117" s="56"/>
    </row>
    <row r="121">
      <c r="A121" s="22" t="s">
        <v>189</v>
      </c>
    </row>
    <row r="122" ht="65.25" customHeight="1">
      <c r="A122" s="59"/>
      <c r="B122" s="55"/>
      <c r="C122" s="55"/>
      <c r="D122" s="55"/>
      <c r="E122" s="55"/>
      <c r="F122" s="55"/>
      <c r="G122" s="55"/>
      <c r="H122" s="56"/>
    </row>
    <row r="125">
      <c r="A125" s="50" t="s">
        <v>217</v>
      </c>
      <c r="B125" s="51"/>
      <c r="C125" s="51"/>
      <c r="D125" s="51"/>
      <c r="E125" s="51"/>
      <c r="F125" s="51"/>
      <c r="G125" s="51"/>
      <c r="H125" s="51"/>
    </row>
    <row r="126">
      <c r="A126" s="19"/>
      <c r="B126" s="18"/>
      <c r="C126" s="18"/>
      <c r="D126" s="18"/>
      <c r="E126" s="18"/>
      <c r="F126" s="18"/>
      <c r="G126" s="18"/>
      <c r="H126" s="18"/>
    </row>
    <row r="127">
      <c r="A127" s="19" t="s">
        <v>183</v>
      </c>
      <c r="B127" s="52"/>
    </row>
    <row r="128">
      <c r="A128" s="19"/>
      <c r="B128" s="19"/>
      <c r="C128" s="18"/>
      <c r="D128" s="18"/>
      <c r="E128" s="18"/>
      <c r="F128" s="18"/>
      <c r="G128" s="18"/>
      <c r="H128" s="58"/>
    </row>
    <row r="129">
      <c r="A129" s="19" t="s">
        <v>185</v>
      </c>
      <c r="C129" s="52"/>
    </row>
    <row r="130">
      <c r="A130" s="19"/>
      <c r="B130" s="19"/>
    </row>
    <row r="131">
      <c r="A131" s="19" t="s">
        <v>186</v>
      </c>
      <c r="C131" s="52"/>
    </row>
    <row r="132">
      <c r="A132" s="5"/>
    </row>
    <row r="133">
      <c r="A133" s="19" t="s">
        <v>187</v>
      </c>
      <c r="C133" s="52"/>
      <c r="I133" s="19"/>
      <c r="K133" s="60"/>
      <c r="L133" s="60"/>
      <c r="M133" s="60"/>
      <c r="N133" s="60"/>
      <c r="O133" s="60"/>
      <c r="P133" s="60"/>
      <c r="Q133" s="19"/>
      <c r="S133" s="52"/>
    </row>
    <row r="134">
      <c r="A134" s="5"/>
    </row>
    <row r="135">
      <c r="A135" s="53" t="s">
        <v>188</v>
      </c>
      <c r="B135" s="54"/>
      <c r="C135" s="55"/>
      <c r="D135" s="55"/>
      <c r="E135" s="55"/>
      <c r="F135" s="55"/>
      <c r="G135" s="55"/>
      <c r="H135" s="56"/>
    </row>
    <row r="136">
      <c r="B136" s="54"/>
      <c r="C136" s="55"/>
      <c r="D136" s="55"/>
      <c r="E136" s="55"/>
      <c r="F136" s="55"/>
      <c r="G136" s="55"/>
      <c r="H136" s="56"/>
    </row>
    <row r="137">
      <c r="B137" s="54"/>
      <c r="C137" s="55"/>
      <c r="D137" s="55"/>
      <c r="E137" s="55"/>
      <c r="F137" s="55"/>
      <c r="G137" s="55"/>
      <c r="H137" s="56"/>
    </row>
    <row r="138">
      <c r="B138" s="54"/>
      <c r="C138" s="55"/>
      <c r="D138" s="55"/>
      <c r="E138" s="55"/>
      <c r="F138" s="55"/>
      <c r="G138" s="55"/>
      <c r="H138" s="56"/>
    </row>
    <row r="139">
      <c r="B139" s="54"/>
      <c r="C139" s="55"/>
      <c r="D139" s="55"/>
      <c r="E139" s="55"/>
      <c r="F139" s="55"/>
      <c r="G139" s="55"/>
      <c r="H139" s="56"/>
    </row>
    <row r="140">
      <c r="B140" s="54"/>
      <c r="C140" s="55"/>
      <c r="D140" s="55"/>
      <c r="E140" s="55"/>
      <c r="F140" s="55"/>
      <c r="G140" s="55"/>
      <c r="H140" s="56"/>
    </row>
    <row r="141">
      <c r="B141" s="54"/>
      <c r="C141" s="55"/>
      <c r="D141" s="55"/>
      <c r="E141" s="55"/>
      <c r="F141" s="55"/>
      <c r="G141" s="55"/>
      <c r="H141" s="56"/>
    </row>
    <row r="145">
      <c r="A145" s="22" t="s">
        <v>189</v>
      </c>
    </row>
    <row r="146" ht="80.25" customHeight="1">
      <c r="A146" s="59"/>
      <c r="B146" s="55"/>
      <c r="C146" s="55"/>
      <c r="D146" s="55"/>
      <c r="E146" s="55"/>
      <c r="F146" s="55"/>
      <c r="G146" s="55"/>
      <c r="H146" s="56"/>
    </row>
    <row r="149">
      <c r="A149" s="50" t="s">
        <v>218</v>
      </c>
      <c r="B149" s="51"/>
      <c r="C149" s="51"/>
      <c r="D149" s="51"/>
      <c r="E149" s="51"/>
      <c r="F149" s="51"/>
      <c r="G149" s="51"/>
      <c r="H149" s="51"/>
    </row>
    <row r="150">
      <c r="A150" s="19"/>
      <c r="B150" s="18"/>
      <c r="C150" s="18"/>
      <c r="D150" s="18"/>
      <c r="E150" s="18"/>
      <c r="F150" s="18"/>
      <c r="G150" s="18"/>
      <c r="H150" s="18"/>
    </row>
    <row r="151">
      <c r="A151" s="19" t="s">
        <v>183</v>
      </c>
      <c r="B151" s="52"/>
    </row>
    <row r="152">
      <c r="A152" s="19"/>
      <c r="B152" s="19"/>
      <c r="C152" s="18"/>
      <c r="D152" s="18"/>
      <c r="E152" s="18"/>
      <c r="F152" s="18"/>
      <c r="G152" s="18"/>
      <c r="H152" s="58"/>
    </row>
    <row r="153">
      <c r="A153" s="19" t="s">
        <v>185</v>
      </c>
      <c r="C153" s="52"/>
    </row>
    <row r="154">
      <c r="A154" s="19"/>
      <c r="B154" s="19"/>
    </row>
    <row r="155">
      <c r="A155" s="19" t="s">
        <v>186</v>
      </c>
      <c r="C155" s="52"/>
    </row>
    <row r="156">
      <c r="A156" s="5"/>
    </row>
    <row r="157">
      <c r="A157" s="19" t="s">
        <v>187</v>
      </c>
      <c r="C157" s="52"/>
      <c r="I157" s="19"/>
      <c r="K157" s="60"/>
      <c r="L157" s="60"/>
      <c r="M157" s="60"/>
      <c r="N157" s="60"/>
      <c r="O157" s="60"/>
      <c r="P157" s="60"/>
      <c r="Q157" s="19"/>
      <c r="S157" s="52"/>
    </row>
    <row r="158">
      <c r="A158" s="5"/>
    </row>
    <row r="159">
      <c r="A159" s="53" t="s">
        <v>188</v>
      </c>
      <c r="B159" s="54"/>
      <c r="C159" s="55"/>
      <c r="D159" s="55"/>
      <c r="E159" s="55"/>
      <c r="F159" s="55"/>
      <c r="G159" s="55"/>
      <c r="H159" s="56"/>
    </row>
    <row r="160">
      <c r="B160" s="54"/>
      <c r="C160" s="55"/>
      <c r="D160" s="55"/>
      <c r="E160" s="55"/>
      <c r="F160" s="55"/>
      <c r="G160" s="55"/>
      <c r="H160" s="56"/>
    </row>
    <row r="161">
      <c r="B161" s="54"/>
      <c r="C161" s="55"/>
      <c r="D161" s="55"/>
      <c r="E161" s="55"/>
      <c r="F161" s="55"/>
      <c r="G161" s="55"/>
      <c r="H161" s="56"/>
    </row>
    <row r="162">
      <c r="B162" s="54"/>
      <c r="C162" s="55"/>
      <c r="D162" s="55"/>
      <c r="E162" s="55"/>
      <c r="F162" s="55"/>
      <c r="G162" s="55"/>
      <c r="H162" s="56"/>
    </row>
    <row r="163">
      <c r="B163" s="54"/>
      <c r="C163" s="55"/>
      <c r="D163" s="55"/>
      <c r="E163" s="55"/>
      <c r="F163" s="55"/>
      <c r="G163" s="55"/>
      <c r="H163" s="56"/>
    </row>
    <row r="164">
      <c r="B164" s="54"/>
      <c r="C164" s="55"/>
      <c r="D164" s="55"/>
      <c r="E164" s="55"/>
      <c r="F164" s="55"/>
      <c r="G164" s="55"/>
      <c r="H164" s="56"/>
    </row>
    <row r="165">
      <c r="B165" s="54"/>
      <c r="C165" s="55"/>
      <c r="D165" s="55"/>
      <c r="E165" s="55"/>
      <c r="F165" s="55"/>
      <c r="G165" s="55"/>
      <c r="H165" s="56"/>
    </row>
    <row r="169">
      <c r="A169" s="22" t="s">
        <v>189</v>
      </c>
    </row>
    <row r="170" ht="83.25" customHeight="1">
      <c r="A170" s="59"/>
      <c r="B170" s="55"/>
      <c r="C170" s="55"/>
      <c r="D170" s="55"/>
      <c r="E170" s="55"/>
      <c r="F170" s="55"/>
      <c r="G170" s="55"/>
      <c r="H170" s="56"/>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7" t="str">
        <f>'Diseño Curricular'!B1</f>
        <v>786 - Sistemas Organizacionales y Gerenciales 1</v>
      </c>
    </row>
    <row r="3">
      <c r="A3" s="19" t="s">
        <v>219</v>
      </c>
      <c r="H3" s="49">
        <f>SUM(C11,C35,C59,C83,C107,C131,C155)</f>
        <v>0</v>
      </c>
    </row>
    <row r="5">
      <c r="A5" s="50" t="s">
        <v>220</v>
      </c>
      <c r="B5" s="51"/>
      <c r="C5" s="51"/>
      <c r="D5" s="51"/>
      <c r="E5" s="51"/>
      <c r="F5" s="51"/>
      <c r="G5" s="51"/>
      <c r="H5" s="51"/>
    </row>
    <row r="6">
      <c r="A6" s="19"/>
      <c r="B6" s="18"/>
      <c r="C6" s="18"/>
      <c r="D6" s="18"/>
      <c r="E6" s="18"/>
      <c r="F6" s="18"/>
      <c r="G6" s="18"/>
      <c r="H6" s="18"/>
    </row>
    <row r="7" ht="51.75" customHeight="1">
      <c r="A7" s="19" t="s">
        <v>183</v>
      </c>
      <c r="B7" s="52"/>
    </row>
    <row r="8">
      <c r="A8" s="19"/>
      <c r="B8" s="19"/>
      <c r="C8" s="18"/>
      <c r="D8" s="18"/>
      <c r="E8" s="18"/>
      <c r="F8" s="18"/>
      <c r="G8" s="18"/>
      <c r="H8" s="18"/>
    </row>
    <row r="9">
      <c r="A9" s="19" t="s">
        <v>185</v>
      </c>
      <c r="C9" s="52"/>
    </row>
    <row r="10">
      <c r="A10" s="19"/>
      <c r="B10" s="19"/>
    </row>
    <row r="11">
      <c r="A11" s="19" t="s">
        <v>186</v>
      </c>
      <c r="C11" s="52"/>
    </row>
    <row r="12">
      <c r="A12" s="5"/>
    </row>
    <row r="13">
      <c r="A13" s="19" t="s">
        <v>221</v>
      </c>
      <c r="C13" s="52"/>
    </row>
    <row r="14">
      <c r="A14" s="5"/>
    </row>
    <row r="15">
      <c r="A15" s="53" t="s">
        <v>188</v>
      </c>
      <c r="B15" s="54"/>
      <c r="C15" s="55"/>
      <c r="D15" s="55"/>
      <c r="E15" s="55"/>
      <c r="F15" s="55"/>
      <c r="G15" s="55"/>
      <c r="H15" s="56"/>
    </row>
    <row r="16">
      <c r="B16" s="54"/>
      <c r="C16" s="55"/>
      <c r="D16" s="55"/>
      <c r="E16" s="55"/>
      <c r="F16" s="55"/>
      <c r="G16" s="55"/>
      <c r="H16" s="56"/>
    </row>
    <row r="17">
      <c r="B17" s="54"/>
      <c r="C17" s="55"/>
      <c r="D17" s="55"/>
      <c r="E17" s="55"/>
      <c r="F17" s="55"/>
      <c r="G17" s="55"/>
      <c r="H17" s="56"/>
    </row>
    <row r="18">
      <c r="B18" s="54"/>
      <c r="C18" s="55"/>
      <c r="D18" s="55"/>
      <c r="E18" s="55"/>
      <c r="F18" s="55"/>
      <c r="G18" s="55"/>
      <c r="H18" s="56"/>
    </row>
    <row r="19">
      <c r="B19" s="54"/>
      <c r="C19" s="55"/>
      <c r="D19" s="55"/>
      <c r="E19" s="55"/>
      <c r="F19" s="55"/>
      <c r="G19" s="55"/>
      <c r="H19" s="56"/>
    </row>
    <row r="20">
      <c r="B20" s="54"/>
      <c r="C20" s="55"/>
      <c r="D20" s="55"/>
      <c r="E20" s="55"/>
      <c r="F20" s="55"/>
      <c r="G20" s="55"/>
      <c r="H20" s="56"/>
    </row>
    <row r="21">
      <c r="B21" s="54"/>
      <c r="C21" s="55"/>
      <c r="D21" s="55"/>
      <c r="E21" s="55"/>
      <c r="F21" s="55"/>
      <c r="G21" s="55"/>
      <c r="H21" s="56"/>
    </row>
    <row r="25">
      <c r="A25" s="22" t="s">
        <v>189</v>
      </c>
    </row>
    <row r="26" ht="138.75" customHeight="1">
      <c r="A26" s="59"/>
      <c r="B26" s="55"/>
      <c r="C26" s="55"/>
      <c r="D26" s="55"/>
      <c r="E26" s="55"/>
      <c r="F26" s="55"/>
      <c r="G26" s="55"/>
      <c r="H26" s="56"/>
    </row>
    <row r="29">
      <c r="A29" s="50" t="s">
        <v>222</v>
      </c>
      <c r="B29" s="51"/>
      <c r="C29" s="51"/>
      <c r="D29" s="51"/>
      <c r="E29" s="51"/>
      <c r="F29" s="51"/>
      <c r="G29" s="51"/>
      <c r="H29" s="51"/>
    </row>
    <row r="30">
      <c r="A30" s="19"/>
      <c r="B30" s="18"/>
      <c r="C30" s="18"/>
      <c r="D30" s="18"/>
      <c r="E30" s="18"/>
      <c r="F30" s="18"/>
      <c r="G30" s="18"/>
      <c r="H30" s="18"/>
    </row>
    <row r="31">
      <c r="A31" s="19" t="s">
        <v>183</v>
      </c>
      <c r="B31" s="52"/>
    </row>
    <row r="32">
      <c r="A32" s="19"/>
      <c r="B32" s="19"/>
      <c r="C32" s="18"/>
      <c r="D32" s="18"/>
      <c r="E32" s="18"/>
      <c r="F32" s="18"/>
      <c r="G32" s="18"/>
      <c r="H32" s="58"/>
    </row>
    <row r="33">
      <c r="A33" s="19" t="s">
        <v>185</v>
      </c>
      <c r="C33" s="52"/>
    </row>
    <row r="34">
      <c r="A34" s="19"/>
      <c r="B34" s="19"/>
    </row>
    <row r="35">
      <c r="A35" s="19" t="s">
        <v>186</v>
      </c>
      <c r="C35" s="52"/>
    </row>
    <row r="36">
      <c r="A36" s="5"/>
    </row>
    <row r="37">
      <c r="A37" s="19" t="s">
        <v>221</v>
      </c>
      <c r="C37" s="52"/>
    </row>
    <row r="38">
      <c r="A38" s="5"/>
    </row>
    <row r="39">
      <c r="A39" s="53" t="s">
        <v>188</v>
      </c>
      <c r="B39" s="54"/>
      <c r="C39" s="55"/>
      <c r="D39" s="55"/>
      <c r="E39" s="55"/>
      <c r="F39" s="55"/>
      <c r="G39" s="55"/>
      <c r="H39" s="56"/>
    </row>
    <row r="40">
      <c r="B40" s="54"/>
      <c r="C40" s="55"/>
      <c r="D40" s="55"/>
      <c r="E40" s="55"/>
      <c r="F40" s="55"/>
      <c r="G40" s="55"/>
      <c r="H40" s="56"/>
    </row>
    <row r="41">
      <c r="B41" s="54"/>
      <c r="C41" s="55"/>
      <c r="D41" s="55"/>
      <c r="E41" s="55"/>
      <c r="F41" s="55"/>
      <c r="G41" s="55"/>
      <c r="H41" s="56"/>
    </row>
    <row r="42">
      <c r="B42" s="54"/>
      <c r="C42" s="55"/>
      <c r="D42" s="55"/>
      <c r="E42" s="55"/>
      <c r="F42" s="55"/>
      <c r="G42" s="55"/>
      <c r="H42" s="56"/>
    </row>
    <row r="43">
      <c r="B43" s="54"/>
      <c r="C43" s="55"/>
      <c r="D43" s="55"/>
      <c r="E43" s="55"/>
      <c r="F43" s="55"/>
      <c r="G43" s="55"/>
      <c r="H43" s="56"/>
    </row>
    <row r="44">
      <c r="B44" s="54"/>
      <c r="C44" s="55"/>
      <c r="D44" s="55"/>
      <c r="E44" s="55"/>
      <c r="F44" s="55"/>
      <c r="G44" s="55"/>
      <c r="H44" s="56"/>
    </row>
    <row r="45">
      <c r="B45" s="54"/>
      <c r="C45" s="55"/>
      <c r="D45" s="55"/>
      <c r="E45" s="55"/>
      <c r="F45" s="55"/>
      <c r="G45" s="55"/>
      <c r="H45" s="56"/>
    </row>
    <row r="49">
      <c r="A49" s="22" t="s">
        <v>189</v>
      </c>
    </row>
    <row r="50" ht="104.25" customHeight="1">
      <c r="A50" s="59"/>
      <c r="B50" s="55"/>
      <c r="C50" s="55"/>
      <c r="D50" s="55"/>
      <c r="E50" s="55"/>
      <c r="F50" s="55"/>
      <c r="G50" s="55"/>
      <c r="H50" s="56"/>
    </row>
    <row r="53">
      <c r="A53" s="50" t="s">
        <v>223</v>
      </c>
      <c r="B53" s="51"/>
      <c r="C53" s="51"/>
      <c r="D53" s="51"/>
      <c r="E53" s="51"/>
      <c r="F53" s="51"/>
      <c r="G53" s="51"/>
      <c r="H53" s="51"/>
    </row>
    <row r="54">
      <c r="A54" s="19"/>
      <c r="B54" s="18"/>
      <c r="C54" s="18"/>
      <c r="D54" s="18"/>
      <c r="E54" s="18"/>
      <c r="F54" s="18"/>
      <c r="G54" s="18"/>
      <c r="H54" s="18"/>
    </row>
    <row r="55">
      <c r="A55" s="19" t="s">
        <v>183</v>
      </c>
      <c r="B55" s="52"/>
    </row>
    <row r="56">
      <c r="A56" s="19"/>
      <c r="B56" s="19"/>
      <c r="C56" s="18"/>
      <c r="D56" s="18"/>
      <c r="E56" s="18"/>
      <c r="F56" s="18"/>
      <c r="G56" s="18"/>
      <c r="H56" s="58"/>
    </row>
    <row r="57">
      <c r="A57" s="19" t="s">
        <v>185</v>
      </c>
      <c r="C57" s="52"/>
    </row>
    <row r="58">
      <c r="A58" s="19"/>
      <c r="B58" s="19"/>
    </row>
    <row r="59">
      <c r="A59" s="19" t="s">
        <v>186</v>
      </c>
      <c r="C59" s="52"/>
    </row>
    <row r="60">
      <c r="A60" s="5"/>
    </row>
    <row r="61">
      <c r="A61" s="19" t="s">
        <v>221</v>
      </c>
      <c r="C61" s="52"/>
    </row>
    <row r="62">
      <c r="A62" s="5"/>
    </row>
    <row r="63">
      <c r="A63" s="53" t="s">
        <v>188</v>
      </c>
      <c r="B63" s="54"/>
      <c r="C63" s="55"/>
      <c r="D63" s="55"/>
      <c r="E63" s="55"/>
      <c r="F63" s="55"/>
      <c r="G63" s="55"/>
      <c r="H63" s="56"/>
    </row>
    <row r="64">
      <c r="B64" s="54"/>
      <c r="C64" s="55"/>
      <c r="D64" s="55"/>
      <c r="E64" s="55"/>
      <c r="F64" s="55"/>
      <c r="G64" s="55"/>
      <c r="H64" s="56"/>
    </row>
    <row r="65">
      <c r="B65" s="54"/>
      <c r="C65" s="55"/>
      <c r="D65" s="55"/>
      <c r="E65" s="55"/>
      <c r="F65" s="55"/>
      <c r="G65" s="55"/>
      <c r="H65" s="56"/>
    </row>
    <row r="66">
      <c r="B66" s="54"/>
      <c r="C66" s="55"/>
      <c r="D66" s="55"/>
      <c r="E66" s="55"/>
      <c r="F66" s="55"/>
      <c r="G66" s="55"/>
      <c r="H66" s="56"/>
    </row>
    <row r="67">
      <c r="B67" s="54"/>
      <c r="C67" s="55"/>
      <c r="D67" s="55"/>
      <c r="E67" s="55"/>
      <c r="F67" s="55"/>
      <c r="G67" s="55"/>
      <c r="H67" s="56"/>
    </row>
    <row r="68">
      <c r="B68" s="54"/>
      <c r="C68" s="55"/>
      <c r="D68" s="55"/>
      <c r="E68" s="55"/>
      <c r="F68" s="55"/>
      <c r="G68" s="55"/>
      <c r="H68" s="56"/>
    </row>
    <row r="69">
      <c r="B69" s="54"/>
      <c r="C69" s="55"/>
      <c r="D69" s="55"/>
      <c r="E69" s="55"/>
      <c r="F69" s="55"/>
      <c r="G69" s="55"/>
      <c r="H69" s="56"/>
    </row>
    <row r="73">
      <c r="A73" s="22" t="s">
        <v>189</v>
      </c>
    </row>
    <row r="74" ht="84.0" customHeight="1">
      <c r="A74" s="59"/>
      <c r="B74" s="55"/>
      <c r="C74" s="55"/>
      <c r="D74" s="55"/>
      <c r="E74" s="55"/>
      <c r="F74" s="55"/>
      <c r="G74" s="55"/>
      <c r="H74" s="56"/>
    </row>
    <row r="77">
      <c r="A77" s="50" t="s">
        <v>224</v>
      </c>
      <c r="B77" s="51"/>
      <c r="C77" s="51"/>
      <c r="D77" s="51"/>
      <c r="E77" s="51"/>
      <c r="F77" s="51"/>
      <c r="G77" s="51"/>
      <c r="H77" s="51"/>
    </row>
    <row r="78">
      <c r="A78" s="19"/>
      <c r="B78" s="18"/>
      <c r="C78" s="18"/>
      <c r="D78" s="18"/>
      <c r="E78" s="18"/>
      <c r="F78" s="18"/>
      <c r="G78" s="18"/>
      <c r="H78" s="18"/>
    </row>
    <row r="79">
      <c r="A79" s="19" t="s">
        <v>183</v>
      </c>
      <c r="B79" s="52"/>
    </row>
    <row r="80">
      <c r="A80" s="19"/>
      <c r="B80" s="19"/>
      <c r="C80" s="18"/>
      <c r="D80" s="18"/>
      <c r="E80" s="18"/>
      <c r="F80" s="18"/>
      <c r="G80" s="18"/>
      <c r="H80" s="58"/>
    </row>
    <row r="81">
      <c r="A81" s="19" t="s">
        <v>185</v>
      </c>
      <c r="C81" s="52"/>
    </row>
    <row r="82">
      <c r="A82" s="19"/>
      <c r="B82" s="19"/>
    </row>
    <row r="83">
      <c r="A83" s="19" t="s">
        <v>186</v>
      </c>
      <c r="C83" s="52"/>
    </row>
    <row r="84">
      <c r="A84" s="5"/>
    </row>
    <row r="85">
      <c r="A85" s="19" t="s">
        <v>221</v>
      </c>
      <c r="C85" s="52"/>
      <c r="I85" s="19"/>
      <c r="K85" s="19"/>
      <c r="L85" s="19"/>
      <c r="M85" s="19"/>
      <c r="N85" s="19"/>
      <c r="O85" s="19"/>
      <c r="P85" s="19"/>
      <c r="Q85" s="19"/>
      <c r="R85" s="19"/>
      <c r="S85" s="19"/>
      <c r="T85" s="19"/>
      <c r="U85" s="19"/>
      <c r="V85" s="19"/>
      <c r="W85" s="19"/>
      <c r="X85" s="19"/>
      <c r="Y85" s="19"/>
    </row>
    <row r="86">
      <c r="A86" s="5"/>
    </row>
    <row r="87">
      <c r="A87" s="53" t="s">
        <v>188</v>
      </c>
      <c r="B87" s="54"/>
      <c r="C87" s="55"/>
      <c r="D87" s="55"/>
      <c r="E87" s="55"/>
      <c r="F87" s="55"/>
      <c r="G87" s="55"/>
      <c r="H87" s="56"/>
    </row>
    <row r="88">
      <c r="B88" s="54"/>
      <c r="C88" s="55"/>
      <c r="D88" s="55"/>
      <c r="E88" s="55"/>
      <c r="F88" s="55"/>
      <c r="G88" s="55"/>
      <c r="H88" s="56"/>
    </row>
    <row r="89">
      <c r="B89" s="54"/>
      <c r="C89" s="55"/>
      <c r="D89" s="55"/>
      <c r="E89" s="55"/>
      <c r="F89" s="55"/>
      <c r="G89" s="55"/>
      <c r="H89" s="56"/>
    </row>
    <row r="90">
      <c r="B90" s="54"/>
      <c r="C90" s="55"/>
      <c r="D90" s="55"/>
      <c r="E90" s="55"/>
      <c r="F90" s="55"/>
      <c r="G90" s="55"/>
      <c r="H90" s="56"/>
    </row>
    <row r="91">
      <c r="B91" s="54"/>
      <c r="C91" s="55"/>
      <c r="D91" s="55"/>
      <c r="E91" s="55"/>
      <c r="F91" s="55"/>
      <c r="G91" s="55"/>
      <c r="H91" s="56"/>
    </row>
    <row r="92">
      <c r="B92" s="54"/>
      <c r="C92" s="55"/>
      <c r="D92" s="55"/>
      <c r="E92" s="55"/>
      <c r="F92" s="55"/>
      <c r="G92" s="55"/>
      <c r="H92" s="56"/>
    </row>
    <row r="93">
      <c r="B93" s="54"/>
      <c r="C93" s="55"/>
      <c r="D93" s="55"/>
      <c r="E93" s="55"/>
      <c r="F93" s="55"/>
      <c r="G93" s="55"/>
      <c r="H93" s="56"/>
    </row>
    <row r="97">
      <c r="A97" s="22" t="s">
        <v>189</v>
      </c>
    </row>
    <row r="98" ht="79.5" customHeight="1">
      <c r="A98" s="59"/>
      <c r="B98" s="55"/>
      <c r="C98" s="55"/>
      <c r="D98" s="55"/>
      <c r="E98" s="55"/>
      <c r="F98" s="55"/>
      <c r="G98" s="55"/>
      <c r="H98" s="56"/>
    </row>
    <row r="101">
      <c r="A101" s="50" t="s">
        <v>225</v>
      </c>
      <c r="B101" s="51"/>
      <c r="C101" s="51"/>
      <c r="D101" s="51"/>
      <c r="E101" s="51"/>
      <c r="F101" s="51"/>
      <c r="G101" s="51"/>
      <c r="H101" s="51"/>
    </row>
    <row r="102">
      <c r="A102" s="19"/>
      <c r="B102" s="18"/>
      <c r="C102" s="18"/>
      <c r="D102" s="18"/>
      <c r="E102" s="18"/>
      <c r="F102" s="18"/>
      <c r="G102" s="18"/>
      <c r="H102" s="18"/>
    </row>
    <row r="103">
      <c r="A103" s="19" t="s">
        <v>183</v>
      </c>
      <c r="B103" s="52"/>
    </row>
    <row r="104">
      <c r="A104" s="19"/>
      <c r="B104" s="19"/>
      <c r="C104" s="18"/>
      <c r="D104" s="18"/>
      <c r="E104" s="18"/>
      <c r="F104" s="18"/>
      <c r="G104" s="18"/>
      <c r="H104" s="58"/>
    </row>
    <row r="105">
      <c r="A105" s="19" t="s">
        <v>185</v>
      </c>
      <c r="C105" s="52"/>
    </row>
    <row r="106">
      <c r="A106" s="19"/>
      <c r="B106" s="19"/>
    </row>
    <row r="107">
      <c r="A107" s="19" t="s">
        <v>186</v>
      </c>
      <c r="C107" s="52"/>
    </row>
    <row r="108">
      <c r="A108" s="5"/>
    </row>
    <row r="109">
      <c r="A109" s="19" t="s">
        <v>221</v>
      </c>
      <c r="C109" s="52"/>
      <c r="I109" s="19"/>
      <c r="J109" s="19"/>
      <c r="K109" s="19"/>
      <c r="L109" s="19"/>
      <c r="M109" s="19"/>
      <c r="N109" s="19"/>
      <c r="O109" s="19"/>
      <c r="P109" s="19"/>
      <c r="Q109" s="19"/>
      <c r="R109" s="19"/>
      <c r="S109" s="19"/>
      <c r="T109" s="19"/>
      <c r="U109" s="19"/>
      <c r="V109" s="19"/>
      <c r="W109" s="19"/>
      <c r="X109" s="19"/>
    </row>
    <row r="110">
      <c r="A110" s="5"/>
    </row>
    <row r="111">
      <c r="A111" s="53" t="s">
        <v>188</v>
      </c>
      <c r="B111" s="54"/>
      <c r="C111" s="55"/>
      <c r="D111" s="55"/>
      <c r="E111" s="55"/>
      <c r="F111" s="55"/>
      <c r="G111" s="55"/>
      <c r="H111" s="56"/>
    </row>
    <row r="112">
      <c r="B112" s="54"/>
      <c r="C112" s="55"/>
      <c r="D112" s="55"/>
      <c r="E112" s="55"/>
      <c r="F112" s="55"/>
      <c r="G112" s="55"/>
      <c r="H112" s="56"/>
    </row>
    <row r="113">
      <c r="B113" s="54"/>
      <c r="C113" s="55"/>
      <c r="D113" s="55"/>
      <c r="E113" s="55"/>
      <c r="F113" s="55"/>
      <c r="G113" s="55"/>
      <c r="H113" s="56"/>
    </row>
    <row r="114">
      <c r="B114" s="54"/>
      <c r="C114" s="55"/>
      <c r="D114" s="55"/>
      <c r="E114" s="55"/>
      <c r="F114" s="55"/>
      <c r="G114" s="55"/>
      <c r="H114" s="56"/>
    </row>
    <row r="115">
      <c r="B115" s="54"/>
      <c r="C115" s="55"/>
      <c r="D115" s="55"/>
      <c r="E115" s="55"/>
      <c r="F115" s="55"/>
      <c r="G115" s="55"/>
      <c r="H115" s="56"/>
    </row>
    <row r="116">
      <c r="B116" s="54"/>
      <c r="C116" s="55"/>
      <c r="D116" s="55"/>
      <c r="E116" s="55"/>
      <c r="F116" s="55"/>
      <c r="G116" s="55"/>
      <c r="H116" s="56"/>
    </row>
    <row r="117">
      <c r="B117" s="54"/>
      <c r="C117" s="55"/>
      <c r="D117" s="55"/>
      <c r="E117" s="55"/>
      <c r="F117" s="55"/>
      <c r="G117" s="55"/>
      <c r="H117" s="56"/>
    </row>
    <row r="121">
      <c r="A121" s="22" t="s">
        <v>189</v>
      </c>
    </row>
    <row r="122" ht="65.25" customHeight="1">
      <c r="A122" s="59"/>
      <c r="B122" s="55"/>
      <c r="C122" s="55"/>
      <c r="D122" s="55"/>
      <c r="E122" s="55"/>
      <c r="F122" s="55"/>
      <c r="G122" s="55"/>
      <c r="H122" s="56"/>
    </row>
    <row r="125">
      <c r="A125" s="50" t="s">
        <v>226</v>
      </c>
      <c r="B125" s="51"/>
      <c r="C125" s="51"/>
      <c r="D125" s="51"/>
      <c r="E125" s="51"/>
      <c r="F125" s="51"/>
      <c r="G125" s="51"/>
      <c r="H125" s="51"/>
    </row>
    <row r="126">
      <c r="A126" s="19"/>
      <c r="B126" s="18"/>
      <c r="C126" s="18"/>
      <c r="D126" s="18"/>
      <c r="E126" s="18"/>
      <c r="F126" s="18"/>
      <c r="G126" s="18"/>
      <c r="H126" s="18"/>
    </row>
    <row r="127">
      <c r="A127" s="19" t="s">
        <v>183</v>
      </c>
      <c r="B127" s="52"/>
    </row>
    <row r="128">
      <c r="A128" s="19"/>
      <c r="B128" s="19"/>
      <c r="C128" s="18"/>
      <c r="D128" s="18"/>
      <c r="E128" s="18"/>
      <c r="F128" s="18"/>
      <c r="G128" s="18"/>
      <c r="H128" s="58"/>
    </row>
    <row r="129">
      <c r="A129" s="19" t="s">
        <v>185</v>
      </c>
      <c r="C129" s="52"/>
    </row>
    <row r="130">
      <c r="A130" s="19"/>
      <c r="B130" s="19"/>
    </row>
    <row r="131">
      <c r="A131" s="19" t="s">
        <v>186</v>
      </c>
      <c r="C131" s="52"/>
    </row>
    <row r="132">
      <c r="A132" s="5"/>
    </row>
    <row r="133">
      <c r="A133" s="19" t="s">
        <v>221</v>
      </c>
      <c r="C133" s="52"/>
      <c r="I133" s="19"/>
      <c r="K133" s="60"/>
      <c r="L133" s="60"/>
      <c r="M133" s="60"/>
      <c r="N133" s="60"/>
      <c r="O133" s="60"/>
      <c r="P133" s="60"/>
      <c r="Q133" s="19"/>
      <c r="S133" s="60"/>
      <c r="T133" s="60"/>
      <c r="U133" s="60"/>
      <c r="V133" s="60"/>
      <c r="W133" s="60"/>
      <c r="X133" s="60"/>
    </row>
    <row r="134">
      <c r="A134" s="5"/>
    </row>
    <row r="135">
      <c r="A135" s="53" t="s">
        <v>188</v>
      </c>
      <c r="B135" s="54"/>
      <c r="C135" s="55"/>
      <c r="D135" s="55"/>
      <c r="E135" s="55"/>
      <c r="F135" s="55"/>
      <c r="G135" s="55"/>
      <c r="H135" s="56"/>
    </row>
    <row r="136">
      <c r="B136" s="54"/>
      <c r="C136" s="55"/>
      <c r="D136" s="55"/>
      <c r="E136" s="55"/>
      <c r="F136" s="55"/>
      <c r="G136" s="55"/>
      <c r="H136" s="56"/>
    </row>
    <row r="137">
      <c r="B137" s="54"/>
      <c r="C137" s="55"/>
      <c r="D137" s="55"/>
      <c r="E137" s="55"/>
      <c r="F137" s="55"/>
      <c r="G137" s="55"/>
      <c r="H137" s="56"/>
    </row>
    <row r="138">
      <c r="B138" s="54"/>
      <c r="C138" s="55"/>
      <c r="D138" s="55"/>
      <c r="E138" s="55"/>
      <c r="F138" s="55"/>
      <c r="G138" s="55"/>
      <c r="H138" s="56"/>
    </row>
    <row r="139">
      <c r="B139" s="54"/>
      <c r="C139" s="55"/>
      <c r="D139" s="55"/>
      <c r="E139" s="55"/>
      <c r="F139" s="55"/>
      <c r="G139" s="55"/>
      <c r="H139" s="56"/>
    </row>
    <row r="140">
      <c r="B140" s="54"/>
      <c r="C140" s="55"/>
      <c r="D140" s="55"/>
      <c r="E140" s="55"/>
      <c r="F140" s="55"/>
      <c r="G140" s="55"/>
      <c r="H140" s="56"/>
    </row>
    <row r="141">
      <c r="B141" s="54"/>
      <c r="C141" s="55"/>
      <c r="D141" s="55"/>
      <c r="E141" s="55"/>
      <c r="F141" s="55"/>
      <c r="G141" s="55"/>
      <c r="H141" s="56"/>
    </row>
    <row r="145">
      <c r="A145" s="22" t="s">
        <v>189</v>
      </c>
    </row>
    <row r="146" ht="80.25" customHeight="1">
      <c r="A146" s="59"/>
      <c r="B146" s="55"/>
      <c r="C146" s="55"/>
      <c r="D146" s="55"/>
      <c r="E146" s="55"/>
      <c r="F146" s="55"/>
      <c r="G146" s="55"/>
      <c r="H146" s="56"/>
    </row>
    <row r="149">
      <c r="A149" s="50" t="s">
        <v>227</v>
      </c>
      <c r="B149" s="51"/>
      <c r="C149" s="51"/>
      <c r="D149" s="51"/>
      <c r="E149" s="51"/>
      <c r="F149" s="51"/>
      <c r="G149" s="51"/>
      <c r="H149" s="51"/>
    </row>
    <row r="150">
      <c r="A150" s="19"/>
      <c r="B150" s="18"/>
      <c r="C150" s="18"/>
      <c r="D150" s="18"/>
      <c r="E150" s="18"/>
      <c r="F150" s="18"/>
      <c r="G150" s="18"/>
      <c r="H150" s="18"/>
    </row>
    <row r="151">
      <c r="A151" s="19" t="s">
        <v>183</v>
      </c>
      <c r="B151" s="52"/>
    </row>
    <row r="152">
      <c r="A152" s="19"/>
      <c r="B152" s="19"/>
      <c r="C152" s="18"/>
      <c r="D152" s="18"/>
      <c r="E152" s="18"/>
      <c r="F152" s="18"/>
      <c r="G152" s="18"/>
      <c r="H152" s="58"/>
    </row>
    <row r="153">
      <c r="A153" s="19" t="s">
        <v>185</v>
      </c>
      <c r="C153" s="52"/>
    </row>
    <row r="154">
      <c r="A154" s="19"/>
      <c r="B154" s="19"/>
    </row>
    <row r="155">
      <c r="A155" s="19" t="s">
        <v>186</v>
      </c>
      <c r="C155" s="52"/>
    </row>
    <row r="156">
      <c r="A156" s="5"/>
    </row>
    <row r="157">
      <c r="A157" s="19" t="s">
        <v>221</v>
      </c>
      <c r="C157" s="52"/>
      <c r="I157" s="19"/>
      <c r="K157" s="60"/>
      <c r="L157" s="60"/>
      <c r="M157" s="60"/>
      <c r="N157" s="60"/>
      <c r="O157" s="60"/>
      <c r="P157" s="60"/>
      <c r="Q157" s="19"/>
      <c r="S157" s="60"/>
      <c r="T157" s="60"/>
      <c r="U157" s="60"/>
      <c r="V157" s="60"/>
      <c r="W157" s="60"/>
      <c r="X157" s="60"/>
    </row>
    <row r="158">
      <c r="A158" s="5"/>
    </row>
    <row r="159">
      <c r="A159" s="53" t="s">
        <v>188</v>
      </c>
      <c r="B159" s="54"/>
      <c r="C159" s="55"/>
      <c r="D159" s="55"/>
      <c r="E159" s="55"/>
      <c r="F159" s="55"/>
      <c r="G159" s="55"/>
      <c r="H159" s="56"/>
    </row>
    <row r="160">
      <c r="B160" s="54"/>
      <c r="C160" s="55"/>
      <c r="D160" s="55"/>
      <c r="E160" s="55"/>
      <c r="F160" s="55"/>
      <c r="G160" s="55"/>
      <c r="H160" s="56"/>
    </row>
    <row r="161">
      <c r="B161" s="54"/>
      <c r="C161" s="55"/>
      <c r="D161" s="55"/>
      <c r="E161" s="55"/>
      <c r="F161" s="55"/>
      <c r="G161" s="55"/>
      <c r="H161" s="56"/>
    </row>
    <row r="162">
      <c r="B162" s="54"/>
      <c r="C162" s="55"/>
      <c r="D162" s="55"/>
      <c r="E162" s="55"/>
      <c r="F162" s="55"/>
      <c r="G162" s="55"/>
      <c r="H162" s="56"/>
    </row>
    <row r="163">
      <c r="B163" s="54"/>
      <c r="C163" s="55"/>
      <c r="D163" s="55"/>
      <c r="E163" s="55"/>
      <c r="F163" s="55"/>
      <c r="G163" s="55"/>
      <c r="H163" s="56"/>
    </row>
    <row r="164">
      <c r="B164" s="54"/>
      <c r="C164" s="55"/>
      <c r="D164" s="55"/>
      <c r="E164" s="55"/>
      <c r="F164" s="55"/>
      <c r="G164" s="55"/>
      <c r="H164" s="56"/>
    </row>
    <row r="165">
      <c r="B165" s="54"/>
      <c r="C165" s="55"/>
      <c r="D165" s="55"/>
      <c r="E165" s="55"/>
      <c r="F165" s="55"/>
      <c r="G165" s="55"/>
      <c r="H165" s="56"/>
    </row>
    <row r="169">
      <c r="A169" s="22" t="s">
        <v>189</v>
      </c>
    </row>
    <row r="170" ht="83.25" customHeight="1">
      <c r="A170" s="59"/>
      <c r="B170" s="55"/>
      <c r="C170" s="55"/>
      <c r="D170" s="55"/>
      <c r="E170" s="55"/>
      <c r="F170" s="55"/>
      <c r="G170" s="55"/>
      <c r="H170" s="56"/>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34" t="str">
        <f>IFERROR(__xludf.DUMMYFUNCTION("IMPORTRANGE(""1--DGkU5oDw3gpAa_rQkeu1olWCf2iv8Pm7BNjqiyiuY"", ""Listado Cursos!H:J"")"),"Codigo - Nombre")</f>
        <v>Codigo - Nombre</v>
      </c>
      <c r="B1" s="61" t="str">
        <f>IFERROR(__xludf.DUMMYFUNCTION("""COMPUTED_VALUE"""),"Diseño Curricular")</f>
        <v>Diseño Curricular</v>
      </c>
      <c r="C1" s="61" t="str">
        <f>IFERROR(__xludf.DUMMYFUNCTION("""COMPUTED_VALUE"""),"Analisis de contexto")</f>
        <v>Analisis de contexto</v>
      </c>
      <c r="D1" s="34" t="str">
        <f>IFERROR(__xludf.DUMMYFUNCTION("IMPORTRANGE(VLOOKUP('Diseño Curricular'!B1,A:C,3,FALSE), ""Competencias!B21:J35"")"),"No")</f>
        <v>No</v>
      </c>
      <c r="E1" s="34" t="str">
        <f>IFERROR(__xludf.DUMMYFUNCTION("""COMPUTED_VALUE"""),"Tipo")</f>
        <v>Tipo</v>
      </c>
      <c r="F1" s="34" t="str">
        <f>IFERROR(__xludf.DUMMYFUNCTION("""COMPUTED_VALUE"""),"Verbo en Presente")</f>
        <v>Verbo en Presente</v>
      </c>
      <c r="G1" s="34" t="str">
        <f>IFERROR(__xludf.DUMMYFUNCTION("""COMPUTED_VALUE"""),"Objeto de la acción")</f>
        <v>Objeto de la acción</v>
      </c>
      <c r="H1" s="34"/>
      <c r="I1" s="34" t="str">
        <f>IFERROR(__xludf.DUMMYFUNCTION("""COMPUTED_VALUE"""),"[Palabras conectoreas] Herramientas o metodología")</f>
        <v>[Palabras conectoreas] Herramientas o metodología</v>
      </c>
      <c r="J1" s="34" t="str">
        <f>IFERROR(__xludf.DUMMYFUNCTION("""COMPUTED_VALUE"""),"[Palabras conectoreas] Condiciones específicas")</f>
        <v>[Palabras conectoreas] Condiciones específicas</v>
      </c>
      <c r="K1" s="34"/>
      <c r="L1" s="34" t="str">
        <f>IFERROR(__xludf.DUMMYFUNCTION("""COMPUTED_VALUE"""),"Nivel")</f>
        <v>Nivel</v>
      </c>
    </row>
    <row r="2">
      <c r="A2" s="34" t="str">
        <f>IFERROR(__xludf.DUMMYFUNCTION("""COMPUTED_VALUE"""),"17 - Área Social Humanística 1")</f>
        <v>17 - Área Social Humanística 1</v>
      </c>
      <c r="B2" s="34"/>
      <c r="C2" s="34"/>
      <c r="D2" s="34">
        <f>IFERROR(__xludf.DUMMYFUNCTION("""COMPUTED_VALUE"""),1.0)</f>
        <v>1</v>
      </c>
      <c r="E2" s="34" t="str">
        <f>IFERROR(__xludf.DUMMYFUNCTION("""COMPUTED_VALUE"""),"Especifica")</f>
        <v>Especifica</v>
      </c>
      <c r="F2" s="34" t="str">
        <f>IFERROR(__xludf.DUMMYFUNCTION("""COMPUTED_VALUE"""),"integra")</f>
        <v>integra</v>
      </c>
      <c r="G2" s="34" t="str">
        <f>IFERROR(__xludf.DUMMYFUNCTION("""COMPUTED_VALUE"""),"sistemas de información organizacionales (ERP, SCM, CRM)")</f>
        <v>sistemas de información organizacionales (ERP, SCM, CRM)</v>
      </c>
      <c r="H2" s="34"/>
      <c r="I2" s="34" t="str">
        <f>IFERROR(__xludf.DUMMYFUNCTION("""COMPUTED_VALUE"""),"utilizando tecnologías de información y comunicación")</f>
        <v>utilizando tecnologías de información y comunicación</v>
      </c>
      <c r="J2" s="34" t="str">
        <f>IFERROR(__xludf.DUMMYFUNCTION("""COMPUTED_VALUE"""),"con el fin de apoyar la transformación digital y mejorar la toma de decisiones estratégicas")</f>
        <v>con el fin de apoyar la transformación digital y mejorar la toma de decisiones estratégicas</v>
      </c>
      <c r="K2" s="34"/>
      <c r="L2" s="34" t="str">
        <f>IFERROR(__xludf.DUMMYFUNCTION("""COMPUTED_VALUE"""),"Aplicar")</f>
        <v>Aplicar</v>
      </c>
    </row>
    <row r="3">
      <c r="A3" s="34" t="str">
        <f>IFERROR(__xludf.DUMMYFUNCTION("""COMPUTED_VALUE"""),"101 - Área Matemática Básica 1")</f>
        <v>101 - Área Matemática Básica 1</v>
      </c>
      <c r="B3" s="34"/>
      <c r="C3" s="34"/>
      <c r="D3" s="34"/>
      <c r="E3" s="34" t="str">
        <f>IFERROR(__xludf.DUMMYFUNCTION("""COMPUTED_VALUE"""),"integra sistemas de información organizacionales (ERP, SCM, CRM) utilizando tecnologías de información y comunicación con el fin de apoyar la transformación digital y mejorar la toma de decisiones estratégicas ")</f>
        <v>integra sistemas de información organizacionales (ERP, SCM, CRM) utilizando tecnologías de información y comunicación con el fin de apoyar la transformación digital y mejorar la toma de decisiones estratégicas </v>
      </c>
      <c r="F3" s="34"/>
      <c r="G3" s="34"/>
      <c r="H3" s="34"/>
      <c r="I3" s="34"/>
      <c r="J3" s="34"/>
      <c r="K3" s="34"/>
      <c r="L3" s="34"/>
    </row>
    <row r="4">
      <c r="A4" s="34" t="str">
        <f>IFERROR(__xludf.DUMMYFUNCTION("""COMPUTED_VALUE"""),"5 - Técnicas de Estudio e Investigación")</f>
        <v>5 - Técnicas de Estudio e Investigación</v>
      </c>
      <c r="B4" s="34"/>
      <c r="C4" s="34"/>
      <c r="D4" s="34">
        <f>IFERROR(__xludf.DUMMYFUNCTION("""COMPUTED_VALUE"""),2.0)</f>
        <v>2</v>
      </c>
      <c r="E4" s="34" t="str">
        <f>IFERROR(__xludf.DUMMYFUNCTION("""COMPUTED_VALUE"""),"Especifica")</f>
        <v>Especifica</v>
      </c>
      <c r="F4" s="34" t="str">
        <f>IFERROR(__xludf.DUMMYFUNCTION("""COMPUTED_VALUE"""),"revisa")</f>
        <v>revisa</v>
      </c>
      <c r="G4" s="34" t="str">
        <f>IFERROR(__xludf.DUMMYFUNCTION("""COMPUTED_VALUE"""),"la evolución de los sistemas de información en la empresa")</f>
        <v>la evolución de los sistemas de información en la empresa</v>
      </c>
      <c r="H4" s="34"/>
      <c r="I4" s="34" t="str">
        <f>IFERROR(__xludf.DUMMYFUNCTION("""COMPUTED_VALUE"""),"mediante el análisis de casos históricos y actuales")</f>
        <v>mediante el análisis de casos históricos y actuales</v>
      </c>
      <c r="J4" s="34" t="str">
        <f>IFERROR(__xludf.DUMMYFUNCTION("""COMPUTED_VALUE"""),"con el fin de identificar tendencias y áreas de mejora")</f>
        <v>con el fin de identificar tendencias y áreas de mejora</v>
      </c>
      <c r="K4" s="34"/>
      <c r="L4" s="34" t="str">
        <f>IFERROR(__xludf.DUMMYFUNCTION("""COMPUTED_VALUE"""),"Analizar")</f>
        <v>Analizar</v>
      </c>
    </row>
    <row r="5">
      <c r="A5" s="34" t="str">
        <f>IFERROR(__xludf.DUMMYFUNCTION("""COMPUTED_VALUE"""),"39 - Deportes 1")</f>
        <v>39 - Deportes 1</v>
      </c>
      <c r="B5" s="34"/>
      <c r="C5" s="34"/>
      <c r="D5" s="34"/>
      <c r="E5" s="34" t="str">
        <f>IFERROR(__xludf.DUMMYFUNCTION("""COMPUTED_VALUE"""),"revisa la evolución de los sistemas de información en la empresa mediante el análisis de casos históricos y actuales con el fin de identificar tendencias y áreas de mejora ")</f>
        <v>revisa la evolución de los sistemas de información en la empresa mediante el análisis de casos históricos y actuales con el fin de identificar tendencias y áreas de mejora </v>
      </c>
      <c r="F5" s="34"/>
      <c r="G5" s="34"/>
      <c r="H5" s="34"/>
      <c r="I5" s="34"/>
      <c r="J5" s="34"/>
      <c r="K5" s="34"/>
      <c r="L5" s="34"/>
    </row>
    <row r="6">
      <c r="A6" s="34" t="str">
        <f>IFERROR(__xludf.DUMMYFUNCTION("""COMPUTED_VALUE"""),"6 - Idioma Tecnico 1")</f>
        <v>6 - Idioma Tecnico 1</v>
      </c>
      <c r="B6" s="34"/>
      <c r="C6" s="34"/>
      <c r="D6" s="34">
        <f>IFERROR(__xludf.DUMMYFUNCTION("""COMPUTED_VALUE"""),3.0)</f>
        <v>3</v>
      </c>
      <c r="E6" s="34" t="str">
        <f>IFERROR(__xludf.DUMMYFUNCTION("""COMPUTED_VALUE"""),"General")</f>
        <v>General</v>
      </c>
      <c r="F6" s="34" t="str">
        <f>IFERROR(__xludf.DUMMYFUNCTION("""COMPUTED_VALUE"""),"moviliza")</f>
        <v>moviliza</v>
      </c>
      <c r="G6" s="34" t="str">
        <f>IFERROR(__xludf.DUMMYFUNCTION("""COMPUTED_VALUE"""),"habilidades de pensamiento crítico y resolución de problemas")</f>
        <v>habilidades de pensamiento crítico y resolución de problemas</v>
      </c>
      <c r="H6" s="34"/>
      <c r="I6" s="34" t="str">
        <f>IFERROR(__xludf.DUMMYFUNCTION("""COMPUTED_VALUE"""),"utilizando estudios de caso empresariales")</f>
        <v>utilizando estudios de caso empresariales</v>
      </c>
      <c r="J6" s="34" t="str">
        <f>IFERROR(__xludf.DUMMYFUNCTION("""COMPUTED_VALUE"""),"con el fin de fortalecer la toma de decisiones en entornos organizacionales")</f>
        <v>con el fin de fortalecer la toma de decisiones en entornos organizacionales</v>
      </c>
      <c r="K6" s="34"/>
      <c r="L6" s="34" t="str">
        <f>IFERROR(__xludf.DUMMYFUNCTION("""COMPUTED_VALUE"""),"Analizar")</f>
        <v>Analizar</v>
      </c>
    </row>
    <row r="7">
      <c r="A7" s="34" t="str">
        <f>IFERROR(__xludf.DUMMYFUNCTION("""COMPUTED_VALUE"""),"19 - Área Social Humanística 2")</f>
        <v>19 - Área Social Humanística 2</v>
      </c>
      <c r="B7" s="34"/>
      <c r="C7" s="34"/>
      <c r="D7" s="34"/>
      <c r="E7" s="34" t="str">
        <f>IFERROR(__xludf.DUMMYFUNCTION("""COMPUTED_VALUE"""),"moviliza habilidades de pensamiento crítico y resolución de problemas utilizando estudios de caso empresariales con el fin de fortalecer la toma de decisiones en entornos organizacionales ")</f>
        <v>moviliza habilidades de pensamiento crítico y resolución de problemas utilizando estudios de caso empresariales con el fin de fortalecer la toma de decisiones en entornos organizacionales </v>
      </c>
      <c r="F7" s="34"/>
      <c r="G7" s="34"/>
      <c r="H7" s="34"/>
      <c r="I7" s="34"/>
      <c r="J7" s="34"/>
      <c r="K7" s="34"/>
      <c r="L7" s="34"/>
    </row>
    <row r="8">
      <c r="A8" s="34" t="str">
        <f>IFERROR(__xludf.DUMMYFUNCTION("""COMPUTED_VALUE"""),"103 - Área Matemática Básica 2")</f>
        <v>103 - Área Matemática Básica 2</v>
      </c>
      <c r="B8" s="34"/>
      <c r="C8" s="34"/>
      <c r="D8" s="34">
        <f>IFERROR(__xludf.DUMMYFUNCTION("""COMPUTED_VALUE"""),4.0)</f>
        <v>4</v>
      </c>
      <c r="E8" s="34" t="str">
        <f>IFERROR(__xludf.DUMMYFUNCTION("""COMPUTED_VALUE"""),"Especifica")</f>
        <v>Especifica</v>
      </c>
      <c r="F8" s="34" t="str">
        <f>IFERROR(__xludf.DUMMYFUNCTION("""COMPUTED_VALUE"""),"diseña")</f>
        <v>diseña</v>
      </c>
      <c r="G8" s="34" t="str">
        <f>IFERROR(__xludf.DUMMYFUNCTION("""COMPUTED_VALUE"""),"soluciones de sistemas de información geográfica (GIS) y de inteligencia de negocios (BI)")</f>
        <v>soluciones de sistemas de información geográfica (GIS) y de inteligencia de negocios (BI)</v>
      </c>
      <c r="H8" s="34"/>
      <c r="I8" s="34" t="str">
        <f>IFERROR(__xludf.DUMMYFUNCTION("""COMPUTED_VALUE"""),"utilizando software especializado")</f>
        <v>utilizando software especializado</v>
      </c>
      <c r="J8" s="34" t="str">
        <f>IFERROR(__xludf.DUMMYFUNCTION("""COMPUTED_VALUE"""),"con el fin de optimizar la visualización y análisis de datos estratégicos")</f>
        <v>con el fin de optimizar la visualización y análisis de datos estratégicos</v>
      </c>
      <c r="K8" s="34"/>
      <c r="L8" s="34" t="str">
        <f>IFERROR(__xludf.DUMMYFUNCTION("""COMPUTED_VALUE"""),"Crear")</f>
        <v>Crear</v>
      </c>
    </row>
    <row r="9">
      <c r="A9" s="34" t="str">
        <f>IFERROR(__xludf.DUMMYFUNCTION("""COMPUTED_VALUE"""),"960 - Matemática Para Computación 1")</f>
        <v>960 - Matemática Para Computación 1</v>
      </c>
      <c r="B9" s="34"/>
      <c r="C9" s="34"/>
      <c r="D9" s="34"/>
      <c r="E9" s="34" t="str">
        <f>IFERROR(__xludf.DUMMYFUNCTION("""COMPUTED_VALUE"""),"diseña soluciones de sistemas de información geográfica (GIS) y de inteligencia de negocios (BI) utilizando software especializado con el fin de optimizar la visualización y análisis de datos estratégicos ")</f>
        <v>diseña soluciones de sistemas de información geográfica (GIS) y de inteligencia de negocios (BI) utilizando software especializado con el fin de optimizar la visualización y análisis de datos estratégicos </v>
      </c>
      <c r="F9" s="34"/>
      <c r="G9" s="34"/>
      <c r="H9" s="34"/>
      <c r="I9" s="34"/>
      <c r="J9" s="34"/>
      <c r="K9" s="34"/>
      <c r="L9" s="34"/>
    </row>
    <row r="10">
      <c r="A10" s="34" t="str">
        <f>IFERROR(__xludf.DUMMYFUNCTION("""COMPUTED_VALUE"""),"147 - Física Básica")</f>
        <v>147 - Física Básica</v>
      </c>
      <c r="B10" s="34"/>
      <c r="C10" s="34"/>
      <c r="D10" s="34">
        <f>IFERROR(__xludf.DUMMYFUNCTION("""COMPUTED_VALUE"""),5.0)</f>
        <v>5</v>
      </c>
      <c r="E10" s="34" t="str">
        <f>IFERROR(__xludf.DUMMYFUNCTION("""COMPUTED_VALUE"""),"General")</f>
        <v>General</v>
      </c>
      <c r="F10" s="34" t="str">
        <f>IFERROR(__xludf.DUMMYFUNCTION("""COMPUTED_VALUE"""),"combina")</f>
        <v>combina</v>
      </c>
      <c r="G10" s="34" t="str">
        <f>IFERROR(__xludf.DUMMYFUNCTION("""COMPUTED_VALUE"""),"técnicas de trabajo en equipo y colaboración interdisciplinaria")</f>
        <v>técnicas de trabajo en equipo y colaboración interdisciplinaria</v>
      </c>
      <c r="H10" s="34"/>
      <c r="I10" s="34" t="str">
        <f>IFERROR(__xludf.DUMMYFUNCTION("""COMPUTED_VALUE"""),"empleando metodologías ágiles de gestión de proyectos")</f>
        <v>empleando metodologías ágiles de gestión de proyectos</v>
      </c>
      <c r="J10" s="34" t="str">
        <f>IFERROR(__xludf.DUMMYFUNCTION("""COMPUTED_VALUE"""),"con el fin de fomentar la innovación y eficiencia organizacional")</f>
        <v>con el fin de fomentar la innovación y eficiencia organizacional</v>
      </c>
      <c r="K10" s="34"/>
      <c r="L10" s="34" t="str">
        <f>IFERROR(__xludf.DUMMYFUNCTION("""COMPUTED_VALUE"""),"Crear")</f>
        <v>Crear</v>
      </c>
    </row>
    <row r="11">
      <c r="A11" s="34" t="str">
        <f>IFERROR(__xludf.DUMMYFUNCTION("""COMPUTED_VALUE"""),"40 - Deportes 2")</f>
        <v>40 - Deportes 2</v>
      </c>
      <c r="B11" s="34"/>
      <c r="C11" s="34"/>
      <c r="D11" s="34"/>
      <c r="E11" s="34" t="str">
        <f>IFERROR(__xludf.DUMMYFUNCTION("""COMPUTED_VALUE"""),"combina técnicas de trabajo en equipo y colaboración interdisciplinaria empleando metodologías ágiles de gestión de proyectos con el fin de fomentar la innovación y eficiencia organizacional ")</f>
        <v>combina técnicas de trabajo en equipo y colaboración interdisciplinaria empleando metodologías ágiles de gestión de proyectos con el fin de fomentar la innovación y eficiencia organizacional </v>
      </c>
      <c r="F11" s="34"/>
      <c r="G11" s="34"/>
      <c r="H11" s="34"/>
      <c r="I11" s="34"/>
      <c r="J11" s="34"/>
      <c r="K11" s="34"/>
      <c r="L11" s="34"/>
    </row>
    <row r="12">
      <c r="A12" s="34" t="str">
        <f>IFERROR(__xludf.DUMMYFUNCTION("""COMPUTED_VALUE"""),"8 - Idioma Técnico 2")</f>
        <v>8 - Idioma Técnico 2</v>
      </c>
      <c r="B12" s="34"/>
      <c r="C12" s="34"/>
      <c r="D12" s="34">
        <f>IFERROR(__xludf.DUMMYFUNCTION("""COMPUTED_VALUE"""),6.0)</f>
        <v>6</v>
      </c>
      <c r="E12" s="34" t="str">
        <f>IFERROR(__xludf.DUMMYFUNCTION("""COMPUTED_VALUE"""),"Especifica")</f>
        <v>Especifica</v>
      </c>
      <c r="F12" s="34" t="str">
        <f>IFERROR(__xludf.DUMMYFUNCTION("""COMPUTED_VALUE"""),"valida")</f>
        <v>valida</v>
      </c>
      <c r="G12" s="34" t="str">
        <f>IFERROR(__xludf.DUMMYFUNCTION("""COMPUTED_VALUE"""),"metodologías de gestión del cambio y rediseño de procesos organizativos")</f>
        <v>metodologías de gestión del cambio y rediseño de procesos organizativos</v>
      </c>
      <c r="H12" s="34"/>
      <c r="I12" s="34" t="str">
        <f>IFERROR(__xludf.DUMMYFUNCTION("""COMPUTED_VALUE"""),"utilizando modelos de cambio organizativo y técnicas de reingeniería")</f>
        <v>utilizando modelos de cambio organizativo y técnicas de reingeniería</v>
      </c>
      <c r="J12" s="34" t="str">
        <f>IFERROR(__xludf.DUMMYFUNCTION("""COMPUTED_VALUE"""),"con el fin de garantizar la incorporación efectiva de las TIC")</f>
        <v>con el fin de garantizar la incorporación efectiva de las TIC</v>
      </c>
      <c r="K12" s="34"/>
      <c r="L12" s="34" t="str">
        <f>IFERROR(__xludf.DUMMYFUNCTION("""COMPUTED_VALUE"""),"Evaluar")</f>
        <v>Evaluar</v>
      </c>
    </row>
    <row r="13">
      <c r="A13" s="34" t="str">
        <f>IFERROR(__xludf.DUMMYFUNCTION("""COMPUTED_VALUE"""),"795 - Logica de Sitemas")</f>
        <v>795 - Logica de Sitemas</v>
      </c>
      <c r="B13" s="34" t="str">
        <f>IFERROR(__xludf.DUMMYFUNCTION("""COMPUTED_VALUE"""),"1tGblVNcAY7QU_u00ZUgf5GJjDZOK39vXt9FvZeMfPKg")</f>
        <v>1tGblVNcAY7QU_u00ZUgf5GJjDZOK39vXt9FvZeMfPKg</v>
      </c>
      <c r="C13" s="34" t="str">
        <f>IFERROR(__xludf.DUMMYFUNCTION("""COMPUTED_VALUE"""),"1olpUmnSmvTLYIIWFmjmPX_CYPTPOprpPEwh7xMvm2WM")</f>
        <v>1olpUmnSmvTLYIIWFmjmPX_CYPTPOprpPEwh7xMvm2WM</v>
      </c>
      <c r="D13" s="34"/>
      <c r="E13" s="34" t="str">
        <f>IFERROR(__xludf.DUMMYFUNCTION("""COMPUTED_VALUE"""),"valida metodologías de gestión del cambio y rediseño de procesos organizativos utilizando modelos de cambio organizativo y técnicas de reingeniería con el fin de garantizar la incorporación efectiva de las TIC ")</f>
        <v>valida metodologías de gestión del cambio y rediseño de procesos organizativos utilizando modelos de cambio organizativo y técnicas de reingeniería con el fin de garantizar la incorporación efectiva de las TIC </v>
      </c>
      <c r="F13" s="34"/>
      <c r="G13" s="34"/>
      <c r="H13" s="34"/>
      <c r="I13" s="34"/>
      <c r="J13" s="34"/>
      <c r="K13" s="34"/>
      <c r="L13" s="34"/>
    </row>
    <row r="14">
      <c r="A14" s="34" t="str">
        <f>IFERROR(__xludf.DUMMYFUNCTION("""COMPUTED_VALUE"""),"962 - Matemática Para Computación 2")</f>
        <v>962 - Matemática Para Computación 2</v>
      </c>
      <c r="B14" s="34"/>
      <c r="C14" s="34"/>
      <c r="D14" s="34">
        <f>IFERROR(__xludf.DUMMYFUNCTION("""COMPUTED_VALUE"""),7.0)</f>
        <v>7</v>
      </c>
      <c r="E14" s="34" t="str">
        <f>IFERROR(__xludf.DUMMYFUNCTION("""COMPUTED_VALUE"""),"General")</f>
        <v>General</v>
      </c>
      <c r="F14" s="34" t="str">
        <f>IFERROR(__xludf.DUMMYFUNCTION("""COMPUTED_VALUE"""),"contrasta")</f>
        <v>contrasta</v>
      </c>
      <c r="G14" s="34" t="str">
        <f>IFERROR(__xludf.DUMMYFUNCTION("""COMPUTED_VALUE"""),"ideas, soluciones y propuestas relacionadas con sistemas de información")</f>
        <v>ideas, soluciones y propuestas relacionadas con sistemas de información</v>
      </c>
      <c r="H14" s="34"/>
      <c r="I14" s="34" t="str">
        <f>IFERROR(__xludf.DUMMYFUNCTION("""COMPUTED_VALUE"""),"utilizando herramientas de comunicación efectiva")</f>
        <v>utilizando herramientas de comunicación efectiva</v>
      </c>
      <c r="J14" s="34" t="str">
        <f>IFERROR(__xludf.DUMMYFUNCTION("""COMPUTED_VALUE"""),"con el fin de facilitar la colaboración y comprensión en la organización")</f>
        <v>con el fin de facilitar la colaboración y comprensión en la organización</v>
      </c>
      <c r="K14" s="34"/>
      <c r="L14" s="34" t="str">
        <f>IFERROR(__xludf.DUMMYFUNCTION("""COMPUTED_VALUE"""),"Analizar")</f>
        <v>Analizar</v>
      </c>
    </row>
    <row r="15">
      <c r="A15" s="34" t="str">
        <f>IFERROR(__xludf.DUMMYFUNCTION("""COMPUTED_VALUE"""),"770 - Introducción a ala programación y computación 1")</f>
        <v>770 - Introducción a ala programación y computación 1</v>
      </c>
      <c r="B15" s="34" t="str">
        <f>IFERROR(__xludf.DUMMYFUNCTION("""COMPUTED_VALUE"""),"1hnCz3e7R539DMJA_6KBromYXyQWjR5cbX4eUFYyZB78")</f>
        <v>1hnCz3e7R539DMJA_6KBromYXyQWjR5cbX4eUFYyZB78</v>
      </c>
      <c r="C15" s="34" t="str">
        <f>IFERROR(__xludf.DUMMYFUNCTION("""COMPUTED_VALUE"""),"13K0AQ2QyRJmkDL_B9YKTYVy3OKQyLCIBTe0sAqstrFI")</f>
        <v>13K0AQ2QyRJmkDL_B9YKTYVy3OKQyLCIBTe0sAqstrFI</v>
      </c>
      <c r="D15" s="34"/>
      <c r="E15" s="34" t="str">
        <f>IFERROR(__xludf.DUMMYFUNCTION("""COMPUTED_VALUE"""),"contrasta ideas, soluciones y propuestas relacionadas con sistemas de información utilizando herramientas de comunicación efectiva con el fin de facilitar la colaboración y comprensión en la organización ")</f>
        <v>contrasta ideas, soluciones y propuestas relacionadas con sistemas de información utilizando herramientas de comunicación efectiva con el fin de facilitar la colaboración y comprensión en la organización </v>
      </c>
      <c r="F15" s="34"/>
      <c r="G15" s="34"/>
      <c r="H15" s="34"/>
      <c r="I15" s="34"/>
      <c r="J15" s="34"/>
      <c r="K15" s="34"/>
      <c r="L15" s="34"/>
    </row>
    <row r="16">
      <c r="A16" s="34" t="str">
        <f>IFERROR(__xludf.DUMMYFUNCTION("""COMPUTED_VALUE"""),"107 - Área Matemática Intermedia 1")</f>
        <v>107 - Área Matemática Intermedia 1</v>
      </c>
      <c r="B16" s="34"/>
      <c r="C16" s="34"/>
    </row>
    <row r="17">
      <c r="A17" s="34" t="str">
        <f>IFERROR(__xludf.DUMMYFUNCTION("""COMPUTED_VALUE"""),"150 - Fisica 1")</f>
        <v>150 - Fisica 1</v>
      </c>
      <c r="B17" s="34"/>
      <c r="C17" s="34"/>
    </row>
    <row r="18">
      <c r="A18" s="34" t="str">
        <f>IFERROR(__xludf.DUMMYFUNCTION("""COMPUTED_VALUE"""),"1 - Ética Profesional")</f>
        <v>1 - Ética Profesional</v>
      </c>
      <c r="B18" s="34"/>
      <c r="C18" s="34"/>
    </row>
    <row r="19">
      <c r="A19" s="34" t="str">
        <f>IFERROR(__xludf.DUMMYFUNCTION("""COMPUTED_VALUE"""),"9 - Idioma Técnico 3")</f>
        <v>9 - Idioma Técnico 3</v>
      </c>
      <c r="B19" s="34"/>
      <c r="C19" s="34"/>
    </row>
    <row r="20">
      <c r="A20" s="34" t="str">
        <f>IFERROR(__xludf.DUMMYFUNCTION("""COMPUTED_VALUE"""),"796 - Lenguajes Formales y de Programación")</f>
        <v>796 - Lenguajes Formales y de Programación</v>
      </c>
      <c r="B20" s="34" t="str">
        <f>IFERROR(__xludf.DUMMYFUNCTION("""COMPUTED_VALUE"""),"1-dPQ2ZCWWgBi4gyaV8KmnDWxF063I-zfJutKPMwJjrw")</f>
        <v>1-dPQ2ZCWWgBi4gyaV8KmnDWxF063I-zfJutKPMwJjrw</v>
      </c>
      <c r="C20" s="34" t="str">
        <f>IFERROR(__xludf.DUMMYFUNCTION("""COMPUTED_VALUE"""),"14p5IrzE6q20i9mtWRrbgJgIQTyfVIS4RiO1JbrFY3Ng")</f>
        <v>14p5IrzE6q20i9mtWRrbgJgIQTyfVIS4RiO1JbrFY3Ng</v>
      </c>
      <c r="E20" s="62" t="str">
        <f>E3</f>
        <v>integra sistemas de información organizacionales (ERP, SCM, CRM) utilizando tecnologías de información y comunicación con el fin de apoyar la transformación digital y mejorar la toma de decisiones estratégicas </v>
      </c>
      <c r="F20" s="55"/>
      <c r="G20" s="55"/>
      <c r="H20" s="55"/>
      <c r="I20" s="55"/>
      <c r="J20" s="55"/>
      <c r="K20" s="55"/>
      <c r="L20" s="55"/>
      <c r="M20" s="55"/>
      <c r="N20" s="56"/>
    </row>
    <row r="21">
      <c r="A21" s="34" t="str">
        <f>IFERROR(__xludf.DUMMYFUNCTION("""COMPUTED_VALUE"""),"771 - Introducción a la Programación y Computación 2")</f>
        <v>771 - Introducción a la Programación y Computación 2</v>
      </c>
      <c r="B21" s="34" t="str">
        <f>IFERROR(__xludf.DUMMYFUNCTION("""COMPUTED_VALUE"""),"1__RmanO4MiKBpppCFzGzdDC2fWb5cD2m02xjOur_6nk")</f>
        <v>1__RmanO4MiKBpppCFzGzdDC2fWb5cD2m02xjOur_6nk</v>
      </c>
      <c r="C21" s="34" t="str">
        <f>IFERROR(__xludf.DUMMYFUNCTION("""COMPUTED_VALUE"""),"1hwyEeHtTnYmAXwVixwCmwcQ_1S6x1ID8qghxNj_2les")</f>
        <v>1hwyEeHtTnYmAXwVixwCmwcQ_1S6x1ID8qghxNj_2les</v>
      </c>
      <c r="E21" s="62" t="str">
        <f>E5</f>
        <v>revisa la evolución de los sistemas de información en la empresa mediante el análisis de casos históricos y actuales con el fin de identificar tendencias y áreas de mejora </v>
      </c>
      <c r="F21" s="55"/>
      <c r="G21" s="55"/>
      <c r="H21" s="55"/>
      <c r="I21" s="55"/>
      <c r="J21" s="55"/>
      <c r="K21" s="55"/>
      <c r="L21" s="55"/>
      <c r="M21" s="55"/>
      <c r="N21" s="56"/>
    </row>
    <row r="22">
      <c r="A22" s="34" t="str">
        <f>IFERROR(__xludf.DUMMYFUNCTION("""COMPUTED_VALUE"""),"112 - Área Matemática Intermedia 2")</f>
        <v>112 - Área Matemática Intermedia 2</v>
      </c>
      <c r="B22" s="34"/>
      <c r="C22" s="34"/>
      <c r="E22" s="62" t="str">
        <f>E7</f>
        <v>moviliza habilidades de pensamiento crítico y resolución de problemas utilizando estudios de caso empresariales con el fin de fortalecer la toma de decisiones en entornos organizacionales </v>
      </c>
      <c r="F22" s="55"/>
      <c r="G22" s="55"/>
      <c r="H22" s="55"/>
      <c r="I22" s="55"/>
      <c r="J22" s="55"/>
      <c r="K22" s="55"/>
      <c r="L22" s="55"/>
      <c r="M22" s="55"/>
      <c r="N22" s="56"/>
    </row>
    <row r="23">
      <c r="A23" s="34" t="str">
        <f>IFERROR(__xludf.DUMMYFUNCTION("""COMPUTED_VALUE"""),"114 - Área Matemática Intermedia 3")</f>
        <v>114 - Área Matemática Intermedia 3</v>
      </c>
      <c r="B23" s="34"/>
      <c r="C23" s="34"/>
      <c r="E23" s="62" t="str">
        <f>E9</f>
        <v>diseña soluciones de sistemas de información geográfica (GIS) y de inteligencia de negocios (BI) utilizando software especializado con el fin de optimizar la visualización y análisis de datos estratégicos </v>
      </c>
      <c r="F23" s="55"/>
      <c r="G23" s="55"/>
      <c r="H23" s="55"/>
      <c r="I23" s="55"/>
      <c r="J23" s="55"/>
      <c r="K23" s="55"/>
      <c r="L23" s="55"/>
      <c r="M23" s="55"/>
      <c r="N23" s="56"/>
    </row>
    <row r="24">
      <c r="A24" s="34" t="str">
        <f>IFERROR(__xludf.DUMMYFUNCTION("""COMPUTED_VALUE"""),"152 - Física 2")</f>
        <v>152 - Física 2</v>
      </c>
      <c r="B24" s="34"/>
      <c r="C24" s="34"/>
      <c r="E24" s="62" t="str">
        <f>E11</f>
        <v>combina técnicas de trabajo en equipo y colaboración interdisciplinaria empleando metodologías ágiles de gestión de proyectos con el fin de fomentar la innovación y eficiencia organizacional </v>
      </c>
      <c r="F24" s="55"/>
      <c r="G24" s="55"/>
      <c r="H24" s="55"/>
      <c r="I24" s="55"/>
      <c r="J24" s="55"/>
      <c r="K24" s="55"/>
      <c r="L24" s="55"/>
      <c r="M24" s="55"/>
      <c r="N24" s="56"/>
    </row>
    <row r="25">
      <c r="A25" s="34" t="str">
        <f>IFERROR(__xludf.DUMMYFUNCTION("""COMPUTED_VALUE"""),"10 - Lógica")</f>
        <v>10 - Lógica</v>
      </c>
      <c r="B25" s="34"/>
      <c r="C25" s="34"/>
      <c r="E25" s="62" t="str">
        <f>E13</f>
        <v>valida metodologías de gestión del cambio y rediseño de procesos organizativos utilizando modelos de cambio organizativo y técnicas de reingeniería con el fin de garantizar la incorporación efectiva de las TIC </v>
      </c>
      <c r="F25" s="55"/>
      <c r="G25" s="55"/>
      <c r="H25" s="55"/>
      <c r="I25" s="55"/>
      <c r="J25" s="55"/>
      <c r="K25" s="55"/>
      <c r="L25" s="55"/>
      <c r="M25" s="55"/>
      <c r="N25" s="56"/>
    </row>
    <row r="26">
      <c r="A26" s="34" t="str">
        <f>IFERROR(__xludf.DUMMYFUNCTION("""COMPUTED_VALUE"""),"11 - Idioma Técnico 4")</f>
        <v>11 - Idioma Técnico 4</v>
      </c>
      <c r="B26" s="34"/>
      <c r="C26" s="34"/>
      <c r="E26" s="62" t="str">
        <f>E15</f>
        <v>contrasta ideas, soluciones y propuestas relacionadas con sistemas de información utilizando herramientas de comunicación efectiva con el fin de facilitar la colaboración y comprensión en la organización </v>
      </c>
      <c r="F26" s="55"/>
      <c r="G26" s="55"/>
      <c r="H26" s="55"/>
      <c r="I26" s="55"/>
      <c r="J26" s="55"/>
      <c r="K26" s="55"/>
      <c r="L26" s="55"/>
      <c r="M26" s="55"/>
      <c r="N26" s="56"/>
    </row>
    <row r="27">
      <c r="A27" s="34" t="str">
        <f>IFERROR(__xludf.DUMMYFUNCTION("""COMPUTED_VALUE"""),"2025 - Prácticas Iniciales")</f>
        <v>2025 - Prácticas Iniciales</v>
      </c>
      <c r="B27" s="34"/>
      <c r="C27" s="34"/>
    </row>
    <row r="28">
      <c r="A28" s="34" t="str">
        <f>IFERROR(__xludf.DUMMYFUNCTION("""COMPUTED_VALUE"""),"732 - Estadística 1")</f>
        <v>732 - Estadística 1</v>
      </c>
      <c r="B28" s="34"/>
      <c r="C28" s="34"/>
    </row>
    <row r="29">
      <c r="A29" s="34" t="str">
        <f>IFERROR(__xludf.DUMMYFUNCTION("""COMPUTED_VALUE"""),"777 - Organización de Lenguajes y Compiladores 1")</f>
        <v>777 - Organización de Lenguajes y Compiladores 1</v>
      </c>
      <c r="B29" s="34" t="str">
        <f>IFERROR(__xludf.DUMMYFUNCTION("""COMPUTED_VALUE"""),"1sMJr8kYIDF7fR6Jn6GMDZp8CdJCeGqxbVA5UTdBCrkM")</f>
        <v>1sMJr8kYIDF7fR6Jn6GMDZp8CdJCeGqxbVA5UTdBCrkM</v>
      </c>
      <c r="C29" s="34" t="str">
        <f>IFERROR(__xludf.DUMMYFUNCTION("""COMPUTED_VALUE"""),"1sznB5glJmAKD25Jh38PR_uvVmYLeupPdQfr5Z_cGdy0")</f>
        <v>1sznB5glJmAKD25Jh38PR_uvVmYLeupPdQfr5Z_cGdy0</v>
      </c>
    </row>
    <row r="30">
      <c r="A30" s="34" t="str">
        <f>IFERROR(__xludf.DUMMYFUNCTION("""COMPUTED_VALUE"""),"964 - Organización Computacional")</f>
        <v>964 - Organización Computacional</v>
      </c>
      <c r="B30" s="34" t="str">
        <f>IFERROR(__xludf.DUMMYFUNCTION("""COMPUTED_VALUE"""),"1daYmFoqU1khKZXb4p_ygv5jH4tkv8-tTjdTDSUh72F0")</f>
        <v>1daYmFoqU1khKZXb4p_ygv5jH4tkv8-tTjdTDSUh72F0</v>
      </c>
      <c r="C30" s="34" t="str">
        <f>IFERROR(__xludf.DUMMYFUNCTION("""COMPUTED_VALUE"""),"1Iu2w--EUMRmqIHGvbgJsupMFeebEMTKXZFzhrwGZtOs")</f>
        <v>1Iu2w--EUMRmqIHGvbgJsupMFeebEMTKXZFzhrwGZtOs</v>
      </c>
    </row>
    <row r="31">
      <c r="A31" s="34" t="str">
        <f>IFERROR(__xludf.DUMMYFUNCTION("""COMPUTED_VALUE"""),"772 - Estructuras de Datos")</f>
        <v>772 - Estructuras de Datos</v>
      </c>
      <c r="B31" s="34" t="str">
        <f>IFERROR(__xludf.DUMMYFUNCTION("""COMPUTED_VALUE"""),"1rTNY7hLmB5N26Z2z6EtF0axcaKKizdu0eLKqLiwUhto")</f>
        <v>1rTNY7hLmB5N26Z2z6EtF0axcaKKizdu0eLKqLiwUhto</v>
      </c>
      <c r="C31" s="34" t="str">
        <f>IFERROR(__xludf.DUMMYFUNCTION("""COMPUTED_VALUE"""),"1e8AAZ395NIODTRjmbwP3Bvdb1OJlsJawLywq7NixwcM")</f>
        <v>1e8AAZ395NIODTRjmbwP3Bvdb1OJlsJawLywq7NixwcM</v>
      </c>
    </row>
    <row r="32">
      <c r="A32" s="34" t="str">
        <f>IFERROR(__xludf.DUMMYFUNCTION("""COMPUTED_VALUE"""),"116 - Matemática Aplicada 3")</f>
        <v>116 - Matemática Aplicada 3</v>
      </c>
      <c r="B32" s="34"/>
      <c r="C32" s="34"/>
    </row>
    <row r="33">
      <c r="A33" s="34" t="str">
        <f>IFERROR(__xludf.DUMMYFUNCTION("""COMPUTED_VALUE"""),"118 - Matemática Aplicada 1")</f>
        <v>118 - Matemática Aplicada 1</v>
      </c>
      <c r="B33" s="34"/>
      <c r="C33" s="34"/>
    </row>
    <row r="34">
      <c r="A34" s="34" t="str">
        <f>IFERROR(__xludf.DUMMYFUNCTION("""COMPUTED_VALUE"""),"18 - Filosofía de la Ciencia")</f>
        <v>18 - Filosofía de la Ciencia</v>
      </c>
      <c r="B34" s="34"/>
      <c r="C34" s="34"/>
    </row>
    <row r="35">
      <c r="A35" s="34" t="str">
        <f>IFERROR(__xludf.DUMMYFUNCTION("""COMPUTED_VALUE"""),"722 - Teoría de Sistemas 1")</f>
        <v>722 - Teoría de Sistemas 1</v>
      </c>
      <c r="B35" s="34" t="str">
        <f>IFERROR(__xludf.DUMMYFUNCTION("""COMPUTED_VALUE"""),"1npGvBttUX2JHkjnmDRQmNhZacltUudlNKCQsLV09BaU")</f>
        <v>1npGvBttUX2JHkjnmDRQmNhZacltUudlNKCQsLV09BaU</v>
      </c>
      <c r="C35" s="34" t="str">
        <f>IFERROR(__xludf.DUMMYFUNCTION("""COMPUTED_VALUE"""),"1hMUPf0qs2ca-iLxfgxe8cYMynK4MJCa34p7GqRHJXbE")</f>
        <v>1hMUPf0qs2ca-iLxfgxe8cYMynK4MJCa34p7GqRHJXbE</v>
      </c>
    </row>
    <row r="36">
      <c r="A36" s="34" t="str">
        <f>IFERROR(__xludf.DUMMYFUNCTION("""COMPUTED_VALUE"""),"601 - Investigación de Operaciones 1")</f>
        <v>601 - Investigación de Operaciones 1</v>
      </c>
      <c r="B36" s="34"/>
      <c r="C36" s="34"/>
    </row>
    <row r="37">
      <c r="A37" s="34" t="str">
        <f>IFERROR(__xludf.DUMMYFUNCTION("""COMPUTED_VALUE"""),"14 - Economía")</f>
        <v>14 - Economía</v>
      </c>
      <c r="B37" s="34" t="str">
        <f>IFERROR(__xludf.DUMMYFUNCTION("""COMPUTED_VALUE"""),"169ieOogZaXHMs_PddYQfqqWTOgqfbgT1NUf8dchmb4U")</f>
        <v>169ieOogZaXHMs_PddYQfqqWTOgqfbgT1NUf8dchmb4U</v>
      </c>
      <c r="C37" s="34" t="str">
        <f>IFERROR(__xludf.DUMMYFUNCTION("""COMPUTED_VALUE"""),"1aRV1pjb7CPc1NcugRe2l92I-OqNZYb_4YmhuHZtvXzs")</f>
        <v>1aRV1pjb7CPc1NcugRe2l92I-OqNZYb_4YmhuHZtvXzs</v>
      </c>
    </row>
    <row r="38">
      <c r="A38" s="34" t="str">
        <f>IFERROR(__xludf.DUMMYFUNCTION("""COMPUTED_VALUE"""),"781 - Organización de Lenguajes y Compiladores 2")</f>
        <v>781 - Organización de Lenguajes y Compiladores 2</v>
      </c>
      <c r="B38" s="34" t="str">
        <f>IFERROR(__xludf.DUMMYFUNCTION("""COMPUTED_VALUE"""),"18dQYgiKWkpI2wogupgHf8u3PbCa0cKqMH6-ZsAIhLPw")</f>
        <v>18dQYgiKWkpI2wogupgHf8u3PbCa0cKqMH6-ZsAIhLPw</v>
      </c>
      <c r="C38" s="34" t="str">
        <f>IFERROR(__xludf.DUMMYFUNCTION("""COMPUTED_VALUE"""),"1FvDr2nu5sW0gxDkpPanB4sWbi78KZCAhc6wrywlrvlE")</f>
        <v>1FvDr2nu5sW0gxDkpPanB4sWbi78KZCAhc6wrywlrvlE</v>
      </c>
    </row>
    <row r="39">
      <c r="A39" s="34" t="str">
        <f>IFERROR(__xludf.DUMMYFUNCTION("""COMPUTED_VALUE"""),"778 - Arquitectura de Computadoras y Ensambladores 1")</f>
        <v>778 - Arquitectura de Computadoras y Ensambladores 1</v>
      </c>
      <c r="B39" s="34" t="str">
        <f>IFERROR(__xludf.DUMMYFUNCTION("""COMPUTED_VALUE"""),"13gNb-7XS_aMptaL1TLnLB5k06Y_okRzOgjzOxLHNuiI")</f>
        <v>13gNb-7XS_aMptaL1TLnLB5k06Y_okRzOgjzOxLHNuiI</v>
      </c>
      <c r="C39" s="34" t="str">
        <f>IFERROR(__xludf.DUMMYFUNCTION("""COMPUTED_VALUE"""),"1dlO25kugHQowRwF3LcOkrFuLGg-hP9mn9OW7x7GssMc")</f>
        <v>1dlO25kugHQowRwF3LcOkrFuLGg-hP9mn9OW7x7GssMc</v>
      </c>
    </row>
    <row r="40">
      <c r="A40" s="34" t="str">
        <f>IFERROR(__xludf.DUMMYFUNCTION("""COMPUTED_VALUE"""),"773 - Manejo e Implementación de Archivos")</f>
        <v>773 - Manejo e Implementación de Archivos</v>
      </c>
      <c r="B40" s="34" t="str">
        <f>IFERROR(__xludf.DUMMYFUNCTION("""COMPUTED_VALUE"""),"1VDaIod2C3XfezxQfz50xvWZ9yVVdVvNIqd-1xbJmaD8")</f>
        <v>1VDaIod2C3XfezxQfz50xvWZ9yVVdVvNIqd-1xbJmaD8</v>
      </c>
      <c r="C40" s="34" t="str">
        <f>IFERROR(__xludf.DUMMYFUNCTION("""COMPUTED_VALUE"""),"1MkqyTtzzzyQyC--twNt__AoC_Sd0UBC67j0f9nktivE")</f>
        <v>1MkqyTtzzzyQyC--twNt__AoC_Sd0UBC67j0f9nktivE</v>
      </c>
    </row>
    <row r="41">
      <c r="A41" s="34" t="str">
        <f>IFERROR(__xludf.DUMMYFUNCTION("""COMPUTED_VALUE"""),"122 - Matemática Aplicada 4")</f>
        <v>122 - Matemática Aplicada 4</v>
      </c>
      <c r="B41" s="34"/>
      <c r="C41" s="34"/>
    </row>
    <row r="42">
      <c r="A42" s="34" t="str">
        <f>IFERROR(__xludf.DUMMYFUNCTION("""COMPUTED_VALUE"""),"120 - Matemática Aplicada 2")</f>
        <v>120 - Matemática Aplicada 2</v>
      </c>
      <c r="B42" s="34"/>
      <c r="C42" s="34"/>
    </row>
    <row r="43">
      <c r="A43" s="34" t="str">
        <f>IFERROR(__xludf.DUMMYFUNCTION("""COMPUTED_VALUE"""),"200 - Ingeniería Eléctrica 1")</f>
        <v>200 - Ingeniería Eléctrica 1</v>
      </c>
      <c r="B43" s="34"/>
      <c r="C43" s="34"/>
    </row>
    <row r="44">
      <c r="A44" s="34" t="str">
        <f>IFERROR(__xludf.DUMMYFUNCTION("""COMPUTED_VALUE"""),"724 - Teoría de Sistemas 2")</f>
        <v>724 - Teoría de Sistemas 2</v>
      </c>
      <c r="B44" s="34" t="str">
        <f>IFERROR(__xludf.DUMMYFUNCTION("""COMPUTED_VALUE"""),"1Oh-yJJ9oc8SdDPJao-u31YXfwOPrsifu2o1a7Sf2-9k")</f>
        <v>1Oh-yJJ9oc8SdDPJao-u31YXfwOPrsifu2o1a7Sf2-9k</v>
      </c>
      <c r="C44" s="34" t="str">
        <f>IFERROR(__xludf.DUMMYFUNCTION("""COMPUTED_VALUE"""),"1O2rxycdV4XrytI_g4llqenReY8-rYp3frKI7rd6fNMI")</f>
        <v>1O2rxycdV4XrytI_g4llqenReY8-rYp3frKI7rd6fNMI</v>
      </c>
    </row>
    <row r="45">
      <c r="A45" s="34" t="str">
        <f>IFERROR(__xludf.DUMMYFUNCTION("""COMPUTED_VALUE"""),"603 - Investigación de Operaciones 2")</f>
        <v>603 - Investigación de Operaciones 2</v>
      </c>
      <c r="B45" s="34"/>
      <c r="C45" s="34"/>
    </row>
    <row r="46">
      <c r="A46" s="34" t="str">
        <f>IFERROR(__xludf.DUMMYFUNCTION("""COMPUTED_VALUE"""),"734 - Estadística 2")</f>
        <v>734 - Estadística 2</v>
      </c>
      <c r="B46" s="34"/>
      <c r="C46" s="34"/>
    </row>
    <row r="47">
      <c r="A47" s="34" t="str">
        <f>IFERROR(__xludf.DUMMYFUNCTION("""COMPUTED_VALUE"""),"281 - Sistemas Operativos 1")</f>
        <v>281 - Sistemas Operativos 1</v>
      </c>
      <c r="B47" s="34" t="str">
        <f>IFERROR(__xludf.DUMMYFUNCTION("""COMPUTED_VALUE"""),"1RAzDRLQZEv8Ck7PxnFQbrklrekiw5bDJFX0wgP7vFSQ")</f>
        <v>1RAzDRLQZEv8Ck7PxnFQbrklrekiw5bDJFX0wgP7vFSQ</v>
      </c>
      <c r="C47" s="34" t="str">
        <f>IFERROR(__xludf.DUMMYFUNCTION("""COMPUTED_VALUE"""),"145JPmfq4pDEEE_ipNtWzYQNDVrAg9WOQ9ocmZu_NegE")</f>
        <v>145JPmfq4pDEEE_ipNtWzYQNDVrAg9WOQ9ocmZu_NegE</v>
      </c>
    </row>
    <row r="48">
      <c r="A48" s="34" t="str">
        <f>IFERROR(__xludf.DUMMYFUNCTION("""COMPUTED_VALUE"""),"779 - Arquitectura de Computadoras y Ensambladores 2")</f>
        <v>779 - Arquitectura de Computadoras y Ensambladores 2</v>
      </c>
      <c r="B48" s="34" t="str">
        <f>IFERROR(__xludf.DUMMYFUNCTION("""COMPUTED_VALUE"""),"1_uxBhWcRvgBlCjf2s6O-Hvly7rBvJyZdswUKwm6KP5Y")</f>
        <v>1_uxBhWcRvgBlCjf2s6O-Hvly7rBvJyZdswUKwm6KP5Y</v>
      </c>
      <c r="C48" s="34" t="str">
        <f>IFERROR(__xludf.DUMMYFUNCTION("""COMPUTED_VALUE"""),"1dqk67SNWBGb15fqe17ZBfmxUg9pla5H7nqVOrGHYEJ4")</f>
        <v>1dqk67SNWBGb15fqe17ZBfmxUg9pla5H7nqVOrGHYEJ4</v>
      </c>
    </row>
    <row r="49">
      <c r="A49" s="34" t="str">
        <f>IFERROR(__xludf.DUMMYFUNCTION("""COMPUTED_VALUE"""),"970 - Redes de Computadoras 1")</f>
        <v>970 - Redes de Computadoras 1</v>
      </c>
      <c r="B49" s="34" t="str">
        <f>IFERROR(__xludf.DUMMYFUNCTION("""COMPUTED_VALUE"""),"1z_6lSkIcVZpEVQ4tR8c-eSvVvTxWsXwhmFojsLWeBGc")</f>
        <v>1z_6lSkIcVZpEVQ4tR8c-eSvVvTxWsXwhmFojsLWeBGc</v>
      </c>
      <c r="C49" s="34" t="str">
        <f>IFERROR(__xludf.DUMMYFUNCTION("""COMPUTED_VALUE"""),"18wRQLI8Pz51ZFEFWKE1SD6XVhlxOdJa1PpxDFo2dRT4")</f>
        <v>18wRQLI8Pz51ZFEFWKE1SD6XVhlxOdJa1PpxDFo2dRT4</v>
      </c>
    </row>
    <row r="50">
      <c r="A50" s="34" t="str">
        <f>IFERROR(__xludf.DUMMYFUNCTION("""COMPUTED_VALUE"""),"774 - Sistemas de Bases de Datos 1")</f>
        <v>774 - Sistemas de Bases de Datos 1</v>
      </c>
      <c r="B50" s="34" t="str">
        <f>IFERROR(__xludf.DUMMYFUNCTION("""COMPUTED_VALUE"""),"1h1zzA1-Xq9ihet57bP4f0PLQnKeojJUanhgpuP67hKs")</f>
        <v>1h1zzA1-Xq9ihet57bP4f0PLQnKeojJUanhgpuP67hKs</v>
      </c>
      <c r="C50" s="34" t="str">
        <f>IFERROR(__xludf.DUMMYFUNCTION("""COMPUTED_VALUE"""),"1xYInTWRmhz45q5vjazDVsb1EGOCbYqibWRBgZMK1g2I")</f>
        <v>1xYInTWRmhz45q5vjazDVsb1EGOCbYqibWRBgZMK1g2I</v>
      </c>
    </row>
    <row r="51">
      <c r="A51" s="34" t="str">
        <f>IFERROR(__xludf.DUMMYFUNCTION("""COMPUTED_VALUE"""),"2036 - Prácticas Intermedias")</f>
        <v>2036 - Prácticas Intermedias</v>
      </c>
      <c r="B51" s="34"/>
      <c r="C51" s="34"/>
    </row>
    <row r="52">
      <c r="A52" s="34" t="str">
        <f>IFERROR(__xludf.DUMMYFUNCTION("""COMPUTED_VALUE"""),"285 - Sistemas Operativos 2")</f>
        <v>285 - Sistemas Operativos 2</v>
      </c>
      <c r="B52" s="34" t="str">
        <f>IFERROR(__xludf.DUMMYFUNCTION("""COMPUTED_VALUE"""),"1VCx3jdfVNJvtMfY5j_W624CAT1QxC-9qVw_ts_erFM8")</f>
        <v>1VCx3jdfVNJvtMfY5j_W624CAT1QxC-9qVw_ts_erFM8</v>
      </c>
      <c r="C52" s="34" t="str">
        <f>IFERROR(__xludf.DUMMYFUNCTION("""COMPUTED_VALUE"""),"1ssmi68Gibgtkl07Zn0H_wQWjqhj_SfcpUhCdmyvVjb4")</f>
        <v>1ssmi68Gibgtkl07Zn0H_wQWjqhj_SfcpUhCdmyvVjb4</v>
      </c>
    </row>
    <row r="53">
      <c r="A53" s="34" t="str">
        <f>IFERROR(__xludf.DUMMYFUNCTION("""COMPUTED_VALUE"""),"975 - Redes de Computadoras 2")</f>
        <v>975 - Redes de Computadoras 2</v>
      </c>
      <c r="B53" s="34" t="str">
        <f>IFERROR(__xludf.DUMMYFUNCTION("""COMPUTED_VALUE"""),"1JcTacSIMIoXQmOixc1cssvrK_MVzZYH-Yo4FFSny6Nk")</f>
        <v>1JcTacSIMIoXQmOixc1cssvrK_MVzZYH-Yo4FFSny6Nk</v>
      </c>
      <c r="C53" s="34" t="str">
        <f>IFERROR(__xludf.DUMMYFUNCTION("""COMPUTED_VALUE"""),"1JLgRGqqoVVNY2eFrI2m3ylhPGOUPiyZN7_tK8VnOywQ")</f>
        <v>1JLgRGqqoVVNY2eFrI2m3ylhPGOUPiyZN7_tK8VnOywQ</v>
      </c>
    </row>
    <row r="54">
      <c r="A54" s="34" t="str">
        <f>IFERROR(__xludf.DUMMYFUNCTION("""COMPUTED_VALUE"""),"775 - Sistemas de Bases de Datos 2")</f>
        <v>775 - Sistemas de Bases de Datos 2</v>
      </c>
      <c r="B54" s="34" t="str">
        <f>IFERROR(__xludf.DUMMYFUNCTION("""COMPUTED_VALUE"""),"1TCVGX95CGGMGYvyB2K8cDve9RSMthqD6Tc1-CrmctiM")</f>
        <v>1TCVGX95CGGMGYvyB2K8cDve9RSMthqD6Tc1-CrmctiM</v>
      </c>
      <c r="C54" s="34" t="str">
        <f>IFERROR(__xludf.DUMMYFUNCTION("""COMPUTED_VALUE"""),"1c8vA2_5i-ARXIPU3ZxB3bwcKRbWh46erGG5KH3wrJyU")</f>
        <v>1c8vA2_5i-ARXIPU3ZxB3bwcKRbWh46erGG5KH3wrJyU</v>
      </c>
    </row>
    <row r="55">
      <c r="A55" s="34" t="str">
        <f>IFERROR(__xludf.DUMMYFUNCTION("""COMPUTED_VALUE"""),"283 - Análisis y Diseño de Sistemas 1")</f>
        <v>283 - Análisis y Diseño de Sistemas 1</v>
      </c>
      <c r="B55" s="34" t="str">
        <f>IFERROR(__xludf.DUMMYFUNCTION("""COMPUTED_VALUE"""),"1Y3HF-OxPbgEhNi6pNhbpImrQsH3btlYO6xtsnryrunY")</f>
        <v>1Y3HF-OxPbgEhNi6pNhbpImrQsH3btlYO6xtsnryrunY</v>
      </c>
      <c r="C55" s="34" t="str">
        <f>IFERROR(__xludf.DUMMYFUNCTION("""COMPUTED_VALUE"""),"12umvxFMZmSLGZenSQOXCnUePgu7-gug8FmFRz5MKlkE")</f>
        <v>12umvxFMZmSLGZenSQOXCnUePgu7-gug8FmFRz5MKlkE</v>
      </c>
    </row>
    <row r="56">
      <c r="A56" s="34" t="str">
        <f>IFERROR(__xludf.DUMMYFUNCTION("""COMPUTED_VALUE"""),"797 - Seminario de Sistemas 1")</f>
        <v>797 - Seminario de Sistemas 1</v>
      </c>
      <c r="B56" s="34" t="str">
        <f>IFERROR(__xludf.DUMMYFUNCTION("""COMPUTED_VALUE"""),"1VXfuZgL8iNYOe8XfW_5s4rVnIq-_Xurqk8xlOGGexqY")</f>
        <v>1VXfuZgL8iNYOe8XfW_5s4rVnIq-_Xurqk8xlOGGexqY</v>
      </c>
      <c r="C56" s="34" t="str">
        <f>IFERROR(__xludf.DUMMYFUNCTION("""COMPUTED_VALUE"""),"1eWOPuodcZlQ4YNCFI3CQ-Zpw7nxkVx7vi3XlMdj8he4")</f>
        <v>1eWOPuodcZlQ4YNCFI3CQ-Zpw7nxkVx7vi3XlMdj8he4</v>
      </c>
    </row>
    <row r="57">
      <c r="A57" s="34" t="str">
        <f>IFERROR(__xludf.DUMMYFUNCTION("""COMPUTED_VALUE"""),"700 - Ingeniería Económica 1")</f>
        <v>700 - Ingeniería Económica 1</v>
      </c>
      <c r="B57" s="34"/>
      <c r="C57" s="34"/>
    </row>
    <row r="58">
      <c r="A58" s="34" t="str">
        <f>IFERROR(__xludf.DUMMYFUNCTION("""COMPUTED_VALUE"""),"729 - Modelación y Simulación 1")</f>
        <v>729 - Modelación y Simulación 1</v>
      </c>
      <c r="B58" s="34" t="str">
        <f>IFERROR(__xludf.DUMMYFUNCTION("""COMPUTED_VALUE"""),"17u8GNz3HZ-i9KS-yxFiuJx9u7OawTwjyLcvLoG_x6W8")</f>
        <v>17u8GNz3HZ-i9KS-yxFiuJx9u7OawTwjyLcvLoG_x6W8</v>
      </c>
      <c r="C58" s="34" t="str">
        <f>IFERROR(__xludf.DUMMYFUNCTION("""COMPUTED_VALUE"""),"1NFJSyWLsOrGAG7qFKpXyw79GRTTb4abmj-M6aBddS5U")</f>
        <v>1NFJSyWLsOrGAG7qFKpXyw79GRTTb4abmj-M6aBddS5U</v>
      </c>
    </row>
    <row r="59">
      <c r="A59" s="34" t="str">
        <f>IFERROR(__xludf.DUMMYFUNCTION("""COMPUTED_VALUE"""),"786 - Sistemas Organizacionales y Gerenciales 1")</f>
        <v>786 - Sistemas Organizacionales y Gerenciales 1</v>
      </c>
      <c r="B59" s="34" t="str">
        <f>IFERROR(__xludf.DUMMYFUNCTION("""COMPUTED_VALUE"""),"1VTtCckO64u9REDx8UoxNJrYiavZGQU_hh4HvsOUiqlc")</f>
        <v>1VTtCckO64u9REDx8UoxNJrYiavZGQU_hh4HvsOUiqlc</v>
      </c>
      <c r="C59" s="34" t="str">
        <f>IFERROR(__xludf.DUMMYFUNCTION("""COMPUTED_VALUE"""),"1dMwVEKpg3j4uCN3CqoVXOWkBQbHNw7DIhtU8Bhc5Mqc")</f>
        <v>1dMwVEKpg3j4uCN3CqoVXOWkBQbHNw7DIhtU8Bhc5Mqc</v>
      </c>
    </row>
    <row r="60">
      <c r="A60" s="34" t="str">
        <f>IFERROR(__xludf.DUMMYFUNCTION("""COMPUTED_VALUE"""),"972 - Inteligencia Artificial 1")</f>
        <v>972 - Inteligencia Artificial 1</v>
      </c>
      <c r="B60" s="34" t="str">
        <f>IFERROR(__xludf.DUMMYFUNCTION("""COMPUTED_VALUE"""),"1C04a6qH3d2zJVb1hJwa6tsRQVM9LUb_nwyxMovG5tdI")</f>
        <v>1C04a6qH3d2zJVb1hJwa6tsRQVM9LUb_nwyxMovG5tdI</v>
      </c>
      <c r="C60" s="34" t="str">
        <f>IFERROR(__xludf.DUMMYFUNCTION("""COMPUTED_VALUE"""),"1CEh1GcUg3ntzgPT9yUocLDlrLJKmZCCl1MWUrEyfwzg")</f>
        <v>1CEh1GcUg3ntzgPT9yUocLDlrLJKmZCCl1MWUrEyfwzg</v>
      </c>
    </row>
    <row r="61">
      <c r="A61" s="34" t="str">
        <f>IFERROR(__xludf.DUMMYFUNCTION("""COMPUTED_VALUE"""),"966 - Seguridad y Auditoría de Redes de Computadoras")</f>
        <v>966 - Seguridad y Auditoría de Redes de Computadoras</v>
      </c>
      <c r="B61" s="34"/>
      <c r="C61" s="34"/>
    </row>
    <row r="62">
      <c r="A62" s="34" t="str">
        <f>IFERROR(__xludf.DUMMYFUNCTION("""COMPUTED_VALUE"""),"785 - Análisis y Diseño de Sistemas 2")</f>
        <v>785 - Análisis y Diseño de Sistemas 2</v>
      </c>
      <c r="B62" s="34" t="str">
        <f>IFERROR(__xludf.DUMMYFUNCTION("""COMPUTED_VALUE"""),"1_ufF1kvClwUUTsCz0V0fLuXjs_JRZWRSMCWkUEd8co4")</f>
        <v>1_ufF1kvClwUUTsCz0V0fLuXjs_JRZWRSMCWkUEd8co4</v>
      </c>
      <c r="C62" s="34" t="str">
        <f>IFERROR(__xludf.DUMMYFUNCTION("""COMPUTED_VALUE"""),"1HaBdPkxZx1GRiw5WlqxQhbxPWuW-mZVFEoUho7tsLDY")</f>
        <v>1HaBdPkxZx1GRiw5WlqxQhbxPWuW-mZVFEoUho7tsLDY</v>
      </c>
    </row>
    <row r="63">
      <c r="A63" s="34" t="str">
        <f>IFERROR(__xludf.DUMMYFUNCTION("""COMPUTED_VALUE"""),"798 - Seminario de Sistemas 2")</f>
        <v>798 - Seminario de Sistemas 2</v>
      </c>
      <c r="B63" s="34" t="str">
        <f>IFERROR(__xludf.DUMMYFUNCTION("""COMPUTED_VALUE"""),"1v6hbJdWzxkj7s5D7oM894pu3kMAvhEZGXUMfRFv7yKQ")</f>
        <v>1v6hbJdWzxkj7s5D7oM894pu3kMAvhEZGXUMfRFv7yKQ</v>
      </c>
      <c r="C63" s="34" t="str">
        <f>IFERROR(__xludf.DUMMYFUNCTION("""COMPUTED_VALUE"""),"1LxPO_wuZRiAXrS1EicVG-gQWzjILKll8Nqvs3MS7G_k")</f>
        <v>1LxPO_wuZRiAXrS1EicVG-gQWzjILKll8Nqvs3MS7G_k</v>
      </c>
    </row>
    <row r="64">
      <c r="A64" s="34" t="str">
        <f>IFERROR(__xludf.DUMMYFUNCTION("""COMPUTED_VALUE"""),"788 - Sistemas Aplicados 1")</f>
        <v>788 - Sistemas Aplicados 1</v>
      </c>
      <c r="B64" s="34"/>
      <c r="C64" s="34"/>
    </row>
    <row r="65">
      <c r="A65" s="34" t="str">
        <f>IFERROR(__xludf.DUMMYFUNCTION("""COMPUTED_VALUE"""),"776 - Bases de Datos Avanzadas")</f>
        <v>776 - Bases de Datos Avanzadas</v>
      </c>
      <c r="B65" s="34" t="str">
        <f>IFERROR(__xludf.DUMMYFUNCTION("""COMPUTED_VALUE"""),"1SZ2dJz29IsruB5vMYQ514xwGe6wyVx6cjMu_iwnHpFo")</f>
        <v>1SZ2dJz29IsruB5vMYQ514xwGe6wyVx6cjMu_iwnHpFo</v>
      </c>
      <c r="C65" s="34"/>
    </row>
    <row r="66">
      <c r="A66" s="34" t="str">
        <f>IFERROR(__xludf.DUMMYFUNCTION("""COMPUTED_VALUE"""),"2009 - Prácticas Finales Ingeniería Ciencias y Sistemas")</f>
        <v>2009 - Prácticas Finales Ingeniería Ciencias y Sistemas</v>
      </c>
      <c r="B66" s="34"/>
      <c r="C66" s="34"/>
    </row>
    <row r="67">
      <c r="A67" s="34" t="str">
        <f>IFERROR(__xludf.DUMMYFUNCTION("""COMPUTED_VALUE"""),"720 - Modelación y Simulación 2")</f>
        <v>720 - Modelación y Simulación 2</v>
      </c>
      <c r="B67" s="34" t="str">
        <f>IFERROR(__xludf.DUMMYFUNCTION("""COMPUTED_VALUE"""),"1ebc3-I4AbsLDHtzhtolQz7pqZDPvmSE0yZJu1xY6lLY")</f>
        <v>1ebc3-I4AbsLDHtzhtolQz7pqZDPvmSE0yZJu1xY6lLY</v>
      </c>
      <c r="C67" s="34" t="str">
        <f>IFERROR(__xludf.DUMMYFUNCTION("""COMPUTED_VALUE"""),"1VnSdYE6hCH1oAG4XdaAltDp-IuIjLZzv9KdrOGh2-0Y")</f>
        <v>1VnSdYE6hCH1oAG4XdaAltDp-IuIjLZzv9KdrOGh2-0Y</v>
      </c>
    </row>
    <row r="68">
      <c r="A68" s="34" t="str">
        <f>IFERROR(__xludf.DUMMYFUNCTION("""COMPUTED_VALUE"""),"787 - Sistemas Organizacionales y Gerenciales 2")</f>
        <v>787 - Sistemas Organizacionales y Gerenciales 2</v>
      </c>
      <c r="B68" s="34" t="str">
        <f>IFERROR(__xludf.DUMMYFUNCTION("""COMPUTED_VALUE"""),"1KpYHYX_EAJ-h4GLtSoCT8Rqz-xU4Qh5pUnEiPyxmEZA")</f>
        <v>1KpYHYX_EAJ-h4GLtSoCT8Rqz-xU4Qh5pUnEiPyxmEZA</v>
      </c>
      <c r="C68" s="34" t="str">
        <f>IFERROR(__xludf.DUMMYFUNCTION("""COMPUTED_VALUE"""),"106SYnPHxQ47_qT62NOXndjd6mPwE7LV7AXR9D4-euB8")</f>
        <v>106SYnPHxQ47_qT62NOXndjd6mPwE7LV7AXR9D4-euB8</v>
      </c>
    </row>
    <row r="69">
      <c r="A69" s="34" t="str">
        <f>IFERROR(__xludf.DUMMYFUNCTION("""COMPUTED_VALUE"""),"790 - Emprendedores de Negocios Informáticos")</f>
        <v>790 - Emprendedores de Negocios Informáticos</v>
      </c>
      <c r="B69" s="34"/>
      <c r="C69" s="34"/>
    </row>
    <row r="70">
      <c r="A70" s="34" t="str">
        <f>IFERROR(__xludf.DUMMYFUNCTION("""COMPUTED_VALUE"""),"968 - Inteligencia Artificial 2")</f>
        <v>968 - Inteligencia Artificial 2</v>
      </c>
      <c r="B70" s="34"/>
      <c r="C70" s="34"/>
    </row>
    <row r="71">
      <c r="A71" s="34" t="str">
        <f>IFERROR(__xludf.DUMMYFUNCTION("""COMPUTED_VALUE"""),"974 - Redes de Nueva Generación")</f>
        <v>974 - Redes de Nueva Generación</v>
      </c>
      <c r="B71" s="34"/>
      <c r="C71" s="34"/>
    </row>
    <row r="72">
      <c r="A72" s="34" t="str">
        <f>IFERROR(__xludf.DUMMYFUNCTION("""COMPUTED_VALUE"""),"780 - Software Avanzado")</f>
        <v>780 - Software Avanzado</v>
      </c>
      <c r="B72" s="34" t="str">
        <f>IFERROR(__xludf.DUMMYFUNCTION("""COMPUTED_VALUE"""),"1SZ2dJz29IsruB5vMYQ514xwGe6wyVx6cjMu_iwnHpFo")</f>
        <v>1SZ2dJz29IsruB5vMYQ514xwGe6wyVx6cjMu_iwnHpFo</v>
      </c>
      <c r="C72" s="34" t="str">
        <f>IFERROR(__xludf.DUMMYFUNCTION("""COMPUTED_VALUE"""),"13JrqVT0c3I6SzCOF1sKpi1qJKOryNTT4TsCaNwuV-24")</f>
        <v>13JrqVT0c3I6SzCOF1sKpi1qJKOryNTT4TsCaNwuV-24</v>
      </c>
    </row>
    <row r="73">
      <c r="A73" s="34" t="str">
        <f>IFERROR(__xludf.DUMMYFUNCTION("""COMPUTED_VALUE"""),"789 - Sistemas Aplicados 2")</f>
        <v>789 - Sistemas Aplicados 2</v>
      </c>
      <c r="B73" s="34"/>
      <c r="C73" s="34"/>
    </row>
    <row r="74">
      <c r="A74" s="34" t="str">
        <f>IFERROR(__xludf.DUMMYFUNCTION("""COMPUTED_VALUE"""),"735 - Auditoría de Proyectos de Software")</f>
        <v>735 - Auditoría de Proyectos de Software</v>
      </c>
      <c r="B74" s="34"/>
      <c r="C74" s="34"/>
    </row>
    <row r="75">
      <c r="A75" s="34" t="str">
        <f>IFERROR(__xludf.DUMMYFUNCTION("""COMPUTED_VALUE"""),"7999 - Seminario de Investigación EPS Sistemas")</f>
        <v>7999 - Seminario de Investigación EPS Sistemas</v>
      </c>
      <c r="B75" s="34"/>
      <c r="C75" s="34"/>
    </row>
    <row r="76">
      <c r="A76" s="34" t="str">
        <f>IFERROR(__xludf.DUMMYFUNCTION("""COMPUTED_VALUE"""),"799 - Seminario de Investigación")</f>
        <v>799 - Seminario de Investigación</v>
      </c>
      <c r="B76" s="34"/>
      <c r="C76" s="34"/>
    </row>
    <row r="77">
      <c r="A77" s="34" t="str">
        <f>IFERROR(__xludf.DUMMYFUNCTION("""COMPUTED_VALUE"""),"90 - Programacion de Computadoras 1")</f>
        <v>90 - Programacion de Computadoras 1</v>
      </c>
      <c r="B77" s="34" t="str">
        <f>IFERROR(__xludf.DUMMYFUNCTION("""COMPUTED_VALUE"""),"1qvDDGj5yCc7f5CzNszeAsW2HPXfptQjvWIcbjskCMYM")</f>
        <v>1qvDDGj5yCc7f5CzNszeAsW2HPXfptQjvWIcbjskCMYM</v>
      </c>
      <c r="C77" s="34" t="str">
        <f>IFERROR(__xludf.DUMMYFUNCTION("""COMPUTED_VALUE"""),"1YPGQg3r0TE0ZsibgKarHMDVR2FLaHLC0G5O84_GpNhw")</f>
        <v>1YPGQg3r0TE0ZsibgKarHMDVR2FLaHLC0G5O84_GpNhw</v>
      </c>
    </row>
    <row r="78">
      <c r="A78" s="34" t="str">
        <f>IFERROR(__xludf.DUMMYFUNCTION("""COMPUTED_VALUE"""),"92 - Programacion de Computadoras 2")</f>
        <v>92 - Programacion de Computadoras 2</v>
      </c>
      <c r="B78" s="34" t="str">
        <f>IFERROR(__xludf.DUMMYFUNCTION("""COMPUTED_VALUE"""),"1SCiXODhHsEGBVGnnYk9ZrO_gSOSvcGwu7lDEJBfLaEw")</f>
        <v>1SCiXODhHsEGBVGnnYk9ZrO_gSOSvcGwu7lDEJBfLaEw</v>
      </c>
      <c r="C78" s="34" t="str">
        <f>IFERROR(__xludf.DUMMYFUNCTION("""COMPUTED_VALUE"""),"1Bf3nWt47xcnM3VU3BvJaD4AcWQd-1GK4pJm4b69PzDk")</f>
        <v>1Bf3nWt47xcnM3VU3BvJaD4AcWQd-1GK4pJm4b69PzDk</v>
      </c>
    </row>
    <row r="79">
      <c r="A79" s="34" t="str">
        <f>IFERROR(__xludf.DUMMYFUNCTION("""COMPUTED_VALUE"""),"667 - Programacion Comercial 1")</f>
        <v>667 - Programacion Comercial 1</v>
      </c>
      <c r="B79" s="34" t="str">
        <f>IFERROR(__xludf.DUMMYFUNCTION("""COMPUTED_VALUE"""),"1q-0CM7N_hXOxknvTAL7P8U9-t9hqpm1-3l5E6r3G-qg")</f>
        <v>1q-0CM7N_hXOxknvTAL7P8U9-t9hqpm1-3l5E6r3G-qg</v>
      </c>
      <c r="C79" s="34" t="str">
        <f>IFERROR(__xludf.DUMMYFUNCTION("""COMPUTED_VALUE"""),"1R41rwbBQZrh9qjZ3XYjH5mTM9rwh34s58Htn787_YnY")</f>
        <v>1R41rwbBQZrh9qjZ3XYjH5mTM9rwh34s58Htn787_YnY</v>
      </c>
    </row>
    <row r="80">
      <c r="A80" s="34" t="str">
        <f>IFERROR(__xludf.DUMMYFUNCTION("""COMPUTED_VALUE"""),"768 - Algoritmos")</f>
        <v>768 - Algoritmos</v>
      </c>
      <c r="B80" s="34" t="str">
        <f>IFERROR(__xludf.DUMMYFUNCTION("""COMPUTED_VALUE"""),"1SjAd6zUsLAnVyCAYH7AjoRBdaM836qJGVSbcpa5npcA")</f>
        <v>1SjAd6zUsLAnVyCAYH7AjoRBdaM836qJGVSbcpa5npcA</v>
      </c>
      <c r="C80" s="34" t="str">
        <f>IFERROR(__xludf.DUMMYFUNCTION("""COMPUTED_VALUE"""),"1afm0IKlaJOgHVN4bCH6AUAoNUqhq0_44_T5aENeyCWo")</f>
        <v>1afm0IKlaJOgHVN4bCH6AUAoNUqhq0_44_T5aENeyCWo</v>
      </c>
    </row>
    <row r="81">
      <c r="A81" s="34"/>
      <c r="B81" s="34"/>
      <c r="C81" s="34"/>
    </row>
    <row r="82">
      <c r="A82" s="34"/>
      <c r="B82" s="34"/>
      <c r="C82" s="34"/>
    </row>
    <row r="83">
      <c r="A83" s="34"/>
      <c r="B83" s="34"/>
      <c r="C83" s="34"/>
    </row>
    <row r="84">
      <c r="A84" s="34"/>
      <c r="B84" s="34"/>
      <c r="C84" s="34"/>
    </row>
    <row r="85">
      <c r="A85" s="34"/>
      <c r="B85" s="34"/>
      <c r="C85" s="34"/>
    </row>
    <row r="86">
      <c r="A86" s="34"/>
      <c r="B86" s="34"/>
      <c r="C86" s="34"/>
    </row>
    <row r="87">
      <c r="A87" s="34"/>
      <c r="B87" s="34"/>
      <c r="C87" s="34"/>
    </row>
    <row r="88">
      <c r="A88" s="34"/>
      <c r="B88" s="34"/>
      <c r="C88" s="34"/>
    </row>
    <row r="89">
      <c r="A89" s="34"/>
      <c r="B89" s="34"/>
      <c r="C89" s="34"/>
    </row>
    <row r="90">
      <c r="A90" s="34"/>
      <c r="B90" s="34"/>
      <c r="C90" s="34"/>
    </row>
    <row r="91">
      <c r="A91" s="34"/>
      <c r="B91" s="34"/>
      <c r="C91" s="34"/>
    </row>
    <row r="92">
      <c r="A92" s="34"/>
      <c r="B92" s="34"/>
      <c r="C92" s="34"/>
    </row>
    <row r="93">
      <c r="A93" s="34"/>
      <c r="B93" s="34"/>
      <c r="C93" s="34"/>
    </row>
    <row r="94">
      <c r="A94" s="34"/>
      <c r="B94" s="34"/>
      <c r="C94" s="34"/>
    </row>
    <row r="95">
      <c r="A95" s="34"/>
      <c r="B95" s="34"/>
      <c r="C95" s="34"/>
    </row>
    <row r="96">
      <c r="A96" s="34"/>
      <c r="B96" s="34"/>
      <c r="C96" s="34"/>
    </row>
    <row r="97">
      <c r="A97" s="34"/>
      <c r="B97" s="34"/>
      <c r="C97" s="34"/>
    </row>
    <row r="98">
      <c r="A98" s="34"/>
      <c r="B98" s="34"/>
      <c r="C98" s="34"/>
    </row>
    <row r="99">
      <c r="A99" s="34"/>
      <c r="B99" s="34"/>
      <c r="C99" s="34"/>
    </row>
    <row r="100">
      <c r="A100" s="34"/>
      <c r="B100" s="34"/>
      <c r="C100" s="34"/>
    </row>
    <row r="101">
      <c r="A101" s="34"/>
      <c r="B101" s="34"/>
      <c r="C101" s="34"/>
    </row>
    <row r="102">
      <c r="A102" s="34"/>
      <c r="B102" s="34"/>
      <c r="C102" s="34"/>
    </row>
    <row r="103">
      <c r="A103" s="34"/>
      <c r="B103" s="34"/>
      <c r="C103" s="34"/>
    </row>
    <row r="104">
      <c r="A104" s="34"/>
      <c r="B104" s="34"/>
      <c r="C104" s="34"/>
    </row>
    <row r="105">
      <c r="A105" s="34"/>
      <c r="B105" s="34"/>
      <c r="C105" s="34"/>
    </row>
    <row r="106">
      <c r="A106" s="34"/>
      <c r="B106" s="34"/>
      <c r="C106" s="34"/>
    </row>
    <row r="107">
      <c r="A107" s="34"/>
      <c r="B107" s="34"/>
      <c r="C107" s="34"/>
    </row>
    <row r="108">
      <c r="A108" s="34"/>
      <c r="B108" s="34"/>
      <c r="C108" s="34"/>
    </row>
    <row r="109">
      <c r="A109" s="34"/>
      <c r="B109" s="34"/>
      <c r="C109" s="34"/>
    </row>
    <row r="110">
      <c r="A110" s="34"/>
      <c r="B110" s="34"/>
      <c r="C110" s="34"/>
    </row>
    <row r="111">
      <c r="A111" s="34"/>
      <c r="B111" s="34"/>
      <c r="C111" s="34"/>
    </row>
    <row r="112">
      <c r="A112" s="34"/>
      <c r="B112" s="34"/>
      <c r="C112" s="34"/>
    </row>
    <row r="113">
      <c r="A113" s="34"/>
      <c r="B113" s="34"/>
      <c r="C113" s="34"/>
    </row>
    <row r="114">
      <c r="A114" s="34"/>
      <c r="B114" s="34"/>
      <c r="C114" s="34"/>
    </row>
    <row r="115">
      <c r="A115" s="34"/>
      <c r="B115" s="34"/>
      <c r="C115" s="34"/>
    </row>
    <row r="116">
      <c r="A116" s="34"/>
      <c r="B116" s="34"/>
      <c r="C116" s="34"/>
    </row>
    <row r="117">
      <c r="A117" s="34"/>
      <c r="B117" s="34"/>
      <c r="C117" s="34"/>
    </row>
    <row r="118">
      <c r="A118" s="34"/>
      <c r="B118" s="34"/>
      <c r="C118" s="34"/>
    </row>
    <row r="119">
      <c r="A119" s="34"/>
      <c r="B119" s="34"/>
      <c r="C119" s="34"/>
    </row>
    <row r="120">
      <c r="A120" s="34"/>
      <c r="B120" s="34"/>
      <c r="C120" s="34"/>
    </row>
    <row r="121">
      <c r="A121" s="34"/>
      <c r="B121" s="34"/>
      <c r="C121" s="34"/>
    </row>
    <row r="122">
      <c r="A122" s="34"/>
      <c r="B122" s="34"/>
      <c r="C122" s="34"/>
    </row>
    <row r="123">
      <c r="A123" s="34"/>
      <c r="B123" s="34"/>
      <c r="C123" s="34"/>
    </row>
    <row r="124">
      <c r="A124" s="34"/>
      <c r="B124" s="34"/>
      <c r="C124" s="34"/>
    </row>
    <row r="125">
      <c r="A125" s="34"/>
      <c r="B125" s="34"/>
      <c r="C125" s="34"/>
    </row>
    <row r="126">
      <c r="A126" s="34"/>
      <c r="B126" s="34"/>
      <c r="C126" s="34"/>
    </row>
    <row r="127">
      <c r="A127" s="34"/>
      <c r="B127" s="34"/>
      <c r="C127" s="34"/>
    </row>
    <row r="128">
      <c r="A128" s="34"/>
      <c r="B128" s="34"/>
      <c r="C128" s="34"/>
    </row>
    <row r="129">
      <c r="A129" s="34"/>
      <c r="B129" s="34"/>
      <c r="C129" s="34"/>
    </row>
    <row r="130">
      <c r="A130" s="34"/>
      <c r="B130" s="34"/>
      <c r="C130" s="34"/>
    </row>
    <row r="131">
      <c r="A131" s="34"/>
      <c r="B131" s="34"/>
      <c r="C131" s="34"/>
    </row>
    <row r="132">
      <c r="A132" s="34"/>
      <c r="B132" s="34"/>
      <c r="C132" s="34"/>
    </row>
    <row r="133">
      <c r="A133" s="34"/>
      <c r="B133" s="34"/>
      <c r="C133" s="34"/>
    </row>
    <row r="134">
      <c r="A134" s="34"/>
      <c r="B134" s="34"/>
      <c r="C134" s="34"/>
    </row>
    <row r="135">
      <c r="A135" s="34"/>
      <c r="B135" s="34"/>
      <c r="C135" s="34"/>
    </row>
    <row r="136">
      <c r="A136" s="34"/>
      <c r="B136" s="34"/>
      <c r="C136" s="34"/>
    </row>
    <row r="137">
      <c r="A137" s="34"/>
      <c r="B137" s="34"/>
      <c r="C137" s="34"/>
    </row>
    <row r="138">
      <c r="A138" s="34"/>
      <c r="B138" s="34"/>
      <c r="C138" s="34"/>
    </row>
    <row r="139">
      <c r="A139" s="34"/>
      <c r="B139" s="34"/>
      <c r="C139" s="34"/>
    </row>
    <row r="140">
      <c r="A140" s="34"/>
      <c r="B140" s="34"/>
      <c r="C140" s="34"/>
    </row>
    <row r="141">
      <c r="A141" s="34"/>
      <c r="B141" s="34"/>
      <c r="C141" s="34"/>
    </row>
    <row r="142">
      <c r="A142" s="34"/>
      <c r="B142" s="34"/>
      <c r="C142" s="34"/>
    </row>
    <row r="143">
      <c r="A143" s="34"/>
      <c r="B143" s="34"/>
      <c r="C143" s="34"/>
    </row>
    <row r="144">
      <c r="A144" s="34"/>
      <c r="B144" s="34"/>
      <c r="C144" s="34"/>
    </row>
    <row r="145">
      <c r="A145" s="34"/>
      <c r="B145" s="34"/>
      <c r="C145" s="34"/>
    </row>
    <row r="146">
      <c r="A146" s="34"/>
      <c r="B146" s="34"/>
      <c r="C146" s="34"/>
    </row>
    <row r="147">
      <c r="A147" s="34"/>
      <c r="B147" s="34"/>
      <c r="C147" s="34"/>
    </row>
    <row r="148">
      <c r="A148" s="34"/>
      <c r="B148" s="34"/>
      <c r="C148" s="34"/>
    </row>
    <row r="149">
      <c r="A149" s="34"/>
      <c r="B149" s="34"/>
      <c r="C149" s="34"/>
    </row>
    <row r="150">
      <c r="A150" s="34"/>
      <c r="B150" s="34"/>
      <c r="C150" s="34"/>
    </row>
    <row r="151">
      <c r="A151" s="34"/>
      <c r="B151" s="34"/>
      <c r="C151" s="34"/>
    </row>
    <row r="152">
      <c r="A152" s="34"/>
      <c r="B152" s="34"/>
      <c r="C152" s="34"/>
    </row>
    <row r="153">
      <c r="A153" s="34"/>
      <c r="B153" s="34"/>
      <c r="C153" s="34"/>
    </row>
    <row r="154">
      <c r="A154" s="34"/>
      <c r="B154" s="34"/>
      <c r="C154" s="34"/>
    </row>
    <row r="155">
      <c r="A155" s="34"/>
      <c r="B155" s="34"/>
      <c r="C155" s="34"/>
    </row>
    <row r="156">
      <c r="A156" s="34"/>
      <c r="B156" s="34"/>
      <c r="C156" s="34"/>
    </row>
    <row r="157">
      <c r="A157" s="34"/>
      <c r="B157" s="34"/>
      <c r="C157" s="34"/>
    </row>
    <row r="158">
      <c r="A158" s="34"/>
      <c r="B158" s="34"/>
      <c r="C158" s="34"/>
    </row>
    <row r="159">
      <c r="A159" s="34"/>
      <c r="B159" s="34"/>
      <c r="C159" s="34"/>
    </row>
    <row r="160">
      <c r="A160" s="34"/>
      <c r="B160" s="34"/>
      <c r="C160" s="34"/>
    </row>
    <row r="161">
      <c r="A161" s="34"/>
      <c r="B161" s="34"/>
      <c r="C161" s="34"/>
    </row>
    <row r="162">
      <c r="A162" s="34"/>
      <c r="B162" s="34"/>
      <c r="C162" s="34"/>
    </row>
    <row r="163">
      <c r="A163" s="34"/>
      <c r="B163" s="34"/>
      <c r="C163" s="34"/>
    </row>
    <row r="164">
      <c r="A164" s="34"/>
      <c r="B164" s="34"/>
      <c r="C164" s="34"/>
    </row>
    <row r="165">
      <c r="A165" s="34"/>
      <c r="B165" s="34"/>
      <c r="C165" s="34"/>
    </row>
    <row r="166">
      <c r="A166" s="34"/>
      <c r="B166" s="34"/>
      <c r="C166" s="34"/>
    </row>
    <row r="167">
      <c r="A167" s="34"/>
      <c r="B167" s="34"/>
      <c r="C167" s="34"/>
    </row>
    <row r="168">
      <c r="A168" s="34"/>
      <c r="B168" s="34"/>
      <c r="C168" s="34"/>
    </row>
    <row r="169">
      <c r="A169" s="34"/>
      <c r="B169" s="34"/>
      <c r="C169" s="34"/>
    </row>
    <row r="170">
      <c r="A170" s="34"/>
      <c r="B170" s="34"/>
      <c r="C170" s="34"/>
    </row>
    <row r="171">
      <c r="A171" s="34"/>
      <c r="B171" s="34"/>
      <c r="C171" s="34"/>
    </row>
    <row r="172">
      <c r="A172" s="34"/>
      <c r="B172" s="34"/>
      <c r="C172" s="34"/>
    </row>
    <row r="173">
      <c r="A173" s="34"/>
      <c r="B173" s="34"/>
      <c r="C173" s="34"/>
    </row>
    <row r="174">
      <c r="A174" s="34"/>
      <c r="B174" s="34"/>
      <c r="C174" s="34"/>
    </row>
    <row r="175">
      <c r="A175" s="34"/>
      <c r="B175" s="34"/>
      <c r="C175" s="34"/>
    </row>
    <row r="176">
      <c r="A176" s="34"/>
      <c r="B176" s="34"/>
      <c r="C176" s="34"/>
    </row>
    <row r="177">
      <c r="A177" s="34"/>
      <c r="B177" s="34"/>
      <c r="C177" s="34"/>
    </row>
    <row r="178">
      <c r="A178" s="34"/>
      <c r="B178" s="34"/>
      <c r="C178" s="34"/>
    </row>
    <row r="179">
      <c r="A179" s="34"/>
      <c r="B179" s="34"/>
      <c r="C179" s="34"/>
    </row>
    <row r="180">
      <c r="A180" s="34"/>
      <c r="B180" s="34"/>
      <c r="C180" s="34"/>
    </row>
    <row r="181">
      <c r="A181" s="34"/>
      <c r="B181" s="34"/>
      <c r="C181" s="34"/>
    </row>
    <row r="182">
      <c r="A182" s="34"/>
      <c r="B182" s="34"/>
      <c r="C182" s="34"/>
    </row>
    <row r="183">
      <c r="A183" s="34"/>
      <c r="B183" s="34"/>
      <c r="C183" s="34"/>
    </row>
    <row r="184">
      <c r="A184" s="34"/>
      <c r="B184" s="34"/>
      <c r="C184" s="34"/>
    </row>
    <row r="185">
      <c r="A185" s="34"/>
      <c r="B185" s="34"/>
      <c r="C185" s="34"/>
    </row>
    <row r="186">
      <c r="A186" s="34"/>
      <c r="B186" s="34"/>
      <c r="C186" s="34"/>
    </row>
    <row r="187">
      <c r="A187" s="34"/>
      <c r="B187" s="34"/>
      <c r="C187" s="34"/>
    </row>
    <row r="188">
      <c r="A188" s="34"/>
      <c r="B188" s="34"/>
      <c r="C188" s="34"/>
    </row>
    <row r="189">
      <c r="A189" s="34"/>
      <c r="B189" s="34"/>
      <c r="C189" s="34"/>
    </row>
    <row r="190">
      <c r="A190" s="34"/>
      <c r="B190" s="34"/>
      <c r="C190" s="34"/>
    </row>
    <row r="191">
      <c r="A191" s="34"/>
      <c r="B191" s="34"/>
      <c r="C191" s="34"/>
    </row>
    <row r="192">
      <c r="A192" s="34"/>
      <c r="B192" s="34"/>
      <c r="C192" s="34"/>
    </row>
    <row r="193">
      <c r="A193" s="34"/>
      <c r="B193" s="34"/>
      <c r="C193" s="34"/>
    </row>
    <row r="194">
      <c r="A194" s="34"/>
      <c r="B194" s="34"/>
      <c r="C194" s="34"/>
    </row>
    <row r="195">
      <c r="A195" s="34"/>
      <c r="B195" s="34"/>
      <c r="C195" s="34"/>
    </row>
    <row r="196">
      <c r="A196" s="34"/>
      <c r="B196" s="34"/>
      <c r="C196" s="34"/>
    </row>
    <row r="197">
      <c r="A197" s="34"/>
      <c r="B197" s="34"/>
      <c r="C197" s="34"/>
    </row>
    <row r="198">
      <c r="A198" s="34"/>
      <c r="B198" s="34"/>
      <c r="C198" s="34"/>
    </row>
    <row r="199">
      <c r="A199" s="34"/>
      <c r="B199" s="34"/>
      <c r="C199" s="34"/>
    </row>
    <row r="200">
      <c r="A200" s="34"/>
      <c r="B200" s="34"/>
      <c r="C200" s="34"/>
    </row>
    <row r="201">
      <c r="A201" s="34"/>
      <c r="B201" s="34"/>
      <c r="C201" s="34"/>
    </row>
    <row r="202">
      <c r="A202" s="34"/>
      <c r="B202" s="34"/>
      <c r="C202" s="34"/>
    </row>
    <row r="203">
      <c r="A203" s="34"/>
      <c r="B203" s="34"/>
      <c r="C203" s="34"/>
    </row>
    <row r="204">
      <c r="A204" s="34"/>
      <c r="B204" s="34"/>
      <c r="C204" s="34"/>
    </row>
    <row r="205">
      <c r="A205" s="34"/>
      <c r="B205" s="34"/>
      <c r="C205" s="34"/>
    </row>
    <row r="206">
      <c r="A206" s="34"/>
      <c r="B206" s="34"/>
      <c r="C206" s="34"/>
    </row>
    <row r="207">
      <c r="A207" s="34"/>
      <c r="B207" s="34"/>
      <c r="C207" s="34"/>
    </row>
    <row r="208">
      <c r="A208" s="34"/>
      <c r="B208" s="34"/>
      <c r="C208" s="34"/>
    </row>
    <row r="209">
      <c r="A209" s="34"/>
      <c r="B209" s="34"/>
      <c r="C209" s="34"/>
    </row>
    <row r="210">
      <c r="A210" s="34"/>
      <c r="B210" s="34"/>
      <c r="C210" s="34"/>
    </row>
    <row r="211">
      <c r="A211" s="34"/>
      <c r="B211" s="34"/>
      <c r="C211" s="34"/>
    </row>
    <row r="212">
      <c r="A212" s="34"/>
      <c r="B212" s="34"/>
      <c r="C212" s="34"/>
    </row>
    <row r="213">
      <c r="A213" s="34"/>
      <c r="B213" s="34"/>
      <c r="C213" s="34"/>
    </row>
    <row r="214">
      <c r="A214" s="34"/>
      <c r="B214" s="34"/>
      <c r="C214" s="34"/>
    </row>
    <row r="215">
      <c r="A215" s="34"/>
      <c r="B215" s="34"/>
      <c r="C215" s="34"/>
    </row>
    <row r="216">
      <c r="A216" s="34"/>
      <c r="B216" s="34"/>
      <c r="C216" s="34"/>
    </row>
    <row r="217">
      <c r="A217" s="34"/>
      <c r="B217" s="34"/>
      <c r="C217" s="34"/>
    </row>
    <row r="218">
      <c r="A218" s="34"/>
      <c r="B218" s="34"/>
      <c r="C218" s="34"/>
    </row>
    <row r="219">
      <c r="A219" s="34"/>
      <c r="B219" s="34"/>
      <c r="C219" s="34"/>
    </row>
    <row r="220">
      <c r="A220" s="34"/>
      <c r="B220" s="34"/>
      <c r="C220" s="34"/>
    </row>
    <row r="221">
      <c r="A221" s="34"/>
      <c r="B221" s="34"/>
      <c r="C221" s="34"/>
    </row>
    <row r="222">
      <c r="A222" s="34"/>
      <c r="B222" s="34"/>
      <c r="C222" s="34"/>
    </row>
    <row r="223">
      <c r="A223" s="34"/>
      <c r="B223" s="34"/>
      <c r="C223" s="34"/>
    </row>
    <row r="224">
      <c r="A224" s="34"/>
      <c r="B224" s="34"/>
      <c r="C224" s="34"/>
    </row>
    <row r="225">
      <c r="A225" s="34"/>
      <c r="B225" s="34"/>
      <c r="C225" s="34"/>
    </row>
    <row r="226">
      <c r="A226" s="34"/>
      <c r="B226" s="34"/>
      <c r="C226" s="34"/>
    </row>
    <row r="227">
      <c r="A227" s="34"/>
      <c r="B227" s="34"/>
      <c r="C227" s="34"/>
    </row>
    <row r="228">
      <c r="A228" s="34"/>
      <c r="B228" s="34"/>
      <c r="C228" s="34"/>
    </row>
    <row r="229">
      <c r="A229" s="34"/>
      <c r="B229" s="34"/>
      <c r="C229" s="34"/>
    </row>
    <row r="230">
      <c r="A230" s="34"/>
      <c r="B230" s="34"/>
      <c r="C230" s="34"/>
    </row>
    <row r="231">
      <c r="A231" s="34"/>
      <c r="B231" s="34"/>
      <c r="C231" s="34"/>
    </row>
    <row r="232">
      <c r="A232" s="34"/>
      <c r="B232" s="34"/>
      <c r="C232" s="34"/>
    </row>
    <row r="233">
      <c r="A233" s="34"/>
      <c r="B233" s="34"/>
      <c r="C233" s="34"/>
    </row>
    <row r="234">
      <c r="A234" s="34"/>
      <c r="B234" s="34"/>
      <c r="C234" s="34"/>
    </row>
    <row r="235">
      <c r="A235" s="34"/>
      <c r="B235" s="34"/>
      <c r="C235" s="34"/>
    </row>
    <row r="236">
      <c r="A236" s="34"/>
      <c r="B236" s="34"/>
      <c r="C236" s="34"/>
    </row>
    <row r="237">
      <c r="A237" s="34"/>
      <c r="B237" s="34"/>
      <c r="C237" s="34"/>
    </row>
    <row r="238">
      <c r="A238" s="34"/>
      <c r="B238" s="34"/>
      <c r="C238" s="34"/>
    </row>
    <row r="239">
      <c r="A239" s="34"/>
      <c r="B239" s="34"/>
      <c r="C239" s="34"/>
    </row>
    <row r="240">
      <c r="A240" s="34"/>
      <c r="B240" s="34"/>
      <c r="C240" s="34"/>
    </row>
    <row r="241">
      <c r="A241" s="34"/>
      <c r="B241" s="34"/>
      <c r="C241" s="34"/>
    </row>
    <row r="242">
      <c r="A242" s="34"/>
      <c r="B242" s="34"/>
      <c r="C242" s="34"/>
    </row>
    <row r="243">
      <c r="A243" s="34"/>
      <c r="B243" s="34"/>
      <c r="C243" s="34"/>
    </row>
    <row r="244">
      <c r="A244" s="34"/>
      <c r="B244" s="34"/>
      <c r="C244" s="34"/>
    </row>
    <row r="245">
      <c r="A245" s="34"/>
      <c r="B245" s="34"/>
      <c r="C245" s="34"/>
    </row>
    <row r="246">
      <c r="A246" s="34"/>
      <c r="B246" s="34"/>
      <c r="C246" s="34"/>
    </row>
    <row r="247">
      <c r="A247" s="34"/>
      <c r="B247" s="34"/>
      <c r="C247" s="34"/>
    </row>
    <row r="248">
      <c r="A248" s="34"/>
      <c r="B248" s="34"/>
      <c r="C248" s="34"/>
    </row>
    <row r="249">
      <c r="A249" s="34"/>
      <c r="B249" s="34"/>
      <c r="C249" s="34"/>
    </row>
    <row r="250">
      <c r="A250" s="34"/>
      <c r="B250" s="34"/>
      <c r="C250" s="34"/>
    </row>
    <row r="251">
      <c r="A251" s="34"/>
      <c r="B251" s="34"/>
      <c r="C251" s="34"/>
    </row>
    <row r="252">
      <c r="A252" s="34"/>
      <c r="B252" s="34"/>
      <c r="C252" s="34"/>
    </row>
    <row r="253">
      <c r="A253" s="34"/>
      <c r="B253" s="34"/>
      <c r="C253" s="34"/>
    </row>
    <row r="254">
      <c r="A254" s="34"/>
      <c r="B254" s="34"/>
      <c r="C254" s="34"/>
    </row>
    <row r="255">
      <c r="A255" s="34"/>
      <c r="B255" s="34"/>
      <c r="C255" s="34"/>
    </row>
    <row r="256">
      <c r="A256" s="34"/>
      <c r="B256" s="34"/>
      <c r="C256" s="34"/>
    </row>
    <row r="257">
      <c r="A257" s="34"/>
      <c r="B257" s="34"/>
      <c r="C257" s="34"/>
    </row>
    <row r="258">
      <c r="A258" s="34"/>
      <c r="B258" s="34"/>
      <c r="C258" s="34"/>
    </row>
    <row r="259">
      <c r="A259" s="34"/>
      <c r="B259" s="34"/>
      <c r="C259" s="34"/>
    </row>
    <row r="260">
      <c r="A260" s="34"/>
      <c r="B260" s="34"/>
      <c r="C260" s="34"/>
    </row>
    <row r="261">
      <c r="A261" s="34"/>
      <c r="B261" s="34"/>
      <c r="C261" s="34"/>
    </row>
    <row r="262">
      <c r="A262" s="34"/>
      <c r="B262" s="34"/>
      <c r="C262" s="34"/>
    </row>
    <row r="263">
      <c r="A263" s="34"/>
      <c r="B263" s="34"/>
      <c r="C263" s="34"/>
    </row>
    <row r="264">
      <c r="A264" s="34"/>
      <c r="B264" s="34"/>
      <c r="C264" s="34"/>
    </row>
    <row r="265">
      <c r="A265" s="34"/>
      <c r="B265" s="34"/>
      <c r="C265" s="34"/>
    </row>
    <row r="266">
      <c r="A266" s="34"/>
      <c r="B266" s="34"/>
      <c r="C266" s="34"/>
    </row>
    <row r="267">
      <c r="A267" s="34"/>
      <c r="B267" s="34"/>
      <c r="C267" s="34"/>
    </row>
    <row r="268">
      <c r="A268" s="34"/>
      <c r="B268" s="34"/>
      <c r="C268" s="34"/>
    </row>
    <row r="269">
      <c r="A269" s="34"/>
      <c r="B269" s="34"/>
      <c r="C269" s="34"/>
    </row>
    <row r="270">
      <c r="A270" s="34"/>
      <c r="B270" s="34"/>
      <c r="C270" s="34"/>
    </row>
    <row r="271">
      <c r="A271" s="34"/>
      <c r="B271" s="34"/>
      <c r="C271" s="34"/>
    </row>
    <row r="272">
      <c r="A272" s="34"/>
      <c r="B272" s="34"/>
      <c r="C272" s="34"/>
    </row>
    <row r="273">
      <c r="A273" s="34"/>
      <c r="B273" s="34"/>
      <c r="C273" s="34"/>
    </row>
    <row r="274">
      <c r="A274" s="34"/>
      <c r="B274" s="34"/>
      <c r="C274" s="34"/>
    </row>
    <row r="275">
      <c r="A275" s="34"/>
      <c r="B275" s="34"/>
      <c r="C275" s="34"/>
    </row>
    <row r="276">
      <c r="A276" s="34"/>
      <c r="B276" s="34"/>
      <c r="C276" s="34"/>
    </row>
    <row r="277">
      <c r="A277" s="34"/>
      <c r="B277" s="34"/>
      <c r="C277" s="34"/>
    </row>
    <row r="278">
      <c r="A278" s="34"/>
      <c r="B278" s="34"/>
      <c r="C278" s="34"/>
    </row>
    <row r="279">
      <c r="A279" s="34"/>
      <c r="B279" s="34"/>
      <c r="C279" s="34"/>
    </row>
    <row r="280">
      <c r="A280" s="34"/>
      <c r="B280" s="34"/>
      <c r="C280" s="34"/>
    </row>
    <row r="281">
      <c r="A281" s="34"/>
      <c r="B281" s="34"/>
      <c r="C281" s="34"/>
    </row>
    <row r="282">
      <c r="A282" s="34"/>
      <c r="B282" s="34"/>
      <c r="C282" s="34"/>
    </row>
    <row r="283">
      <c r="A283" s="34"/>
      <c r="B283" s="34"/>
      <c r="C283" s="34"/>
    </row>
    <row r="284">
      <c r="A284" s="34"/>
      <c r="B284" s="34"/>
      <c r="C284" s="34"/>
    </row>
    <row r="285">
      <c r="A285" s="34"/>
      <c r="B285" s="34"/>
      <c r="C285" s="34"/>
    </row>
    <row r="286">
      <c r="A286" s="34"/>
      <c r="B286" s="34"/>
      <c r="C286" s="34"/>
    </row>
    <row r="287">
      <c r="A287" s="34"/>
      <c r="B287" s="34"/>
      <c r="C287" s="34"/>
    </row>
    <row r="288">
      <c r="A288" s="34"/>
      <c r="B288" s="34"/>
      <c r="C288" s="34"/>
    </row>
    <row r="289">
      <c r="A289" s="34"/>
      <c r="B289" s="34"/>
      <c r="C289" s="34"/>
    </row>
    <row r="290">
      <c r="A290" s="34"/>
      <c r="B290" s="34"/>
      <c r="C290" s="34"/>
    </row>
    <row r="291">
      <c r="A291" s="34"/>
      <c r="B291" s="34"/>
      <c r="C291" s="34"/>
    </row>
    <row r="292">
      <c r="A292" s="34"/>
      <c r="B292" s="34"/>
      <c r="C292" s="34"/>
    </row>
    <row r="293">
      <c r="A293" s="34"/>
      <c r="B293" s="34"/>
      <c r="C293" s="34"/>
    </row>
    <row r="294">
      <c r="A294" s="34"/>
      <c r="B294" s="34"/>
      <c r="C294" s="34"/>
    </row>
    <row r="295">
      <c r="A295" s="34"/>
      <c r="B295" s="34"/>
      <c r="C295" s="34"/>
    </row>
    <row r="296">
      <c r="A296" s="34"/>
      <c r="B296" s="34"/>
      <c r="C296" s="34"/>
    </row>
    <row r="297">
      <c r="A297" s="34"/>
      <c r="B297" s="34"/>
      <c r="C297" s="34"/>
    </row>
    <row r="298">
      <c r="A298" s="34"/>
      <c r="B298" s="34"/>
      <c r="C298" s="34"/>
    </row>
    <row r="299">
      <c r="A299" s="34"/>
      <c r="B299" s="34"/>
      <c r="C299" s="34"/>
    </row>
    <row r="300">
      <c r="A300" s="34"/>
      <c r="B300" s="34"/>
      <c r="C300" s="34"/>
    </row>
    <row r="301">
      <c r="A301" s="34"/>
      <c r="B301" s="34"/>
      <c r="C301" s="34"/>
    </row>
    <row r="302">
      <c r="A302" s="34"/>
      <c r="B302" s="34"/>
      <c r="C302" s="34"/>
    </row>
    <row r="303">
      <c r="A303" s="34"/>
      <c r="B303" s="34"/>
      <c r="C303" s="34"/>
    </row>
    <row r="304">
      <c r="A304" s="34"/>
      <c r="B304" s="34"/>
      <c r="C304" s="34"/>
    </row>
    <row r="305">
      <c r="A305" s="34"/>
      <c r="B305" s="34"/>
      <c r="C305" s="34"/>
    </row>
    <row r="306">
      <c r="A306" s="34"/>
      <c r="B306" s="34"/>
      <c r="C306" s="34"/>
    </row>
    <row r="307">
      <c r="A307" s="34"/>
      <c r="B307" s="34"/>
      <c r="C307" s="34"/>
    </row>
    <row r="308">
      <c r="A308" s="34"/>
      <c r="B308" s="34"/>
      <c r="C308" s="34"/>
    </row>
    <row r="309">
      <c r="A309" s="34"/>
      <c r="B309" s="34"/>
      <c r="C309" s="34"/>
    </row>
    <row r="310">
      <c r="A310" s="34"/>
      <c r="B310" s="34"/>
      <c r="C310" s="34"/>
    </row>
    <row r="311">
      <c r="A311" s="34"/>
      <c r="B311" s="34"/>
      <c r="C311" s="34"/>
    </row>
    <row r="312">
      <c r="A312" s="34"/>
      <c r="B312" s="34"/>
      <c r="C312" s="34"/>
    </row>
    <row r="313">
      <c r="A313" s="34"/>
      <c r="B313" s="34"/>
      <c r="C313" s="34"/>
    </row>
    <row r="314">
      <c r="A314" s="34"/>
      <c r="B314" s="34"/>
      <c r="C314" s="34"/>
    </row>
    <row r="315">
      <c r="A315" s="34"/>
      <c r="B315" s="34"/>
      <c r="C315" s="34"/>
    </row>
    <row r="316">
      <c r="A316" s="34"/>
      <c r="B316" s="34"/>
      <c r="C316" s="34"/>
    </row>
    <row r="317">
      <c r="A317" s="34"/>
      <c r="B317" s="34"/>
      <c r="C317" s="34"/>
    </row>
    <row r="318">
      <c r="A318" s="34"/>
      <c r="B318" s="34"/>
      <c r="C318" s="34"/>
    </row>
    <row r="319">
      <c r="A319" s="34"/>
      <c r="B319" s="34"/>
      <c r="C319" s="34"/>
    </row>
    <row r="320">
      <c r="A320" s="34"/>
      <c r="B320" s="34"/>
      <c r="C320" s="34"/>
    </row>
    <row r="321">
      <c r="A321" s="34"/>
      <c r="B321" s="34"/>
      <c r="C321" s="34"/>
    </row>
    <row r="322">
      <c r="A322" s="34"/>
      <c r="B322" s="34"/>
      <c r="C322" s="34"/>
    </row>
    <row r="323">
      <c r="A323" s="34"/>
      <c r="B323" s="34"/>
      <c r="C323" s="34"/>
    </row>
    <row r="324">
      <c r="A324" s="34"/>
      <c r="B324" s="34"/>
      <c r="C324" s="34"/>
    </row>
    <row r="325">
      <c r="A325" s="34"/>
      <c r="B325" s="34"/>
      <c r="C325" s="34"/>
    </row>
    <row r="326">
      <c r="A326" s="34"/>
      <c r="B326" s="34"/>
      <c r="C326" s="34"/>
    </row>
    <row r="327">
      <c r="A327" s="34"/>
      <c r="B327" s="34"/>
      <c r="C327" s="34"/>
    </row>
    <row r="328">
      <c r="A328" s="34"/>
      <c r="B328" s="34"/>
      <c r="C328" s="34"/>
    </row>
    <row r="329">
      <c r="A329" s="34"/>
      <c r="B329" s="34"/>
      <c r="C329" s="34"/>
    </row>
    <row r="330">
      <c r="A330" s="34"/>
      <c r="B330" s="34"/>
      <c r="C330" s="34"/>
    </row>
    <row r="331">
      <c r="A331" s="34"/>
      <c r="B331" s="34"/>
      <c r="C331" s="34"/>
    </row>
    <row r="332">
      <c r="A332" s="34"/>
      <c r="B332" s="34"/>
      <c r="C332" s="34"/>
    </row>
    <row r="333">
      <c r="A333" s="34"/>
      <c r="B333" s="34"/>
      <c r="C333" s="34"/>
    </row>
    <row r="334">
      <c r="A334" s="34"/>
      <c r="B334" s="34"/>
      <c r="C334" s="34"/>
    </row>
    <row r="335">
      <c r="A335" s="34"/>
      <c r="B335" s="34"/>
      <c r="C335" s="34"/>
    </row>
    <row r="336">
      <c r="A336" s="34"/>
      <c r="B336" s="34"/>
      <c r="C336" s="34"/>
    </row>
    <row r="337">
      <c r="A337" s="34"/>
      <c r="B337" s="34"/>
      <c r="C337" s="34"/>
    </row>
    <row r="338">
      <c r="A338" s="34"/>
      <c r="B338" s="34"/>
      <c r="C338" s="34"/>
    </row>
    <row r="339">
      <c r="A339" s="34"/>
      <c r="B339" s="34"/>
      <c r="C339" s="34"/>
    </row>
    <row r="340">
      <c r="A340" s="34"/>
      <c r="B340" s="34"/>
      <c r="C340" s="34"/>
    </row>
    <row r="341">
      <c r="A341" s="34"/>
      <c r="B341" s="34"/>
      <c r="C341" s="34"/>
    </row>
    <row r="342">
      <c r="A342" s="34"/>
      <c r="B342" s="34"/>
      <c r="C342" s="34"/>
    </row>
    <row r="343">
      <c r="A343" s="34"/>
      <c r="B343" s="34"/>
      <c r="C343" s="34"/>
    </row>
    <row r="344">
      <c r="A344" s="34"/>
      <c r="B344" s="34"/>
      <c r="C344" s="34"/>
    </row>
    <row r="345">
      <c r="A345" s="34"/>
      <c r="B345" s="34"/>
      <c r="C345" s="34"/>
    </row>
    <row r="346">
      <c r="A346" s="34"/>
      <c r="B346" s="34"/>
      <c r="C346" s="34"/>
    </row>
    <row r="347">
      <c r="A347" s="34"/>
      <c r="B347" s="34"/>
      <c r="C347" s="34"/>
    </row>
    <row r="348">
      <c r="A348" s="34"/>
      <c r="B348" s="34"/>
      <c r="C348" s="34"/>
    </row>
    <row r="349">
      <c r="A349" s="34"/>
      <c r="B349" s="34"/>
      <c r="C349" s="34"/>
    </row>
    <row r="350">
      <c r="A350" s="34"/>
      <c r="B350" s="34"/>
      <c r="C350" s="34"/>
    </row>
    <row r="351">
      <c r="A351" s="34"/>
      <c r="B351" s="34"/>
      <c r="C351" s="34"/>
    </row>
    <row r="352">
      <c r="A352" s="34"/>
      <c r="B352" s="34"/>
      <c r="C352" s="34"/>
    </row>
    <row r="353">
      <c r="A353" s="34"/>
      <c r="B353" s="34"/>
      <c r="C353" s="34"/>
    </row>
    <row r="354">
      <c r="A354" s="34"/>
      <c r="B354" s="34"/>
      <c r="C354" s="34"/>
    </row>
    <row r="355">
      <c r="A355" s="34"/>
      <c r="B355" s="34"/>
      <c r="C355" s="34"/>
    </row>
    <row r="356">
      <c r="A356" s="34"/>
      <c r="B356" s="34"/>
      <c r="C356" s="34"/>
    </row>
    <row r="357">
      <c r="A357" s="34"/>
      <c r="B357" s="34"/>
      <c r="C357" s="34"/>
    </row>
    <row r="358">
      <c r="A358" s="34"/>
      <c r="B358" s="34"/>
      <c r="C358" s="34"/>
    </row>
    <row r="359">
      <c r="A359" s="34"/>
      <c r="B359" s="34"/>
      <c r="C359" s="34"/>
    </row>
    <row r="360">
      <c r="A360" s="34"/>
      <c r="B360" s="34"/>
      <c r="C360" s="34"/>
    </row>
    <row r="361">
      <c r="A361" s="34"/>
      <c r="B361" s="34"/>
      <c r="C361" s="34"/>
    </row>
    <row r="362">
      <c r="A362" s="34"/>
      <c r="B362" s="34"/>
      <c r="C362" s="34"/>
    </row>
    <row r="363">
      <c r="A363" s="34"/>
      <c r="B363" s="34"/>
      <c r="C363" s="34"/>
    </row>
    <row r="364">
      <c r="A364" s="34"/>
      <c r="B364" s="34"/>
      <c r="C364" s="34"/>
    </row>
    <row r="365">
      <c r="A365" s="34"/>
      <c r="B365" s="34"/>
      <c r="C365" s="34"/>
    </row>
    <row r="366">
      <c r="A366" s="34"/>
      <c r="B366" s="34"/>
      <c r="C366" s="34"/>
    </row>
    <row r="367">
      <c r="A367" s="34"/>
      <c r="B367" s="34"/>
      <c r="C367" s="34"/>
    </row>
    <row r="368">
      <c r="A368" s="34"/>
      <c r="B368" s="34"/>
      <c r="C368" s="34"/>
    </row>
    <row r="369">
      <c r="A369" s="34"/>
      <c r="B369" s="34"/>
      <c r="C369" s="34"/>
    </row>
    <row r="370">
      <c r="A370" s="34"/>
      <c r="B370" s="34"/>
      <c r="C370" s="34"/>
    </row>
    <row r="371">
      <c r="A371" s="34"/>
      <c r="B371" s="34"/>
      <c r="C371" s="34"/>
    </row>
    <row r="372">
      <c r="A372" s="34"/>
      <c r="B372" s="34"/>
      <c r="C372" s="34"/>
    </row>
    <row r="373">
      <c r="A373" s="34"/>
      <c r="B373" s="34"/>
      <c r="C373" s="34"/>
    </row>
    <row r="374">
      <c r="A374" s="34"/>
      <c r="B374" s="34"/>
      <c r="C374" s="34"/>
    </row>
    <row r="375">
      <c r="A375" s="34"/>
      <c r="B375" s="34"/>
      <c r="C375" s="34"/>
    </row>
    <row r="376">
      <c r="A376" s="34"/>
      <c r="B376" s="34"/>
      <c r="C376" s="34"/>
    </row>
    <row r="377">
      <c r="A377" s="34"/>
      <c r="B377" s="34"/>
      <c r="C377" s="34"/>
    </row>
    <row r="378">
      <c r="A378" s="34"/>
      <c r="B378" s="34"/>
      <c r="C378" s="34"/>
    </row>
    <row r="379">
      <c r="A379" s="34"/>
      <c r="B379" s="34"/>
      <c r="C379" s="34"/>
    </row>
    <row r="380">
      <c r="A380" s="34"/>
      <c r="B380" s="34"/>
      <c r="C380" s="34"/>
    </row>
    <row r="381">
      <c r="A381" s="34"/>
      <c r="B381" s="34"/>
      <c r="C381" s="34"/>
    </row>
    <row r="382">
      <c r="A382" s="34"/>
      <c r="B382" s="34"/>
      <c r="C382" s="34"/>
    </row>
    <row r="383">
      <c r="A383" s="34"/>
      <c r="B383" s="34"/>
      <c r="C383" s="34"/>
    </row>
    <row r="384">
      <c r="A384" s="34"/>
      <c r="B384" s="34"/>
      <c r="C384" s="34"/>
    </row>
    <row r="385">
      <c r="A385" s="34"/>
      <c r="B385" s="34"/>
      <c r="C385" s="34"/>
    </row>
    <row r="386">
      <c r="A386" s="34"/>
      <c r="B386" s="34"/>
      <c r="C386" s="34"/>
    </row>
    <row r="387">
      <c r="A387" s="34"/>
      <c r="B387" s="34"/>
      <c r="C387" s="34"/>
    </row>
    <row r="388">
      <c r="A388" s="34"/>
      <c r="B388" s="34"/>
      <c r="C388" s="34"/>
    </row>
    <row r="389">
      <c r="A389" s="34"/>
      <c r="B389" s="34"/>
      <c r="C389" s="34"/>
    </row>
    <row r="390">
      <c r="A390" s="34"/>
      <c r="B390" s="34"/>
      <c r="C390" s="34"/>
    </row>
    <row r="391">
      <c r="A391" s="34"/>
      <c r="B391" s="34"/>
      <c r="C391" s="34"/>
    </row>
    <row r="392">
      <c r="A392" s="34"/>
      <c r="B392" s="34"/>
      <c r="C392" s="34"/>
    </row>
    <row r="393">
      <c r="A393" s="34"/>
      <c r="B393" s="34"/>
      <c r="C393" s="34"/>
    </row>
    <row r="394">
      <c r="A394" s="34"/>
      <c r="B394" s="34"/>
      <c r="C394" s="34"/>
    </row>
    <row r="395">
      <c r="A395" s="34"/>
      <c r="B395" s="34"/>
      <c r="C395" s="34"/>
    </row>
    <row r="396">
      <c r="A396" s="34"/>
      <c r="B396" s="34"/>
      <c r="C396" s="34"/>
    </row>
    <row r="397">
      <c r="A397" s="34"/>
      <c r="B397" s="34"/>
      <c r="C397" s="34"/>
    </row>
    <row r="398">
      <c r="A398" s="34"/>
      <c r="B398" s="34"/>
      <c r="C398" s="34"/>
    </row>
    <row r="399">
      <c r="A399" s="34"/>
      <c r="B399" s="34"/>
      <c r="C399" s="34"/>
    </row>
    <row r="400">
      <c r="A400" s="34"/>
      <c r="B400" s="34"/>
      <c r="C400" s="34"/>
    </row>
    <row r="401">
      <c r="A401" s="34"/>
      <c r="B401" s="34"/>
      <c r="C401" s="34"/>
    </row>
    <row r="402">
      <c r="A402" s="34"/>
      <c r="B402" s="34"/>
      <c r="C402" s="34"/>
    </row>
    <row r="403">
      <c r="A403" s="34"/>
      <c r="B403" s="34"/>
      <c r="C403" s="34"/>
    </row>
    <row r="404">
      <c r="A404" s="34"/>
      <c r="B404" s="34"/>
      <c r="C404" s="34"/>
    </row>
    <row r="405">
      <c r="A405" s="34"/>
      <c r="B405" s="34"/>
      <c r="C405" s="34"/>
    </row>
    <row r="406">
      <c r="A406" s="34"/>
      <c r="B406" s="34"/>
      <c r="C406" s="34"/>
    </row>
    <row r="407">
      <c r="A407" s="34"/>
      <c r="B407" s="34"/>
      <c r="C407" s="34"/>
    </row>
    <row r="408">
      <c r="A408" s="34"/>
      <c r="B408" s="34"/>
      <c r="C408" s="34"/>
    </row>
    <row r="409">
      <c r="A409" s="34"/>
      <c r="B409" s="34"/>
      <c r="C409" s="34"/>
    </row>
    <row r="410">
      <c r="A410" s="34"/>
      <c r="B410" s="34"/>
      <c r="C410" s="34"/>
    </row>
    <row r="411">
      <c r="A411" s="34"/>
      <c r="B411" s="34"/>
      <c r="C411" s="34"/>
    </row>
    <row r="412">
      <c r="A412" s="34"/>
      <c r="B412" s="34"/>
      <c r="C412" s="34"/>
    </row>
    <row r="413">
      <c r="A413" s="34"/>
      <c r="B413" s="34"/>
      <c r="C413" s="34"/>
    </row>
    <row r="414">
      <c r="A414" s="34"/>
      <c r="B414" s="34"/>
      <c r="C414" s="34"/>
    </row>
    <row r="415">
      <c r="A415" s="34"/>
      <c r="B415" s="34"/>
      <c r="C415" s="34"/>
    </row>
    <row r="416">
      <c r="A416" s="34"/>
      <c r="B416" s="34"/>
      <c r="C416" s="34"/>
    </row>
    <row r="417">
      <c r="A417" s="34"/>
      <c r="B417" s="34"/>
      <c r="C417" s="34"/>
    </row>
    <row r="418">
      <c r="A418" s="34"/>
      <c r="B418" s="34"/>
      <c r="C418" s="34"/>
    </row>
    <row r="419">
      <c r="A419" s="34"/>
      <c r="B419" s="34"/>
      <c r="C419" s="34"/>
    </row>
    <row r="420">
      <c r="A420" s="34"/>
      <c r="B420" s="34"/>
      <c r="C420" s="34"/>
    </row>
    <row r="421">
      <c r="A421" s="34"/>
      <c r="B421" s="34"/>
      <c r="C421" s="34"/>
    </row>
    <row r="422">
      <c r="A422" s="34"/>
      <c r="B422" s="34"/>
      <c r="C422" s="34"/>
    </row>
    <row r="423">
      <c r="A423" s="34"/>
      <c r="B423" s="34"/>
      <c r="C423" s="34"/>
    </row>
    <row r="424">
      <c r="A424" s="34"/>
      <c r="B424" s="34"/>
      <c r="C424" s="34"/>
    </row>
    <row r="425">
      <c r="A425" s="34"/>
      <c r="B425" s="34"/>
      <c r="C425" s="34"/>
    </row>
    <row r="426">
      <c r="A426" s="34"/>
      <c r="B426" s="34"/>
      <c r="C426" s="34"/>
    </row>
    <row r="427">
      <c r="A427" s="34"/>
      <c r="B427" s="34"/>
      <c r="C427" s="34"/>
    </row>
    <row r="428">
      <c r="A428" s="34"/>
      <c r="B428" s="34"/>
      <c r="C428" s="34"/>
    </row>
    <row r="429">
      <c r="A429" s="34"/>
      <c r="B429" s="34"/>
      <c r="C429" s="34"/>
    </row>
    <row r="430">
      <c r="A430" s="34"/>
      <c r="B430" s="34"/>
      <c r="C430" s="34"/>
    </row>
    <row r="431">
      <c r="A431" s="34"/>
      <c r="B431" s="34"/>
      <c r="C431" s="34"/>
    </row>
    <row r="432">
      <c r="A432" s="34"/>
      <c r="B432" s="34"/>
      <c r="C432" s="34"/>
    </row>
    <row r="433">
      <c r="A433" s="34"/>
      <c r="B433" s="34"/>
      <c r="C433" s="34"/>
    </row>
    <row r="434">
      <c r="A434" s="34"/>
      <c r="B434" s="34"/>
      <c r="C434" s="34"/>
    </row>
    <row r="435">
      <c r="A435" s="34"/>
      <c r="B435" s="34"/>
      <c r="C435" s="34"/>
    </row>
    <row r="436">
      <c r="A436" s="34"/>
      <c r="B436" s="34"/>
      <c r="C436" s="34"/>
    </row>
    <row r="437">
      <c r="A437" s="34"/>
      <c r="B437" s="34"/>
      <c r="C437" s="34"/>
    </row>
    <row r="438">
      <c r="A438" s="34"/>
      <c r="B438" s="34"/>
      <c r="C438" s="34"/>
    </row>
    <row r="439">
      <c r="A439" s="34"/>
      <c r="B439" s="34"/>
      <c r="C439" s="34"/>
    </row>
    <row r="440">
      <c r="A440" s="34"/>
      <c r="B440" s="34"/>
      <c r="C440" s="34"/>
    </row>
    <row r="441">
      <c r="A441" s="34"/>
      <c r="B441" s="34"/>
      <c r="C441" s="34"/>
    </row>
    <row r="442">
      <c r="A442" s="34"/>
      <c r="B442" s="34"/>
      <c r="C442" s="34"/>
    </row>
    <row r="443">
      <c r="A443" s="34"/>
      <c r="B443" s="34"/>
      <c r="C443" s="34"/>
    </row>
    <row r="444">
      <c r="A444" s="34"/>
      <c r="B444" s="34"/>
      <c r="C444" s="34"/>
    </row>
    <row r="445">
      <c r="A445" s="34"/>
      <c r="B445" s="34"/>
      <c r="C445" s="34"/>
    </row>
    <row r="446">
      <c r="A446" s="34"/>
      <c r="B446" s="34"/>
      <c r="C446" s="34"/>
    </row>
    <row r="447">
      <c r="A447" s="34"/>
      <c r="B447" s="34"/>
      <c r="C447" s="34"/>
    </row>
    <row r="448">
      <c r="A448" s="34"/>
      <c r="B448" s="34"/>
      <c r="C448" s="34"/>
    </row>
    <row r="449">
      <c r="A449" s="34"/>
      <c r="B449" s="34"/>
      <c r="C449" s="34"/>
    </row>
    <row r="450">
      <c r="A450" s="34"/>
      <c r="B450" s="34"/>
      <c r="C450" s="34"/>
    </row>
    <row r="451">
      <c r="A451" s="34"/>
      <c r="B451" s="34"/>
      <c r="C451" s="34"/>
    </row>
    <row r="452">
      <c r="A452" s="34"/>
      <c r="B452" s="34"/>
      <c r="C452" s="34"/>
    </row>
    <row r="453">
      <c r="A453" s="34"/>
      <c r="B453" s="34"/>
      <c r="C453" s="34"/>
    </row>
    <row r="454">
      <c r="A454" s="34"/>
      <c r="B454" s="34"/>
      <c r="C454" s="34"/>
    </row>
    <row r="455">
      <c r="A455" s="34"/>
      <c r="B455" s="34"/>
      <c r="C455" s="34"/>
    </row>
    <row r="456">
      <c r="A456" s="34"/>
      <c r="B456" s="34"/>
      <c r="C456" s="34"/>
    </row>
    <row r="457">
      <c r="A457" s="34"/>
      <c r="B457" s="34"/>
      <c r="C457" s="34"/>
    </row>
    <row r="458">
      <c r="A458" s="34"/>
      <c r="B458" s="34"/>
      <c r="C458" s="34"/>
    </row>
    <row r="459">
      <c r="A459" s="34"/>
      <c r="B459" s="34"/>
      <c r="C459" s="34"/>
    </row>
    <row r="460">
      <c r="A460" s="34"/>
      <c r="B460" s="34"/>
      <c r="C460" s="34"/>
    </row>
    <row r="461">
      <c r="A461" s="34"/>
      <c r="B461" s="34"/>
      <c r="C461" s="34"/>
    </row>
    <row r="462">
      <c r="A462" s="34"/>
      <c r="B462" s="34"/>
      <c r="C462" s="34"/>
    </row>
    <row r="463">
      <c r="A463" s="34"/>
      <c r="B463" s="34"/>
      <c r="C463" s="34"/>
    </row>
    <row r="464">
      <c r="A464" s="34"/>
      <c r="B464" s="34"/>
      <c r="C464" s="34"/>
    </row>
    <row r="465">
      <c r="A465" s="34"/>
      <c r="B465" s="34"/>
      <c r="C465" s="34"/>
    </row>
    <row r="466">
      <c r="A466" s="34"/>
      <c r="B466" s="34"/>
      <c r="C466" s="34"/>
    </row>
    <row r="467">
      <c r="A467" s="34"/>
      <c r="B467" s="34"/>
      <c r="C467" s="34"/>
    </row>
    <row r="468">
      <c r="A468" s="34"/>
      <c r="B468" s="34"/>
      <c r="C468" s="34"/>
    </row>
    <row r="469">
      <c r="A469" s="34"/>
      <c r="B469" s="34"/>
      <c r="C469" s="34"/>
    </row>
    <row r="470">
      <c r="A470" s="34"/>
      <c r="B470" s="34"/>
      <c r="C470" s="34"/>
    </row>
    <row r="471">
      <c r="A471" s="34"/>
      <c r="B471" s="34"/>
      <c r="C471" s="34"/>
    </row>
    <row r="472">
      <c r="A472" s="34"/>
      <c r="B472" s="34"/>
      <c r="C472" s="34"/>
    </row>
    <row r="473">
      <c r="A473" s="34"/>
      <c r="B473" s="34"/>
      <c r="C473" s="34"/>
    </row>
    <row r="474">
      <c r="A474" s="34"/>
      <c r="B474" s="34"/>
      <c r="C474" s="34"/>
    </row>
    <row r="475">
      <c r="A475" s="34"/>
      <c r="B475" s="34"/>
      <c r="C475" s="34"/>
    </row>
    <row r="476">
      <c r="A476" s="34"/>
      <c r="B476" s="34"/>
      <c r="C476" s="34"/>
    </row>
    <row r="477">
      <c r="A477" s="34"/>
      <c r="B477" s="34"/>
      <c r="C477" s="34"/>
    </row>
    <row r="478">
      <c r="A478" s="34"/>
      <c r="B478" s="34"/>
      <c r="C478" s="34"/>
    </row>
    <row r="479">
      <c r="A479" s="34"/>
      <c r="B479" s="34"/>
      <c r="C479" s="34"/>
    </row>
    <row r="480">
      <c r="A480" s="34"/>
      <c r="B480" s="34"/>
      <c r="C480" s="34"/>
    </row>
    <row r="481">
      <c r="A481" s="34"/>
      <c r="B481" s="34"/>
      <c r="C481" s="34"/>
    </row>
    <row r="482">
      <c r="A482" s="34"/>
      <c r="B482" s="34"/>
      <c r="C482" s="34"/>
    </row>
    <row r="483">
      <c r="A483" s="34"/>
      <c r="B483" s="34"/>
      <c r="C483" s="34"/>
    </row>
    <row r="484">
      <c r="A484" s="34"/>
      <c r="B484" s="34"/>
      <c r="C484" s="34"/>
    </row>
    <row r="485">
      <c r="A485" s="34"/>
      <c r="B485" s="34"/>
      <c r="C485" s="34"/>
    </row>
    <row r="486">
      <c r="A486" s="34"/>
      <c r="B486" s="34"/>
      <c r="C486" s="34"/>
    </row>
    <row r="487">
      <c r="A487" s="34"/>
      <c r="B487" s="34"/>
      <c r="C487" s="34"/>
    </row>
    <row r="488">
      <c r="A488" s="34"/>
      <c r="B488" s="34"/>
      <c r="C488" s="34"/>
    </row>
    <row r="489">
      <c r="A489" s="34"/>
      <c r="B489" s="34"/>
      <c r="C489" s="34"/>
    </row>
    <row r="490">
      <c r="A490" s="34"/>
      <c r="B490" s="34"/>
      <c r="C490" s="34"/>
    </row>
    <row r="491">
      <c r="A491" s="34"/>
      <c r="B491" s="34"/>
      <c r="C491" s="34"/>
    </row>
    <row r="492">
      <c r="A492" s="34"/>
      <c r="B492" s="34"/>
      <c r="C492" s="34"/>
    </row>
    <row r="493">
      <c r="A493" s="34"/>
      <c r="B493" s="34"/>
      <c r="C493" s="34"/>
    </row>
    <row r="494">
      <c r="A494" s="34"/>
      <c r="B494" s="34"/>
      <c r="C494" s="34"/>
    </row>
    <row r="495">
      <c r="A495" s="34"/>
      <c r="B495" s="34"/>
      <c r="C495" s="34"/>
    </row>
    <row r="496">
      <c r="A496" s="34"/>
      <c r="B496" s="34"/>
      <c r="C496" s="34"/>
    </row>
    <row r="497">
      <c r="A497" s="34"/>
      <c r="B497" s="34"/>
      <c r="C497" s="34"/>
    </row>
    <row r="498">
      <c r="A498" s="34"/>
      <c r="B498" s="34"/>
      <c r="C498" s="34"/>
    </row>
    <row r="499">
      <c r="A499" s="34"/>
      <c r="B499" s="34"/>
      <c r="C499" s="34"/>
    </row>
    <row r="500">
      <c r="A500" s="34"/>
      <c r="B500" s="34"/>
      <c r="C500" s="34"/>
    </row>
    <row r="501">
      <c r="A501" s="34"/>
      <c r="B501" s="34"/>
      <c r="C501" s="34"/>
    </row>
    <row r="502">
      <c r="A502" s="34"/>
      <c r="B502" s="34"/>
      <c r="C502" s="34"/>
    </row>
    <row r="503">
      <c r="A503" s="34"/>
      <c r="B503" s="34"/>
      <c r="C503" s="34"/>
    </row>
    <row r="504">
      <c r="A504" s="34"/>
      <c r="B504" s="34"/>
      <c r="C504" s="34"/>
    </row>
    <row r="505">
      <c r="A505" s="34"/>
      <c r="B505" s="34"/>
      <c r="C505" s="34"/>
    </row>
    <row r="506">
      <c r="A506" s="34"/>
      <c r="B506" s="34"/>
      <c r="C506" s="34"/>
    </row>
    <row r="507">
      <c r="A507" s="34"/>
      <c r="B507" s="34"/>
      <c r="C507" s="34"/>
    </row>
    <row r="508">
      <c r="A508" s="34"/>
      <c r="B508" s="34"/>
      <c r="C508" s="34"/>
    </row>
    <row r="509">
      <c r="A509" s="34"/>
      <c r="B509" s="34"/>
      <c r="C509" s="34"/>
    </row>
    <row r="510">
      <c r="A510" s="34"/>
      <c r="B510" s="34"/>
      <c r="C510" s="34"/>
    </row>
    <row r="511">
      <c r="A511" s="34"/>
      <c r="B511" s="34"/>
      <c r="C511" s="34"/>
    </row>
    <row r="512">
      <c r="A512" s="34"/>
      <c r="B512" s="34"/>
      <c r="C512" s="34"/>
    </row>
    <row r="513">
      <c r="A513" s="34"/>
      <c r="B513" s="34"/>
      <c r="C513" s="34"/>
    </row>
    <row r="514">
      <c r="A514" s="34"/>
      <c r="B514" s="34"/>
      <c r="C514" s="34"/>
    </row>
    <row r="515">
      <c r="A515" s="34"/>
      <c r="B515" s="34"/>
      <c r="C515" s="34"/>
    </row>
    <row r="516">
      <c r="A516" s="34"/>
      <c r="B516" s="34"/>
      <c r="C516" s="34"/>
    </row>
    <row r="517">
      <c r="A517" s="34"/>
      <c r="B517" s="34"/>
      <c r="C517" s="34"/>
    </row>
    <row r="518">
      <c r="A518" s="34"/>
      <c r="B518" s="34"/>
      <c r="C518" s="34"/>
    </row>
    <row r="519">
      <c r="A519" s="34"/>
      <c r="B519" s="34"/>
      <c r="C519" s="34"/>
    </row>
    <row r="520">
      <c r="A520" s="34"/>
      <c r="B520" s="34"/>
      <c r="C520" s="34"/>
    </row>
    <row r="521">
      <c r="A521" s="34"/>
      <c r="B521" s="34"/>
      <c r="C521" s="34"/>
    </row>
    <row r="522">
      <c r="A522" s="34"/>
      <c r="B522" s="34"/>
      <c r="C522" s="34"/>
    </row>
    <row r="523">
      <c r="A523" s="34"/>
      <c r="B523" s="34"/>
      <c r="C523" s="34"/>
    </row>
    <row r="524">
      <c r="A524" s="34"/>
      <c r="B524" s="34"/>
      <c r="C524" s="34"/>
    </row>
    <row r="525">
      <c r="A525" s="34"/>
      <c r="B525" s="34"/>
      <c r="C525" s="34"/>
    </row>
    <row r="526">
      <c r="A526" s="34"/>
      <c r="B526" s="34"/>
      <c r="C526" s="34"/>
    </row>
    <row r="527">
      <c r="A527" s="34"/>
      <c r="B527" s="34"/>
      <c r="C527" s="34"/>
    </row>
    <row r="528">
      <c r="A528" s="34"/>
      <c r="B528" s="34"/>
      <c r="C528" s="34"/>
    </row>
    <row r="529">
      <c r="A529" s="34"/>
      <c r="B529" s="34"/>
      <c r="C529" s="34"/>
    </row>
    <row r="530">
      <c r="A530" s="34"/>
      <c r="B530" s="34"/>
      <c r="C530" s="34"/>
    </row>
    <row r="531">
      <c r="A531" s="34"/>
      <c r="B531" s="34"/>
      <c r="C531" s="34"/>
    </row>
    <row r="532">
      <c r="A532" s="34"/>
      <c r="B532" s="34"/>
      <c r="C532" s="34"/>
    </row>
    <row r="533">
      <c r="A533" s="34"/>
      <c r="B533" s="34"/>
      <c r="C533" s="34"/>
    </row>
    <row r="534">
      <c r="A534" s="34"/>
      <c r="B534" s="34"/>
      <c r="C534" s="34"/>
    </row>
    <row r="535">
      <c r="A535" s="34"/>
      <c r="B535" s="34"/>
      <c r="C535" s="34"/>
    </row>
    <row r="536">
      <c r="A536" s="34"/>
      <c r="B536" s="34"/>
      <c r="C536" s="34"/>
    </row>
    <row r="537">
      <c r="A537" s="34"/>
      <c r="B537" s="34"/>
      <c r="C537" s="34"/>
    </row>
    <row r="538">
      <c r="A538" s="34"/>
      <c r="B538" s="34"/>
      <c r="C538" s="34"/>
    </row>
    <row r="539">
      <c r="A539" s="34"/>
      <c r="B539" s="34"/>
      <c r="C539" s="34"/>
    </row>
    <row r="540">
      <c r="A540" s="34"/>
      <c r="B540" s="34"/>
      <c r="C540" s="34"/>
    </row>
    <row r="541">
      <c r="A541" s="34"/>
      <c r="B541" s="34"/>
      <c r="C541" s="34"/>
    </row>
    <row r="542">
      <c r="A542" s="34"/>
      <c r="B542" s="34"/>
      <c r="C542" s="34"/>
    </row>
    <row r="543">
      <c r="A543" s="34"/>
      <c r="B543" s="34"/>
      <c r="C543" s="34"/>
    </row>
    <row r="544">
      <c r="A544" s="34"/>
      <c r="B544" s="34"/>
      <c r="C544" s="34"/>
    </row>
    <row r="545">
      <c r="A545" s="34"/>
      <c r="B545" s="34"/>
      <c r="C545" s="34"/>
    </row>
    <row r="546">
      <c r="A546" s="34"/>
      <c r="B546" s="34"/>
      <c r="C546" s="34"/>
    </row>
    <row r="547">
      <c r="A547" s="34"/>
      <c r="B547" s="34"/>
      <c r="C547" s="34"/>
    </row>
    <row r="548">
      <c r="A548" s="34"/>
      <c r="B548" s="34"/>
      <c r="C548" s="34"/>
    </row>
    <row r="549">
      <c r="A549" s="34"/>
      <c r="B549" s="34"/>
      <c r="C549" s="34"/>
    </row>
    <row r="550">
      <c r="A550" s="34"/>
      <c r="B550" s="34"/>
      <c r="C550" s="34"/>
    </row>
    <row r="551">
      <c r="A551" s="34"/>
      <c r="B551" s="34"/>
      <c r="C551" s="34"/>
    </row>
    <row r="552">
      <c r="A552" s="34"/>
      <c r="B552" s="34"/>
      <c r="C552" s="34"/>
    </row>
    <row r="553">
      <c r="A553" s="34"/>
      <c r="B553" s="34"/>
      <c r="C553" s="34"/>
    </row>
    <row r="554">
      <c r="A554" s="34"/>
      <c r="B554" s="34"/>
      <c r="C554" s="34"/>
    </row>
    <row r="555">
      <c r="A555" s="34"/>
      <c r="B555" s="34"/>
      <c r="C555" s="34"/>
    </row>
    <row r="556">
      <c r="A556" s="34"/>
      <c r="B556" s="34"/>
      <c r="C556" s="34"/>
    </row>
    <row r="557">
      <c r="A557" s="34"/>
      <c r="B557" s="34"/>
      <c r="C557" s="34"/>
    </row>
    <row r="558">
      <c r="A558" s="34"/>
      <c r="B558" s="34"/>
      <c r="C558" s="34"/>
    </row>
    <row r="559">
      <c r="A559" s="34"/>
      <c r="B559" s="34"/>
      <c r="C559" s="34"/>
    </row>
    <row r="560">
      <c r="A560" s="34"/>
      <c r="B560" s="34"/>
      <c r="C560" s="34"/>
    </row>
    <row r="561">
      <c r="A561" s="34"/>
      <c r="B561" s="34"/>
      <c r="C561" s="34"/>
    </row>
    <row r="562">
      <c r="A562" s="34"/>
      <c r="B562" s="34"/>
      <c r="C562" s="34"/>
    </row>
    <row r="563">
      <c r="A563" s="34"/>
      <c r="B563" s="34"/>
      <c r="C563" s="34"/>
    </row>
    <row r="564">
      <c r="A564" s="34"/>
      <c r="B564" s="34"/>
      <c r="C564" s="34"/>
    </row>
    <row r="565">
      <c r="A565" s="34"/>
      <c r="B565" s="34"/>
      <c r="C565" s="34"/>
    </row>
    <row r="566">
      <c r="A566" s="34"/>
      <c r="B566" s="34"/>
      <c r="C566" s="34"/>
    </row>
    <row r="567">
      <c r="A567" s="34"/>
      <c r="B567" s="34"/>
      <c r="C567" s="34"/>
    </row>
    <row r="568">
      <c r="A568" s="34"/>
      <c r="B568" s="34"/>
      <c r="C568" s="34"/>
    </row>
    <row r="569">
      <c r="A569" s="34"/>
      <c r="B569" s="34"/>
      <c r="C569" s="34"/>
    </row>
    <row r="570">
      <c r="A570" s="34"/>
      <c r="B570" s="34"/>
      <c r="C570" s="34"/>
    </row>
    <row r="571">
      <c r="A571" s="34"/>
      <c r="B571" s="34"/>
      <c r="C571" s="34"/>
    </row>
    <row r="572">
      <c r="A572" s="34"/>
      <c r="B572" s="34"/>
      <c r="C572" s="34"/>
    </row>
    <row r="573">
      <c r="A573" s="34"/>
      <c r="B573" s="34"/>
      <c r="C573" s="34"/>
    </row>
    <row r="574">
      <c r="A574" s="34"/>
      <c r="B574" s="34"/>
      <c r="C574" s="34"/>
    </row>
    <row r="575">
      <c r="A575" s="34"/>
      <c r="B575" s="34"/>
      <c r="C575" s="34"/>
    </row>
    <row r="576">
      <c r="A576" s="34"/>
      <c r="B576" s="34"/>
      <c r="C576" s="34"/>
    </row>
    <row r="577">
      <c r="A577" s="34"/>
      <c r="B577" s="34"/>
      <c r="C577" s="34"/>
    </row>
    <row r="578">
      <c r="A578" s="34"/>
      <c r="B578" s="34"/>
      <c r="C578" s="34"/>
    </row>
    <row r="579">
      <c r="A579" s="34"/>
      <c r="B579" s="34"/>
      <c r="C579" s="34"/>
    </row>
    <row r="580">
      <c r="A580" s="34"/>
      <c r="B580" s="34"/>
      <c r="C580" s="34"/>
    </row>
    <row r="581">
      <c r="A581" s="34"/>
      <c r="B581" s="34"/>
      <c r="C581" s="34"/>
    </row>
    <row r="582">
      <c r="A582" s="34"/>
      <c r="B582" s="34"/>
      <c r="C582" s="34"/>
    </row>
    <row r="583">
      <c r="A583" s="34"/>
      <c r="B583" s="34"/>
      <c r="C583" s="34"/>
    </row>
    <row r="584">
      <c r="A584" s="34"/>
      <c r="B584" s="34"/>
      <c r="C584" s="34"/>
    </row>
    <row r="585">
      <c r="A585" s="34"/>
      <c r="B585" s="34"/>
      <c r="C585" s="34"/>
    </row>
    <row r="586">
      <c r="A586" s="34"/>
      <c r="B586" s="34"/>
      <c r="C586" s="34"/>
    </row>
    <row r="587">
      <c r="A587" s="34"/>
      <c r="B587" s="34"/>
      <c r="C587" s="34"/>
    </row>
    <row r="588">
      <c r="A588" s="34"/>
      <c r="B588" s="34"/>
      <c r="C588" s="34"/>
    </row>
    <row r="589">
      <c r="A589" s="34"/>
      <c r="B589" s="34"/>
      <c r="C589" s="34"/>
    </row>
    <row r="590">
      <c r="A590" s="34"/>
      <c r="B590" s="34"/>
      <c r="C590" s="34"/>
    </row>
    <row r="591">
      <c r="A591" s="34"/>
      <c r="B591" s="34"/>
      <c r="C591" s="34"/>
    </row>
    <row r="592">
      <c r="A592" s="34"/>
      <c r="B592" s="34"/>
      <c r="C592" s="34"/>
    </row>
    <row r="593">
      <c r="A593" s="34"/>
      <c r="B593" s="34"/>
      <c r="C593" s="34"/>
    </row>
    <row r="594">
      <c r="A594" s="34"/>
      <c r="B594" s="34"/>
      <c r="C594" s="34"/>
    </row>
    <row r="595">
      <c r="A595" s="34"/>
      <c r="B595" s="34"/>
      <c r="C595" s="34"/>
    </row>
    <row r="596">
      <c r="A596" s="34"/>
      <c r="B596" s="34"/>
      <c r="C596" s="34"/>
    </row>
    <row r="597">
      <c r="A597" s="34"/>
      <c r="B597" s="34"/>
      <c r="C597" s="34"/>
    </row>
    <row r="598">
      <c r="A598" s="34"/>
      <c r="B598" s="34"/>
      <c r="C598" s="34"/>
    </row>
    <row r="599">
      <c r="A599" s="34"/>
      <c r="B599" s="34"/>
      <c r="C599" s="34"/>
    </row>
    <row r="600">
      <c r="A600" s="34"/>
      <c r="B600" s="34"/>
      <c r="C600" s="34"/>
    </row>
    <row r="601">
      <c r="A601" s="34"/>
      <c r="B601" s="34"/>
      <c r="C601" s="34"/>
    </row>
    <row r="602">
      <c r="A602" s="34"/>
      <c r="B602" s="34"/>
      <c r="C602" s="34"/>
    </row>
    <row r="603">
      <c r="A603" s="34"/>
      <c r="B603" s="34"/>
      <c r="C603" s="34"/>
    </row>
    <row r="604">
      <c r="A604" s="34"/>
      <c r="B604" s="34"/>
      <c r="C604" s="34"/>
    </row>
    <row r="605">
      <c r="A605" s="34"/>
      <c r="B605" s="34"/>
      <c r="C605" s="34"/>
    </row>
    <row r="606">
      <c r="A606" s="34"/>
      <c r="B606" s="34"/>
      <c r="C606" s="34"/>
    </row>
    <row r="607">
      <c r="A607" s="34"/>
      <c r="B607" s="34"/>
      <c r="C607" s="34"/>
    </row>
    <row r="608">
      <c r="A608" s="34"/>
      <c r="B608" s="34"/>
      <c r="C608" s="34"/>
    </row>
    <row r="609">
      <c r="A609" s="34"/>
      <c r="B609" s="34"/>
      <c r="C609" s="34"/>
    </row>
    <row r="610">
      <c r="A610" s="34"/>
      <c r="B610" s="34"/>
      <c r="C610" s="34"/>
    </row>
    <row r="611">
      <c r="A611" s="34"/>
      <c r="B611" s="34"/>
      <c r="C611" s="34"/>
    </row>
    <row r="612">
      <c r="A612" s="34"/>
      <c r="B612" s="34"/>
      <c r="C612" s="34"/>
    </row>
    <row r="613">
      <c r="A613" s="34"/>
      <c r="B613" s="34"/>
      <c r="C613" s="34"/>
    </row>
    <row r="614">
      <c r="A614" s="34"/>
      <c r="B614" s="34"/>
      <c r="C614" s="34"/>
    </row>
    <row r="615">
      <c r="A615" s="34"/>
      <c r="B615" s="34"/>
      <c r="C615" s="34"/>
    </row>
    <row r="616">
      <c r="A616" s="34"/>
      <c r="B616" s="34"/>
      <c r="C616" s="34"/>
    </row>
    <row r="617">
      <c r="A617" s="34"/>
      <c r="B617" s="34"/>
      <c r="C617" s="34"/>
    </row>
    <row r="618">
      <c r="A618" s="34"/>
      <c r="B618" s="34"/>
      <c r="C618" s="34"/>
    </row>
    <row r="619">
      <c r="A619" s="34"/>
      <c r="B619" s="34"/>
      <c r="C619" s="34"/>
    </row>
    <row r="620">
      <c r="A620" s="34"/>
      <c r="B620" s="34"/>
      <c r="C620" s="34"/>
    </row>
    <row r="621">
      <c r="A621" s="34"/>
      <c r="B621" s="34"/>
      <c r="C621" s="34"/>
    </row>
    <row r="622">
      <c r="A622" s="34"/>
      <c r="B622" s="34"/>
      <c r="C622" s="34"/>
    </row>
    <row r="623">
      <c r="A623" s="34"/>
      <c r="B623" s="34"/>
      <c r="C623" s="34"/>
    </row>
    <row r="624">
      <c r="A624" s="34"/>
      <c r="B624" s="34"/>
      <c r="C624" s="34"/>
    </row>
    <row r="625">
      <c r="A625" s="34"/>
      <c r="B625" s="34"/>
      <c r="C625" s="34"/>
    </row>
    <row r="626">
      <c r="A626" s="34"/>
      <c r="B626" s="34"/>
      <c r="C626" s="34"/>
    </row>
    <row r="627">
      <c r="A627" s="34"/>
      <c r="B627" s="34"/>
      <c r="C627" s="34"/>
    </row>
    <row r="628">
      <c r="A628" s="34"/>
      <c r="B628" s="34"/>
      <c r="C628" s="34"/>
    </row>
    <row r="629">
      <c r="A629" s="34"/>
      <c r="B629" s="34"/>
      <c r="C629" s="34"/>
    </row>
    <row r="630">
      <c r="A630" s="34"/>
      <c r="B630" s="34"/>
      <c r="C630" s="34"/>
    </row>
    <row r="631">
      <c r="A631" s="34"/>
      <c r="B631" s="34"/>
      <c r="C631" s="34"/>
    </row>
    <row r="632">
      <c r="A632" s="34"/>
      <c r="B632" s="34"/>
      <c r="C632" s="34"/>
    </row>
    <row r="633">
      <c r="A633" s="34"/>
      <c r="B633" s="34"/>
      <c r="C633" s="34"/>
    </row>
    <row r="634">
      <c r="A634" s="34"/>
      <c r="B634" s="34"/>
      <c r="C634" s="34"/>
    </row>
    <row r="635">
      <c r="A635" s="34"/>
      <c r="B635" s="34"/>
      <c r="C635" s="34"/>
    </row>
    <row r="636">
      <c r="A636" s="34"/>
      <c r="B636" s="34"/>
      <c r="C636" s="34"/>
    </row>
    <row r="637">
      <c r="A637" s="34"/>
      <c r="B637" s="34"/>
      <c r="C637" s="34"/>
    </row>
    <row r="638">
      <c r="A638" s="34"/>
      <c r="B638" s="34"/>
      <c r="C638" s="34"/>
    </row>
    <row r="639">
      <c r="A639" s="34"/>
      <c r="B639" s="34"/>
      <c r="C639" s="34"/>
    </row>
    <row r="640">
      <c r="A640" s="34"/>
      <c r="B640" s="34"/>
      <c r="C640" s="34"/>
    </row>
    <row r="641">
      <c r="A641" s="34"/>
      <c r="B641" s="34"/>
      <c r="C641" s="34"/>
    </row>
    <row r="642">
      <c r="A642" s="34"/>
      <c r="B642" s="34"/>
      <c r="C642" s="34"/>
    </row>
    <row r="643">
      <c r="A643" s="34"/>
      <c r="B643" s="34"/>
      <c r="C643" s="34"/>
    </row>
    <row r="644">
      <c r="A644" s="34"/>
      <c r="B644" s="34"/>
      <c r="C644" s="34"/>
    </row>
    <row r="645">
      <c r="A645" s="34"/>
      <c r="B645" s="34"/>
      <c r="C645" s="34"/>
    </row>
    <row r="646">
      <c r="A646" s="34"/>
      <c r="B646" s="34"/>
      <c r="C646" s="34"/>
    </row>
    <row r="647">
      <c r="A647" s="34"/>
      <c r="B647" s="34"/>
      <c r="C647" s="34"/>
    </row>
    <row r="648">
      <c r="A648" s="34"/>
      <c r="B648" s="34"/>
      <c r="C648" s="34"/>
    </row>
    <row r="649">
      <c r="A649" s="34"/>
      <c r="B649" s="34"/>
      <c r="C649" s="34"/>
    </row>
    <row r="650">
      <c r="A650" s="34"/>
      <c r="B650" s="34"/>
      <c r="C650" s="34"/>
    </row>
    <row r="651">
      <c r="A651" s="34"/>
      <c r="B651" s="34"/>
      <c r="C651" s="34"/>
    </row>
    <row r="652">
      <c r="A652" s="34"/>
      <c r="B652" s="34"/>
      <c r="C652" s="34"/>
    </row>
    <row r="653">
      <c r="A653" s="34"/>
      <c r="B653" s="34"/>
      <c r="C653" s="34"/>
    </row>
    <row r="654">
      <c r="A654" s="34"/>
      <c r="B654" s="34"/>
      <c r="C654" s="34"/>
    </row>
    <row r="655">
      <c r="A655" s="34"/>
      <c r="B655" s="34"/>
      <c r="C655" s="34"/>
    </row>
    <row r="656">
      <c r="A656" s="34"/>
      <c r="B656" s="34"/>
      <c r="C656" s="34"/>
    </row>
    <row r="657">
      <c r="A657" s="34"/>
      <c r="B657" s="34"/>
      <c r="C657" s="34"/>
    </row>
    <row r="658">
      <c r="A658" s="34"/>
      <c r="B658" s="34"/>
      <c r="C658" s="34"/>
    </row>
    <row r="659">
      <c r="A659" s="34"/>
      <c r="B659" s="34"/>
      <c r="C659" s="34"/>
    </row>
    <row r="660">
      <c r="A660" s="34"/>
      <c r="B660" s="34"/>
      <c r="C660" s="34"/>
    </row>
    <row r="661">
      <c r="A661" s="34"/>
      <c r="B661" s="34"/>
      <c r="C661" s="34"/>
    </row>
    <row r="662">
      <c r="A662" s="34"/>
      <c r="B662" s="34"/>
      <c r="C662" s="34"/>
    </row>
    <row r="663">
      <c r="A663" s="34"/>
      <c r="B663" s="34"/>
      <c r="C663" s="34"/>
    </row>
    <row r="664">
      <c r="A664" s="34"/>
      <c r="B664" s="34"/>
      <c r="C664" s="34"/>
    </row>
    <row r="665">
      <c r="A665" s="34"/>
      <c r="B665" s="34"/>
      <c r="C665" s="34"/>
    </row>
    <row r="666">
      <c r="A666" s="34"/>
      <c r="B666" s="34"/>
      <c r="C666" s="34"/>
    </row>
    <row r="667">
      <c r="A667" s="34"/>
      <c r="B667" s="34"/>
      <c r="C667" s="34"/>
    </row>
    <row r="668">
      <c r="A668" s="34"/>
      <c r="B668" s="34"/>
      <c r="C668" s="34"/>
    </row>
    <row r="669">
      <c r="A669" s="34"/>
      <c r="B669" s="34"/>
      <c r="C669" s="34"/>
    </row>
    <row r="670">
      <c r="A670" s="34"/>
      <c r="B670" s="34"/>
      <c r="C670" s="34"/>
    </row>
    <row r="671">
      <c r="A671" s="34"/>
      <c r="B671" s="34"/>
      <c r="C671" s="34"/>
    </row>
    <row r="672">
      <c r="A672" s="34"/>
      <c r="B672" s="34"/>
      <c r="C672" s="34"/>
    </row>
    <row r="673">
      <c r="A673" s="34"/>
      <c r="B673" s="34"/>
      <c r="C673" s="34"/>
    </row>
    <row r="674">
      <c r="A674" s="34"/>
      <c r="B674" s="34"/>
      <c r="C674" s="34"/>
    </row>
    <row r="675">
      <c r="A675" s="34"/>
      <c r="B675" s="34"/>
      <c r="C675" s="34"/>
    </row>
    <row r="676">
      <c r="A676" s="34"/>
      <c r="B676" s="34"/>
      <c r="C676" s="34"/>
    </row>
    <row r="677">
      <c r="A677" s="34"/>
      <c r="B677" s="34"/>
      <c r="C677" s="34"/>
    </row>
    <row r="678">
      <c r="A678" s="34"/>
      <c r="B678" s="34"/>
      <c r="C678" s="34"/>
    </row>
    <row r="679">
      <c r="A679" s="34"/>
      <c r="B679" s="34"/>
      <c r="C679" s="34"/>
    </row>
    <row r="680">
      <c r="A680" s="34"/>
      <c r="B680" s="34"/>
      <c r="C680" s="34"/>
    </row>
    <row r="681">
      <c r="A681" s="34"/>
      <c r="B681" s="34"/>
      <c r="C681" s="34"/>
    </row>
    <row r="682">
      <c r="A682" s="34"/>
      <c r="B682" s="34"/>
      <c r="C682" s="34"/>
    </row>
    <row r="683">
      <c r="A683" s="34"/>
      <c r="B683" s="34"/>
      <c r="C683" s="34"/>
    </row>
    <row r="684">
      <c r="A684" s="34"/>
      <c r="B684" s="34"/>
      <c r="C684" s="34"/>
    </row>
    <row r="685">
      <c r="A685" s="34"/>
      <c r="B685" s="34"/>
      <c r="C685" s="34"/>
    </row>
    <row r="686">
      <c r="A686" s="34"/>
      <c r="B686" s="34"/>
      <c r="C686" s="34"/>
    </row>
    <row r="687">
      <c r="A687" s="34"/>
      <c r="B687" s="34"/>
      <c r="C687" s="34"/>
    </row>
    <row r="688">
      <c r="A688" s="34"/>
      <c r="B688" s="34"/>
      <c r="C688" s="34"/>
    </row>
    <row r="689">
      <c r="A689" s="34"/>
      <c r="B689" s="34"/>
      <c r="C689" s="34"/>
    </row>
    <row r="690">
      <c r="A690" s="34"/>
      <c r="B690" s="34"/>
      <c r="C690" s="34"/>
    </row>
    <row r="691">
      <c r="A691" s="34"/>
      <c r="B691" s="34"/>
      <c r="C691" s="34"/>
    </row>
    <row r="692">
      <c r="A692" s="34"/>
      <c r="B692" s="34"/>
      <c r="C692" s="34"/>
    </row>
    <row r="693">
      <c r="A693" s="34"/>
      <c r="B693" s="34"/>
      <c r="C693" s="34"/>
    </row>
    <row r="694">
      <c r="A694" s="34"/>
      <c r="B694" s="34"/>
      <c r="C694" s="34"/>
    </row>
    <row r="695">
      <c r="A695" s="34"/>
      <c r="B695" s="34"/>
      <c r="C695" s="34"/>
    </row>
    <row r="696">
      <c r="A696" s="34"/>
      <c r="B696" s="34"/>
      <c r="C696" s="34"/>
    </row>
    <row r="697">
      <c r="A697" s="34"/>
      <c r="B697" s="34"/>
      <c r="C697" s="34"/>
    </row>
    <row r="698">
      <c r="A698" s="34"/>
      <c r="B698" s="34"/>
      <c r="C698" s="34"/>
    </row>
    <row r="699">
      <c r="A699" s="34"/>
      <c r="B699" s="34"/>
      <c r="C699" s="34"/>
    </row>
    <row r="700">
      <c r="A700" s="34"/>
      <c r="B700" s="34"/>
      <c r="C700" s="34"/>
    </row>
    <row r="701">
      <c r="A701" s="34"/>
      <c r="B701" s="34"/>
      <c r="C701" s="34"/>
    </row>
    <row r="702">
      <c r="A702" s="34"/>
      <c r="B702" s="34"/>
      <c r="C702" s="34"/>
    </row>
    <row r="703">
      <c r="A703" s="34"/>
      <c r="B703" s="34"/>
      <c r="C703" s="34"/>
    </row>
    <row r="704">
      <c r="A704" s="34"/>
      <c r="B704" s="34"/>
      <c r="C704" s="34"/>
    </row>
    <row r="705">
      <c r="A705" s="34"/>
      <c r="B705" s="34"/>
      <c r="C705" s="34"/>
    </row>
    <row r="706">
      <c r="A706" s="34"/>
      <c r="B706" s="34"/>
      <c r="C706" s="34"/>
    </row>
    <row r="707">
      <c r="A707" s="34"/>
      <c r="B707" s="34"/>
      <c r="C707" s="34"/>
    </row>
    <row r="708">
      <c r="A708" s="34"/>
      <c r="B708" s="34"/>
      <c r="C708" s="34"/>
    </row>
    <row r="709">
      <c r="A709" s="34"/>
      <c r="B709" s="34"/>
      <c r="C709" s="34"/>
    </row>
    <row r="710">
      <c r="A710" s="34"/>
      <c r="B710" s="34"/>
      <c r="C710" s="34"/>
    </row>
    <row r="711">
      <c r="A711" s="34"/>
      <c r="B711" s="34"/>
      <c r="C711" s="34"/>
    </row>
    <row r="712">
      <c r="A712" s="34"/>
      <c r="B712" s="34"/>
      <c r="C712" s="34"/>
    </row>
    <row r="713">
      <c r="A713" s="34"/>
      <c r="B713" s="34"/>
      <c r="C713" s="34"/>
    </row>
    <row r="714">
      <c r="A714" s="34"/>
      <c r="B714" s="34"/>
      <c r="C714" s="34"/>
    </row>
    <row r="715">
      <c r="A715" s="34"/>
      <c r="B715" s="34"/>
      <c r="C715" s="34"/>
    </row>
    <row r="716">
      <c r="A716" s="34"/>
      <c r="B716" s="34"/>
      <c r="C716" s="34"/>
    </row>
    <row r="717">
      <c r="A717" s="34"/>
      <c r="B717" s="34"/>
      <c r="C717" s="34"/>
    </row>
    <row r="718">
      <c r="A718" s="34"/>
      <c r="B718" s="34"/>
      <c r="C718" s="34"/>
    </row>
    <row r="719">
      <c r="A719" s="34"/>
      <c r="B719" s="34"/>
      <c r="C719" s="34"/>
    </row>
    <row r="720">
      <c r="A720" s="34"/>
      <c r="B720" s="34"/>
      <c r="C720" s="34"/>
    </row>
    <row r="721">
      <c r="A721" s="34"/>
      <c r="B721" s="34"/>
      <c r="C721" s="34"/>
    </row>
    <row r="722">
      <c r="A722" s="34"/>
      <c r="B722" s="34"/>
      <c r="C722" s="34"/>
    </row>
    <row r="723">
      <c r="A723" s="34"/>
      <c r="B723" s="34"/>
      <c r="C723" s="34"/>
    </row>
    <row r="724">
      <c r="A724" s="34"/>
      <c r="B724" s="34"/>
      <c r="C724" s="34"/>
    </row>
    <row r="725">
      <c r="A725" s="34"/>
      <c r="B725" s="34"/>
      <c r="C725" s="34"/>
    </row>
    <row r="726">
      <c r="A726" s="34"/>
      <c r="B726" s="34"/>
      <c r="C726" s="34"/>
    </row>
    <row r="727">
      <c r="A727" s="34"/>
      <c r="B727" s="34"/>
      <c r="C727" s="34"/>
    </row>
    <row r="728">
      <c r="A728" s="34"/>
      <c r="B728" s="34"/>
      <c r="C728" s="34"/>
    </row>
    <row r="729">
      <c r="A729" s="34"/>
      <c r="B729" s="34"/>
      <c r="C729" s="34"/>
    </row>
    <row r="730">
      <c r="A730" s="34"/>
      <c r="B730" s="34"/>
      <c r="C730" s="34"/>
    </row>
    <row r="731">
      <c r="A731" s="34"/>
      <c r="B731" s="34"/>
      <c r="C731" s="34"/>
    </row>
    <row r="732">
      <c r="A732" s="34"/>
      <c r="B732" s="34"/>
      <c r="C732" s="34"/>
    </row>
    <row r="733">
      <c r="A733" s="34"/>
      <c r="B733" s="34"/>
      <c r="C733" s="34"/>
    </row>
    <row r="734">
      <c r="A734" s="34"/>
      <c r="B734" s="34"/>
      <c r="C734" s="34"/>
    </row>
    <row r="735">
      <c r="A735" s="34"/>
      <c r="B735" s="34"/>
      <c r="C735" s="34"/>
    </row>
    <row r="736">
      <c r="A736" s="34"/>
      <c r="B736" s="34"/>
      <c r="C736" s="34"/>
    </row>
    <row r="737">
      <c r="A737" s="34"/>
      <c r="B737" s="34"/>
      <c r="C737" s="34"/>
    </row>
    <row r="738">
      <c r="A738" s="34"/>
      <c r="B738" s="34"/>
      <c r="C738" s="34"/>
    </row>
    <row r="739">
      <c r="A739" s="34"/>
      <c r="B739" s="34"/>
      <c r="C739" s="34"/>
    </row>
    <row r="740">
      <c r="A740" s="34"/>
      <c r="B740" s="34"/>
      <c r="C740" s="34"/>
    </row>
    <row r="741">
      <c r="A741" s="34"/>
      <c r="B741" s="34"/>
      <c r="C741" s="34"/>
    </row>
    <row r="742">
      <c r="A742" s="34"/>
      <c r="B742" s="34"/>
      <c r="C742" s="34"/>
    </row>
    <row r="743">
      <c r="A743" s="34"/>
      <c r="B743" s="34"/>
      <c r="C743" s="34"/>
    </row>
    <row r="744">
      <c r="A744" s="34"/>
      <c r="B744" s="34"/>
      <c r="C744" s="34"/>
    </row>
    <row r="745">
      <c r="A745" s="34"/>
      <c r="B745" s="34"/>
      <c r="C745" s="34"/>
    </row>
    <row r="746">
      <c r="A746" s="34"/>
      <c r="B746" s="34"/>
      <c r="C746" s="34"/>
    </row>
    <row r="747">
      <c r="A747" s="34"/>
      <c r="B747" s="34"/>
      <c r="C747" s="34"/>
    </row>
    <row r="748">
      <c r="A748" s="34"/>
      <c r="B748" s="34"/>
      <c r="C748" s="34"/>
    </row>
    <row r="749">
      <c r="A749" s="34"/>
      <c r="B749" s="34"/>
      <c r="C749" s="34"/>
    </row>
    <row r="750">
      <c r="A750" s="34"/>
      <c r="B750" s="34"/>
      <c r="C750" s="34"/>
    </row>
    <row r="751">
      <c r="A751" s="34"/>
      <c r="B751" s="34"/>
      <c r="C751" s="34"/>
    </row>
    <row r="752">
      <c r="A752" s="34"/>
      <c r="B752" s="34"/>
      <c r="C752" s="34"/>
    </row>
    <row r="753">
      <c r="A753" s="34"/>
      <c r="B753" s="34"/>
      <c r="C753" s="34"/>
    </row>
    <row r="754">
      <c r="A754" s="34"/>
      <c r="B754" s="34"/>
      <c r="C754" s="34"/>
    </row>
    <row r="755">
      <c r="A755" s="34"/>
      <c r="B755" s="34"/>
      <c r="C755" s="34"/>
    </row>
    <row r="756">
      <c r="A756" s="34"/>
      <c r="B756" s="34"/>
      <c r="C756" s="34"/>
    </row>
    <row r="757">
      <c r="A757" s="34"/>
      <c r="B757" s="34"/>
      <c r="C757" s="34"/>
    </row>
    <row r="758">
      <c r="A758" s="34"/>
      <c r="B758" s="34"/>
      <c r="C758" s="34"/>
    </row>
    <row r="759">
      <c r="A759" s="34"/>
      <c r="B759" s="34"/>
      <c r="C759" s="34"/>
    </row>
    <row r="760">
      <c r="A760" s="34"/>
      <c r="B760" s="34"/>
      <c r="C760" s="34"/>
    </row>
    <row r="761">
      <c r="A761" s="34"/>
      <c r="B761" s="34"/>
      <c r="C761" s="34"/>
    </row>
    <row r="762">
      <c r="A762" s="34"/>
      <c r="B762" s="34"/>
      <c r="C762" s="34"/>
    </row>
    <row r="763">
      <c r="A763" s="34"/>
      <c r="B763" s="34"/>
      <c r="C763" s="34"/>
    </row>
    <row r="764">
      <c r="A764" s="34"/>
      <c r="B764" s="34"/>
      <c r="C764" s="34"/>
    </row>
    <row r="765">
      <c r="A765" s="34"/>
      <c r="B765" s="34"/>
      <c r="C765" s="34"/>
    </row>
    <row r="766">
      <c r="A766" s="34"/>
      <c r="B766" s="34"/>
      <c r="C766" s="34"/>
    </row>
    <row r="767">
      <c r="A767" s="34"/>
      <c r="B767" s="34"/>
      <c r="C767" s="34"/>
    </row>
    <row r="768">
      <c r="A768" s="34"/>
      <c r="B768" s="34"/>
      <c r="C768" s="34"/>
    </row>
    <row r="769">
      <c r="A769" s="34"/>
      <c r="B769" s="34"/>
      <c r="C769" s="34"/>
    </row>
    <row r="770">
      <c r="A770" s="34"/>
      <c r="B770" s="34"/>
      <c r="C770" s="34"/>
    </row>
    <row r="771">
      <c r="A771" s="34"/>
      <c r="B771" s="34"/>
      <c r="C771" s="34"/>
    </row>
    <row r="772">
      <c r="A772" s="34"/>
      <c r="B772" s="34"/>
      <c r="C772" s="34"/>
    </row>
    <row r="773">
      <c r="A773" s="34"/>
      <c r="B773" s="34"/>
      <c r="C773" s="34"/>
    </row>
    <row r="774">
      <c r="A774" s="34"/>
      <c r="B774" s="34"/>
      <c r="C774" s="34"/>
    </row>
    <row r="775">
      <c r="A775" s="34"/>
      <c r="B775" s="34"/>
      <c r="C775" s="34"/>
    </row>
    <row r="776">
      <c r="A776" s="34"/>
      <c r="B776" s="34"/>
      <c r="C776" s="34"/>
    </row>
    <row r="777">
      <c r="A777" s="34"/>
      <c r="B777" s="34"/>
      <c r="C777" s="34"/>
    </row>
    <row r="778">
      <c r="A778" s="34"/>
      <c r="B778" s="34"/>
      <c r="C778" s="34"/>
    </row>
    <row r="779">
      <c r="A779" s="34"/>
      <c r="B779" s="34"/>
      <c r="C779" s="34"/>
    </row>
    <row r="780">
      <c r="A780" s="34"/>
      <c r="B780" s="34"/>
      <c r="C780" s="34"/>
    </row>
    <row r="781">
      <c r="A781" s="34"/>
      <c r="B781" s="34"/>
      <c r="C781" s="34"/>
    </row>
    <row r="782">
      <c r="A782" s="34"/>
      <c r="B782" s="34"/>
      <c r="C782" s="34"/>
    </row>
    <row r="783">
      <c r="A783" s="34"/>
      <c r="B783" s="34"/>
      <c r="C783" s="34"/>
    </row>
    <row r="784">
      <c r="A784" s="34"/>
      <c r="B784" s="34"/>
      <c r="C784" s="34"/>
    </row>
    <row r="785">
      <c r="A785" s="34"/>
      <c r="B785" s="34"/>
      <c r="C785" s="34"/>
    </row>
    <row r="786">
      <c r="A786" s="34"/>
      <c r="B786" s="34"/>
      <c r="C786" s="34"/>
    </row>
    <row r="787">
      <c r="A787" s="34"/>
      <c r="B787" s="34"/>
      <c r="C787" s="34"/>
    </row>
    <row r="788">
      <c r="A788" s="34"/>
      <c r="B788" s="34"/>
      <c r="C788" s="34"/>
    </row>
    <row r="789">
      <c r="A789" s="34"/>
      <c r="B789" s="34"/>
      <c r="C789" s="34"/>
    </row>
    <row r="790">
      <c r="A790" s="34"/>
      <c r="B790" s="34"/>
      <c r="C790" s="34"/>
    </row>
    <row r="791">
      <c r="A791" s="34"/>
      <c r="B791" s="34"/>
      <c r="C791" s="34"/>
    </row>
    <row r="792">
      <c r="A792" s="34"/>
      <c r="B792" s="34"/>
      <c r="C792" s="34"/>
    </row>
    <row r="793">
      <c r="A793" s="34"/>
      <c r="B793" s="34"/>
      <c r="C793" s="34"/>
    </row>
    <row r="794">
      <c r="A794" s="34"/>
      <c r="B794" s="34"/>
      <c r="C794" s="34"/>
    </row>
    <row r="795">
      <c r="A795" s="34"/>
      <c r="B795" s="34"/>
      <c r="C795" s="34"/>
    </row>
    <row r="796">
      <c r="A796" s="34"/>
      <c r="B796" s="34"/>
      <c r="C796" s="34"/>
    </row>
    <row r="797">
      <c r="A797" s="34"/>
      <c r="B797" s="34"/>
      <c r="C797" s="34"/>
    </row>
    <row r="798">
      <c r="A798" s="34"/>
      <c r="B798" s="34"/>
      <c r="C798" s="34"/>
    </row>
    <row r="799">
      <c r="A799" s="34"/>
      <c r="B799" s="34"/>
      <c r="C799" s="34"/>
    </row>
    <row r="800">
      <c r="A800" s="34"/>
      <c r="B800" s="34"/>
      <c r="C800" s="34"/>
    </row>
    <row r="801">
      <c r="A801" s="34"/>
      <c r="B801" s="34"/>
      <c r="C801" s="34"/>
    </row>
    <row r="802">
      <c r="A802" s="34"/>
      <c r="B802" s="34"/>
      <c r="C802" s="34"/>
    </row>
    <row r="803">
      <c r="A803" s="34"/>
      <c r="B803" s="34"/>
      <c r="C803" s="34"/>
    </row>
    <row r="804">
      <c r="A804" s="34"/>
      <c r="B804" s="34"/>
      <c r="C804" s="34"/>
    </row>
    <row r="805">
      <c r="A805" s="34"/>
      <c r="B805" s="34"/>
      <c r="C805" s="34"/>
    </row>
    <row r="806">
      <c r="A806" s="34"/>
      <c r="B806" s="34"/>
      <c r="C806" s="34"/>
    </row>
    <row r="807">
      <c r="A807" s="34"/>
      <c r="B807" s="34"/>
      <c r="C807" s="34"/>
    </row>
    <row r="808">
      <c r="A808" s="34"/>
      <c r="B808" s="34"/>
      <c r="C808" s="34"/>
    </row>
    <row r="809">
      <c r="A809" s="34"/>
      <c r="B809" s="34"/>
      <c r="C809" s="34"/>
    </row>
    <row r="810">
      <c r="A810" s="34"/>
      <c r="B810" s="34"/>
      <c r="C810" s="34"/>
    </row>
    <row r="811">
      <c r="A811" s="34"/>
      <c r="B811" s="34"/>
      <c r="C811" s="34"/>
    </row>
    <row r="812">
      <c r="A812" s="34"/>
      <c r="B812" s="34"/>
      <c r="C812" s="34"/>
    </row>
    <row r="813">
      <c r="A813" s="34"/>
      <c r="B813" s="34"/>
      <c r="C813" s="34"/>
    </row>
    <row r="814">
      <c r="A814" s="34"/>
      <c r="B814" s="34"/>
      <c r="C814" s="34"/>
    </row>
    <row r="815">
      <c r="A815" s="34"/>
      <c r="B815" s="34"/>
      <c r="C815" s="34"/>
    </row>
    <row r="816">
      <c r="A816" s="34"/>
      <c r="B816" s="34"/>
      <c r="C816" s="34"/>
    </row>
    <row r="817">
      <c r="A817" s="34"/>
      <c r="B817" s="34"/>
      <c r="C817" s="34"/>
    </row>
    <row r="818">
      <c r="A818" s="34"/>
      <c r="B818" s="34"/>
      <c r="C818" s="34"/>
    </row>
    <row r="819">
      <c r="A819" s="34"/>
      <c r="B819" s="34"/>
      <c r="C819" s="34"/>
    </row>
    <row r="820">
      <c r="A820" s="34"/>
      <c r="B820" s="34"/>
      <c r="C820" s="34"/>
    </row>
    <row r="821">
      <c r="A821" s="34"/>
      <c r="B821" s="34"/>
      <c r="C821" s="34"/>
    </row>
    <row r="822">
      <c r="A822" s="34"/>
      <c r="B822" s="34"/>
      <c r="C822" s="34"/>
    </row>
    <row r="823">
      <c r="A823" s="34"/>
      <c r="B823" s="34"/>
      <c r="C823" s="34"/>
    </row>
    <row r="824">
      <c r="A824" s="34"/>
      <c r="B824" s="34"/>
      <c r="C824" s="34"/>
    </row>
    <row r="825">
      <c r="A825" s="34"/>
      <c r="B825" s="34"/>
      <c r="C825" s="34"/>
    </row>
    <row r="826">
      <c r="A826" s="34"/>
      <c r="B826" s="34"/>
      <c r="C826" s="34"/>
    </row>
    <row r="827">
      <c r="A827" s="34"/>
      <c r="B827" s="34"/>
      <c r="C827" s="34"/>
    </row>
    <row r="828">
      <c r="A828" s="34"/>
      <c r="B828" s="34"/>
      <c r="C828" s="34"/>
    </row>
    <row r="829">
      <c r="A829" s="34"/>
      <c r="B829" s="34"/>
      <c r="C829" s="34"/>
    </row>
    <row r="830">
      <c r="A830" s="34"/>
      <c r="B830" s="34"/>
      <c r="C830" s="34"/>
    </row>
    <row r="831">
      <c r="A831" s="34"/>
      <c r="B831" s="34"/>
      <c r="C831" s="34"/>
    </row>
    <row r="832">
      <c r="A832" s="34"/>
      <c r="B832" s="34"/>
      <c r="C832" s="34"/>
    </row>
    <row r="833">
      <c r="A833" s="34"/>
      <c r="B833" s="34"/>
      <c r="C833" s="34"/>
    </row>
    <row r="834">
      <c r="A834" s="34"/>
      <c r="B834" s="34"/>
      <c r="C834" s="34"/>
    </row>
    <row r="835">
      <c r="A835" s="34"/>
      <c r="B835" s="34"/>
      <c r="C835" s="34"/>
    </row>
    <row r="836">
      <c r="A836" s="34"/>
      <c r="B836" s="34"/>
      <c r="C836" s="34"/>
    </row>
    <row r="837">
      <c r="A837" s="34"/>
      <c r="B837" s="34"/>
      <c r="C837" s="34"/>
    </row>
    <row r="838">
      <c r="A838" s="34"/>
      <c r="B838" s="34"/>
      <c r="C838" s="34"/>
    </row>
    <row r="839">
      <c r="A839" s="34"/>
      <c r="B839" s="34"/>
      <c r="C839" s="34"/>
    </row>
    <row r="840">
      <c r="A840" s="34"/>
      <c r="B840" s="34"/>
      <c r="C840" s="34"/>
    </row>
    <row r="841">
      <c r="A841" s="34"/>
      <c r="B841" s="34"/>
      <c r="C841" s="34"/>
    </row>
    <row r="842">
      <c r="A842" s="34"/>
      <c r="B842" s="34"/>
      <c r="C842" s="34"/>
    </row>
    <row r="843">
      <c r="A843" s="34"/>
      <c r="B843" s="34"/>
      <c r="C843" s="34"/>
    </row>
    <row r="844">
      <c r="A844" s="34"/>
      <c r="B844" s="34"/>
      <c r="C844" s="34"/>
    </row>
    <row r="845">
      <c r="A845" s="34"/>
      <c r="B845" s="34"/>
      <c r="C845" s="34"/>
    </row>
    <row r="846">
      <c r="A846" s="34"/>
      <c r="B846" s="34"/>
      <c r="C846" s="34"/>
    </row>
    <row r="847">
      <c r="A847" s="34"/>
      <c r="B847" s="34"/>
      <c r="C847" s="34"/>
    </row>
    <row r="848">
      <c r="A848" s="34"/>
      <c r="B848" s="34"/>
      <c r="C848" s="34"/>
    </row>
    <row r="849">
      <c r="A849" s="34"/>
      <c r="B849" s="34"/>
      <c r="C849" s="34"/>
    </row>
    <row r="850">
      <c r="A850" s="34"/>
      <c r="B850" s="34"/>
      <c r="C850" s="34"/>
    </row>
    <row r="851">
      <c r="A851" s="34"/>
      <c r="B851" s="34"/>
      <c r="C851" s="34"/>
    </row>
    <row r="852">
      <c r="A852" s="34"/>
      <c r="B852" s="34"/>
      <c r="C852" s="34"/>
    </row>
    <row r="853">
      <c r="A853" s="34"/>
      <c r="B853" s="34"/>
      <c r="C853" s="34"/>
    </row>
    <row r="854">
      <c r="A854" s="34"/>
      <c r="B854" s="34"/>
      <c r="C854" s="34"/>
    </row>
    <row r="855">
      <c r="A855" s="34"/>
      <c r="B855" s="34"/>
      <c r="C855" s="34"/>
    </row>
    <row r="856">
      <c r="A856" s="34"/>
      <c r="B856" s="34"/>
      <c r="C856" s="34"/>
    </row>
    <row r="857">
      <c r="A857" s="34"/>
      <c r="B857" s="34"/>
      <c r="C857" s="34"/>
    </row>
    <row r="858">
      <c r="A858" s="34"/>
      <c r="B858" s="34"/>
      <c r="C858" s="34"/>
    </row>
    <row r="859">
      <c r="A859" s="34"/>
      <c r="B859" s="34"/>
      <c r="C859" s="34"/>
    </row>
    <row r="860">
      <c r="A860" s="34"/>
      <c r="B860" s="34"/>
      <c r="C860" s="34"/>
    </row>
    <row r="861">
      <c r="A861" s="34"/>
      <c r="B861" s="34"/>
      <c r="C861" s="34"/>
    </row>
    <row r="862">
      <c r="A862" s="34"/>
      <c r="B862" s="34"/>
      <c r="C862" s="34"/>
    </row>
    <row r="863">
      <c r="A863" s="34"/>
      <c r="B863" s="34"/>
      <c r="C863" s="34"/>
    </row>
    <row r="864">
      <c r="A864" s="34"/>
      <c r="B864" s="34"/>
      <c r="C864" s="34"/>
    </row>
    <row r="865">
      <c r="A865" s="34"/>
      <c r="B865" s="34"/>
      <c r="C865" s="34"/>
    </row>
    <row r="866">
      <c r="A866" s="34"/>
      <c r="B866" s="34"/>
      <c r="C866" s="34"/>
    </row>
    <row r="867">
      <c r="A867" s="34"/>
      <c r="B867" s="34"/>
      <c r="C867" s="34"/>
    </row>
    <row r="868">
      <c r="A868" s="34"/>
      <c r="B868" s="34"/>
      <c r="C868" s="34"/>
    </row>
    <row r="869">
      <c r="A869" s="34"/>
      <c r="B869" s="34"/>
      <c r="C869" s="34"/>
    </row>
    <row r="870">
      <c r="A870" s="34"/>
      <c r="B870" s="34"/>
      <c r="C870" s="34"/>
    </row>
    <row r="871">
      <c r="A871" s="34"/>
      <c r="B871" s="34"/>
      <c r="C871" s="34"/>
    </row>
    <row r="872">
      <c r="A872" s="34"/>
      <c r="B872" s="34"/>
      <c r="C872" s="34"/>
    </row>
    <row r="873">
      <c r="A873" s="34"/>
      <c r="B873" s="34"/>
      <c r="C873" s="34"/>
    </row>
    <row r="874">
      <c r="A874" s="34"/>
      <c r="B874" s="34"/>
      <c r="C874" s="34"/>
    </row>
    <row r="875">
      <c r="A875" s="34"/>
      <c r="B875" s="34"/>
      <c r="C875" s="34"/>
    </row>
    <row r="876">
      <c r="A876" s="34"/>
      <c r="B876" s="34"/>
      <c r="C876" s="34"/>
    </row>
    <row r="877">
      <c r="A877" s="34"/>
      <c r="B877" s="34"/>
      <c r="C877" s="34"/>
    </row>
    <row r="878">
      <c r="A878" s="34"/>
      <c r="B878" s="34"/>
      <c r="C878" s="34"/>
    </row>
    <row r="879">
      <c r="A879" s="34"/>
      <c r="B879" s="34"/>
      <c r="C879" s="34"/>
    </row>
    <row r="880">
      <c r="A880" s="34"/>
      <c r="B880" s="34"/>
      <c r="C880" s="34"/>
    </row>
    <row r="881">
      <c r="A881" s="34"/>
      <c r="B881" s="34"/>
      <c r="C881" s="34"/>
    </row>
    <row r="882">
      <c r="A882" s="34"/>
      <c r="B882" s="34"/>
      <c r="C882" s="34"/>
    </row>
    <row r="883">
      <c r="A883" s="34"/>
      <c r="B883" s="34"/>
      <c r="C883" s="34"/>
    </row>
    <row r="884">
      <c r="A884" s="34"/>
      <c r="B884" s="34"/>
      <c r="C884" s="34"/>
    </row>
    <row r="885">
      <c r="A885" s="34"/>
      <c r="B885" s="34"/>
      <c r="C885" s="34"/>
    </row>
    <row r="886">
      <c r="A886" s="34"/>
      <c r="B886" s="34"/>
      <c r="C886" s="34"/>
    </row>
    <row r="887">
      <c r="A887" s="34"/>
      <c r="B887" s="34"/>
      <c r="C887" s="34"/>
    </row>
    <row r="888">
      <c r="A888" s="34"/>
      <c r="B888" s="34"/>
      <c r="C888" s="34"/>
    </row>
    <row r="889">
      <c r="A889" s="34"/>
      <c r="B889" s="34"/>
      <c r="C889" s="34"/>
    </row>
    <row r="890">
      <c r="A890" s="34"/>
      <c r="B890" s="34"/>
      <c r="C890" s="34"/>
    </row>
    <row r="891">
      <c r="A891" s="34"/>
      <c r="B891" s="34"/>
      <c r="C891" s="34"/>
    </row>
    <row r="892">
      <c r="A892" s="34"/>
      <c r="B892" s="34"/>
      <c r="C892" s="34"/>
    </row>
    <row r="893">
      <c r="A893" s="34"/>
      <c r="B893" s="34"/>
      <c r="C893" s="34"/>
    </row>
    <row r="894">
      <c r="A894" s="34"/>
      <c r="B894" s="34"/>
      <c r="C894" s="34"/>
    </row>
    <row r="895">
      <c r="A895" s="34"/>
      <c r="B895" s="34"/>
      <c r="C895" s="34"/>
    </row>
    <row r="896">
      <c r="A896" s="34"/>
      <c r="B896" s="34"/>
      <c r="C896" s="34"/>
    </row>
    <row r="897">
      <c r="A897" s="34"/>
      <c r="B897" s="34"/>
      <c r="C897" s="34"/>
    </row>
    <row r="898">
      <c r="A898" s="34"/>
      <c r="B898" s="34"/>
      <c r="C898" s="34"/>
    </row>
    <row r="899">
      <c r="A899" s="34"/>
      <c r="B899" s="34"/>
      <c r="C899" s="34"/>
    </row>
    <row r="900">
      <c r="A900" s="34"/>
      <c r="B900" s="34"/>
      <c r="C900" s="34"/>
    </row>
    <row r="901">
      <c r="A901" s="34"/>
      <c r="B901" s="34"/>
      <c r="C901" s="34"/>
    </row>
    <row r="902">
      <c r="A902" s="34"/>
      <c r="B902" s="34"/>
      <c r="C902" s="34"/>
    </row>
    <row r="903">
      <c r="A903" s="34"/>
      <c r="B903" s="34"/>
      <c r="C903" s="34"/>
    </row>
    <row r="904">
      <c r="A904" s="34"/>
      <c r="B904" s="34"/>
      <c r="C904" s="34"/>
    </row>
    <row r="905">
      <c r="A905" s="34"/>
      <c r="B905" s="34"/>
      <c r="C905" s="34"/>
    </row>
    <row r="906">
      <c r="A906" s="34"/>
      <c r="B906" s="34"/>
      <c r="C906" s="34"/>
    </row>
    <row r="907">
      <c r="A907" s="34"/>
      <c r="B907" s="34"/>
      <c r="C907" s="34"/>
    </row>
    <row r="908">
      <c r="A908" s="34"/>
      <c r="B908" s="34"/>
      <c r="C908" s="34"/>
    </row>
    <row r="909">
      <c r="A909" s="34"/>
      <c r="B909" s="34"/>
      <c r="C909" s="34"/>
    </row>
    <row r="910">
      <c r="A910" s="34"/>
      <c r="B910" s="34"/>
      <c r="C910" s="34"/>
    </row>
    <row r="911">
      <c r="A911" s="34"/>
      <c r="B911" s="34"/>
      <c r="C911" s="34"/>
    </row>
    <row r="912">
      <c r="A912" s="34"/>
      <c r="B912" s="34"/>
      <c r="C912" s="34"/>
    </row>
    <row r="913">
      <c r="A913" s="34"/>
      <c r="B913" s="34"/>
      <c r="C913" s="34"/>
    </row>
    <row r="914">
      <c r="A914" s="34"/>
      <c r="B914" s="34"/>
      <c r="C914" s="34"/>
    </row>
    <row r="915">
      <c r="A915" s="34"/>
      <c r="B915" s="34"/>
      <c r="C915" s="34"/>
    </row>
    <row r="916">
      <c r="A916" s="34"/>
      <c r="B916" s="34"/>
      <c r="C916" s="34"/>
    </row>
    <row r="917">
      <c r="A917" s="34"/>
      <c r="B917" s="34"/>
      <c r="C917" s="34"/>
    </row>
    <row r="918">
      <c r="A918" s="34"/>
      <c r="B918" s="34"/>
      <c r="C918" s="34"/>
    </row>
    <row r="919">
      <c r="A919" s="34"/>
      <c r="B919" s="34"/>
      <c r="C919" s="34"/>
    </row>
    <row r="920">
      <c r="A920" s="34"/>
      <c r="B920" s="34"/>
      <c r="C920" s="34"/>
    </row>
    <row r="921">
      <c r="A921" s="34"/>
      <c r="B921" s="34"/>
      <c r="C921" s="34"/>
    </row>
    <row r="922">
      <c r="A922" s="34"/>
      <c r="B922" s="34"/>
      <c r="C922" s="34"/>
    </row>
    <row r="923">
      <c r="A923" s="34"/>
      <c r="B923" s="34"/>
      <c r="C923" s="34"/>
    </row>
    <row r="924">
      <c r="A924" s="34"/>
      <c r="B924" s="34"/>
      <c r="C924" s="34"/>
    </row>
    <row r="925">
      <c r="A925" s="34"/>
      <c r="B925" s="34"/>
      <c r="C925" s="34"/>
    </row>
    <row r="926">
      <c r="A926" s="34"/>
      <c r="B926" s="34"/>
      <c r="C926" s="34"/>
    </row>
    <row r="927">
      <c r="A927" s="34"/>
      <c r="B927" s="34"/>
      <c r="C927" s="34"/>
    </row>
    <row r="928">
      <c r="A928" s="34"/>
      <c r="B928" s="34"/>
      <c r="C928" s="34"/>
    </row>
    <row r="929">
      <c r="A929" s="34"/>
      <c r="B929" s="34"/>
      <c r="C929" s="34"/>
    </row>
    <row r="930">
      <c r="A930" s="34"/>
      <c r="B930" s="34"/>
      <c r="C930" s="34"/>
    </row>
    <row r="931">
      <c r="A931" s="34"/>
      <c r="B931" s="34"/>
      <c r="C931" s="34"/>
    </row>
    <row r="932">
      <c r="A932" s="34"/>
      <c r="B932" s="34"/>
      <c r="C932" s="34"/>
    </row>
    <row r="933">
      <c r="A933" s="34"/>
      <c r="B933" s="34"/>
      <c r="C933" s="34"/>
    </row>
    <row r="934">
      <c r="A934" s="34"/>
      <c r="B934" s="34"/>
      <c r="C934" s="34"/>
    </row>
    <row r="935">
      <c r="A935" s="34"/>
      <c r="B935" s="34"/>
      <c r="C935" s="34"/>
    </row>
    <row r="936">
      <c r="A936" s="34"/>
      <c r="B936" s="34"/>
      <c r="C936" s="34"/>
    </row>
    <row r="937">
      <c r="A937" s="34"/>
      <c r="B937" s="34"/>
      <c r="C937" s="34"/>
    </row>
    <row r="938">
      <c r="A938" s="34"/>
      <c r="B938" s="34"/>
      <c r="C938" s="34"/>
    </row>
    <row r="939">
      <c r="A939" s="34"/>
      <c r="B939" s="34"/>
      <c r="C939" s="34"/>
    </row>
    <row r="940">
      <c r="A940" s="34"/>
      <c r="B940" s="34"/>
      <c r="C940" s="34"/>
    </row>
    <row r="941">
      <c r="A941" s="34"/>
      <c r="B941" s="34"/>
      <c r="C941" s="34"/>
    </row>
    <row r="942">
      <c r="A942" s="34"/>
      <c r="B942" s="34"/>
      <c r="C942" s="34"/>
    </row>
    <row r="943">
      <c r="A943" s="34"/>
      <c r="B943" s="34"/>
      <c r="C943" s="34"/>
    </row>
    <row r="944">
      <c r="A944" s="34"/>
      <c r="B944" s="34"/>
      <c r="C944" s="34"/>
    </row>
    <row r="945">
      <c r="A945" s="34"/>
      <c r="B945" s="34"/>
      <c r="C945" s="34"/>
    </row>
    <row r="946">
      <c r="A946" s="34"/>
      <c r="B946" s="34"/>
      <c r="C946" s="34"/>
    </row>
    <row r="947">
      <c r="A947" s="34"/>
      <c r="B947" s="34"/>
      <c r="C947" s="34"/>
    </row>
    <row r="948">
      <c r="A948" s="34"/>
      <c r="B948" s="34"/>
      <c r="C948" s="34"/>
    </row>
    <row r="949">
      <c r="A949" s="34"/>
      <c r="B949" s="34"/>
      <c r="C949" s="34"/>
    </row>
    <row r="950">
      <c r="A950" s="34"/>
      <c r="B950" s="34"/>
      <c r="C950" s="34"/>
    </row>
    <row r="951">
      <c r="A951" s="34"/>
      <c r="B951" s="34"/>
      <c r="C951" s="34"/>
    </row>
    <row r="952">
      <c r="A952" s="34"/>
      <c r="B952" s="34"/>
      <c r="C952" s="34"/>
    </row>
    <row r="953">
      <c r="A953" s="34"/>
      <c r="B953" s="34"/>
      <c r="C953" s="34"/>
    </row>
    <row r="954">
      <c r="A954" s="34"/>
      <c r="B954" s="34"/>
      <c r="C954" s="34"/>
    </row>
    <row r="955">
      <c r="A955" s="34"/>
      <c r="B955" s="34"/>
      <c r="C955" s="34"/>
    </row>
    <row r="956">
      <c r="A956" s="34"/>
      <c r="B956" s="34"/>
      <c r="C956" s="34"/>
    </row>
    <row r="957">
      <c r="A957" s="34"/>
      <c r="B957" s="34"/>
      <c r="C957" s="34"/>
    </row>
    <row r="958">
      <c r="A958" s="34"/>
      <c r="B958" s="34"/>
      <c r="C958" s="34"/>
    </row>
    <row r="959">
      <c r="A959" s="34"/>
      <c r="B959" s="34"/>
      <c r="C959" s="34"/>
    </row>
    <row r="960">
      <c r="A960" s="34"/>
      <c r="B960" s="34"/>
      <c r="C960" s="34"/>
    </row>
    <row r="961">
      <c r="A961" s="34"/>
      <c r="B961" s="34"/>
      <c r="C961" s="34"/>
    </row>
    <row r="962">
      <c r="A962" s="34"/>
      <c r="B962" s="34"/>
      <c r="C962" s="34"/>
    </row>
    <row r="963">
      <c r="A963" s="34"/>
      <c r="B963" s="34"/>
      <c r="C963" s="34"/>
    </row>
    <row r="964">
      <c r="A964" s="34"/>
      <c r="B964" s="34"/>
      <c r="C964" s="34"/>
    </row>
    <row r="965">
      <c r="A965" s="34"/>
      <c r="B965" s="34"/>
      <c r="C965" s="34"/>
    </row>
    <row r="966">
      <c r="A966" s="34"/>
      <c r="B966" s="34"/>
      <c r="C966" s="34"/>
    </row>
    <row r="967">
      <c r="A967" s="34"/>
      <c r="B967" s="34"/>
      <c r="C967" s="34"/>
    </row>
    <row r="968">
      <c r="A968" s="34"/>
      <c r="B968" s="34"/>
      <c r="C968" s="34"/>
    </row>
    <row r="969">
      <c r="A969" s="34"/>
      <c r="B969" s="34"/>
      <c r="C969" s="34"/>
    </row>
    <row r="970">
      <c r="A970" s="34"/>
      <c r="B970" s="34"/>
      <c r="C970" s="34"/>
    </row>
    <row r="971">
      <c r="A971" s="34"/>
      <c r="B971" s="34"/>
      <c r="C971" s="34"/>
    </row>
    <row r="972">
      <c r="A972" s="34"/>
      <c r="B972" s="34"/>
      <c r="C972" s="34"/>
    </row>
    <row r="973">
      <c r="A973" s="34"/>
      <c r="B973" s="34"/>
      <c r="C973" s="34"/>
    </row>
    <row r="974">
      <c r="A974" s="34"/>
      <c r="B974" s="34"/>
      <c r="C974" s="34"/>
    </row>
    <row r="975">
      <c r="A975" s="34"/>
      <c r="B975" s="34"/>
      <c r="C975" s="34"/>
    </row>
    <row r="976">
      <c r="A976" s="34"/>
      <c r="B976" s="34"/>
      <c r="C976" s="34"/>
    </row>
    <row r="977">
      <c r="A977" s="34"/>
      <c r="B977" s="34"/>
      <c r="C977" s="34"/>
    </row>
    <row r="978">
      <c r="A978" s="34"/>
      <c r="B978" s="34"/>
      <c r="C978" s="34"/>
    </row>
    <row r="979">
      <c r="A979" s="34"/>
      <c r="B979" s="34"/>
      <c r="C979" s="34"/>
    </row>
    <row r="980">
      <c r="A980" s="34"/>
      <c r="B980" s="34"/>
      <c r="C980" s="34"/>
    </row>
    <row r="981">
      <c r="A981" s="34"/>
      <c r="B981" s="34"/>
      <c r="C981" s="34"/>
    </row>
    <row r="982">
      <c r="A982" s="34"/>
      <c r="B982" s="34"/>
      <c r="C982" s="34"/>
    </row>
    <row r="983">
      <c r="A983" s="34"/>
      <c r="B983" s="34"/>
      <c r="C983" s="34"/>
    </row>
    <row r="984">
      <c r="A984" s="34"/>
      <c r="B984" s="34"/>
      <c r="C984" s="34"/>
    </row>
    <row r="985">
      <c r="A985" s="34"/>
      <c r="B985" s="34"/>
      <c r="C985" s="34"/>
    </row>
    <row r="986">
      <c r="A986" s="34"/>
      <c r="B986" s="34"/>
      <c r="C986" s="34"/>
    </row>
    <row r="987">
      <c r="A987" s="34"/>
      <c r="B987" s="34"/>
      <c r="C987" s="34"/>
    </row>
    <row r="988">
      <c r="A988" s="34"/>
      <c r="B988" s="34"/>
      <c r="C988" s="34"/>
    </row>
    <row r="989">
      <c r="A989" s="34"/>
      <c r="B989" s="34"/>
      <c r="C989" s="34"/>
    </row>
    <row r="990">
      <c r="A990" s="34"/>
      <c r="B990" s="34"/>
      <c r="C990" s="34"/>
    </row>
    <row r="991">
      <c r="A991" s="34"/>
      <c r="B991" s="34"/>
      <c r="C991" s="34"/>
    </row>
    <row r="992">
      <c r="A992" s="34"/>
      <c r="B992" s="34"/>
      <c r="C992" s="34"/>
    </row>
    <row r="993">
      <c r="A993" s="34"/>
      <c r="B993" s="34"/>
      <c r="C993" s="34"/>
    </row>
    <row r="994">
      <c r="A994" s="34"/>
      <c r="B994" s="34"/>
      <c r="C994" s="34"/>
    </row>
    <row r="995">
      <c r="A995" s="34"/>
      <c r="B995" s="34"/>
      <c r="C995" s="34"/>
    </row>
    <row r="996">
      <c r="A996" s="34"/>
      <c r="B996" s="34"/>
      <c r="C996" s="34"/>
    </row>
    <row r="997">
      <c r="A997" s="34"/>
      <c r="B997" s="34"/>
      <c r="C997" s="34"/>
    </row>
    <row r="998">
      <c r="A998" s="34"/>
      <c r="B998" s="34"/>
      <c r="C998" s="34"/>
    </row>
    <row r="999">
      <c r="A999" s="34"/>
      <c r="B999" s="34"/>
      <c r="C999" s="34"/>
    </row>
    <row r="1000">
      <c r="A1000" s="34"/>
      <c r="B1000" s="34"/>
      <c r="C1000" s="34"/>
    </row>
  </sheetData>
  <mergeCells count="7">
    <mergeCell ref="E20:N20"/>
    <mergeCell ref="E21:N21"/>
    <mergeCell ref="E22:N22"/>
    <mergeCell ref="E23:N23"/>
    <mergeCell ref="E24:N24"/>
    <mergeCell ref="E25:N25"/>
    <mergeCell ref="E26:N2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3" t="str">
        <f>'Diseño Curricular'!B1</f>
        <v>786 - Sistemas Organizacionales y Gerenciales 1</v>
      </c>
      <c r="I1" s="18"/>
      <c r="J1" s="18"/>
      <c r="K1" s="18"/>
      <c r="L1" s="18"/>
      <c r="M1" s="18"/>
      <c r="N1" s="18"/>
      <c r="O1" s="18"/>
      <c r="P1" s="18"/>
      <c r="Q1" s="18"/>
      <c r="R1" s="18"/>
      <c r="S1" s="18"/>
      <c r="T1" s="18"/>
      <c r="U1" s="18"/>
      <c r="V1" s="18"/>
      <c r="W1" s="18"/>
      <c r="X1" s="18"/>
      <c r="Y1" s="18"/>
    </row>
    <row r="2">
      <c r="A2" s="64" t="s">
        <v>139</v>
      </c>
      <c r="B2" s="65"/>
      <c r="C2" s="65"/>
      <c r="D2" s="65"/>
      <c r="E2" s="65"/>
      <c r="F2" s="65"/>
      <c r="G2" s="65"/>
      <c r="H2" s="65"/>
      <c r="I2" s="65"/>
      <c r="J2" s="65"/>
      <c r="K2" s="65"/>
      <c r="L2" s="65"/>
      <c r="M2" s="65"/>
      <c r="N2" s="18"/>
      <c r="O2" s="18"/>
      <c r="P2" s="18"/>
      <c r="Q2" s="18"/>
      <c r="R2" s="18"/>
      <c r="S2" s="18"/>
      <c r="T2" s="18"/>
      <c r="U2" s="18"/>
      <c r="V2" s="18"/>
      <c r="W2" s="18"/>
      <c r="X2" s="18"/>
      <c r="Y2" s="18"/>
    </row>
    <row r="3">
      <c r="A3" s="19" t="s">
        <v>228</v>
      </c>
      <c r="B3" s="19" t="s">
        <v>229</v>
      </c>
      <c r="C3" s="19" t="s">
        <v>230</v>
      </c>
      <c r="D3" s="19" t="s">
        <v>231</v>
      </c>
      <c r="E3" s="19" t="s">
        <v>232</v>
      </c>
      <c r="F3" s="19" t="s">
        <v>233</v>
      </c>
      <c r="G3" s="19" t="s">
        <v>234</v>
      </c>
      <c r="H3" s="19" t="s">
        <v>235</v>
      </c>
      <c r="I3" s="19" t="s">
        <v>236</v>
      </c>
      <c r="J3" s="19" t="s">
        <v>237</v>
      </c>
      <c r="K3" s="19" t="s">
        <v>238</v>
      </c>
      <c r="L3" s="19" t="s">
        <v>239</v>
      </c>
      <c r="M3" s="19" t="s">
        <v>240</v>
      </c>
      <c r="N3" s="18"/>
      <c r="O3" s="18"/>
      <c r="P3" s="18"/>
      <c r="Q3" s="18"/>
      <c r="R3" s="18"/>
      <c r="S3" s="18"/>
      <c r="T3" s="18"/>
      <c r="U3" s="18"/>
      <c r="V3" s="18"/>
      <c r="W3" s="18"/>
      <c r="X3" s="18"/>
      <c r="Y3" s="18"/>
    </row>
    <row r="4">
      <c r="A4" s="19"/>
      <c r="B4" s="18">
        <f>S.1!$B$11</f>
        <v>0</v>
      </c>
      <c r="C4" s="18">
        <f>S.2!$B$11</f>
        <v>0</v>
      </c>
      <c r="D4" s="18">
        <f>S.3!$B$11</f>
        <v>0</v>
      </c>
      <c r="E4" s="18">
        <f>S.4!$B$11</f>
        <v>0</v>
      </c>
      <c r="F4" s="18">
        <f>S.5!$B$11</f>
        <v>0</v>
      </c>
      <c r="G4" s="18">
        <f>S.6!$B$11</f>
        <v>0</v>
      </c>
      <c r="H4" s="18">
        <f>S.7!$B$11</f>
        <v>0</v>
      </c>
      <c r="I4" s="18">
        <f>S.8!$B$11</f>
        <v>0</v>
      </c>
      <c r="J4" s="18">
        <f>S.9!$B$11</f>
        <v>0</v>
      </c>
      <c r="K4" s="18">
        <f>S.10!$B$11</f>
        <v>0</v>
      </c>
      <c r="L4" s="18">
        <f>S.11!$B$11</f>
        <v>0</v>
      </c>
      <c r="M4" s="66">
        <f>SUM(B4:L4)</f>
        <v>0</v>
      </c>
      <c r="N4" s="18"/>
      <c r="O4" s="18"/>
      <c r="P4" s="18"/>
      <c r="Q4" s="18"/>
      <c r="R4" s="18"/>
      <c r="S4" s="18"/>
      <c r="T4" s="18"/>
      <c r="U4" s="18"/>
      <c r="V4" s="18"/>
      <c r="W4" s="18"/>
      <c r="X4" s="18"/>
      <c r="Y4" s="18"/>
    </row>
    <row r="5">
      <c r="A5" s="19" t="s">
        <v>241</v>
      </c>
      <c r="B5" s="18"/>
      <c r="C5" s="18"/>
      <c r="D5" s="18"/>
      <c r="E5" s="18"/>
      <c r="F5" s="18"/>
      <c r="G5" s="18"/>
      <c r="H5" s="18"/>
      <c r="I5" s="18"/>
      <c r="J5" s="18"/>
      <c r="K5" s="18"/>
      <c r="L5" s="18"/>
      <c r="M5" s="66">
        <f>Proyectos!H3</f>
        <v>60</v>
      </c>
      <c r="N5" s="18"/>
      <c r="O5" s="18"/>
      <c r="P5" s="18"/>
      <c r="Q5" s="18"/>
      <c r="R5" s="18"/>
      <c r="S5" s="18"/>
      <c r="T5" s="18"/>
      <c r="U5" s="18"/>
      <c r="V5" s="18"/>
      <c r="W5" s="18"/>
      <c r="X5" s="18"/>
      <c r="Y5" s="18"/>
    </row>
    <row r="6">
      <c r="A6" s="19" t="s">
        <v>242</v>
      </c>
      <c r="B6" s="18"/>
      <c r="C6" s="18"/>
      <c r="D6" s="18"/>
      <c r="E6" s="18"/>
      <c r="F6" s="18"/>
      <c r="G6" s="18"/>
      <c r="H6" s="18"/>
      <c r="I6" s="18"/>
      <c r="J6" s="18"/>
      <c r="K6" s="18"/>
      <c r="L6" s="18"/>
      <c r="M6" s="66">
        <f>Practicas!H3</f>
        <v>30</v>
      </c>
      <c r="N6" s="18"/>
      <c r="O6" s="18"/>
      <c r="P6" s="18"/>
      <c r="Q6" s="18"/>
      <c r="R6" s="18"/>
      <c r="S6" s="18"/>
      <c r="T6" s="18"/>
      <c r="U6" s="18"/>
      <c r="V6" s="18"/>
      <c r="W6" s="18"/>
      <c r="X6" s="18"/>
      <c r="Y6" s="18"/>
    </row>
    <row r="7">
      <c r="A7" s="19" t="s">
        <v>243</v>
      </c>
      <c r="B7" s="18"/>
      <c r="C7" s="18"/>
      <c r="D7" s="18"/>
      <c r="E7" s="18"/>
      <c r="F7" s="18"/>
      <c r="G7" s="18"/>
      <c r="H7" s="18"/>
      <c r="I7" s="18"/>
      <c r="J7" s="18"/>
      <c r="K7" s="18"/>
      <c r="L7" s="18"/>
      <c r="M7" s="66">
        <f>Tareas!H3</f>
        <v>0</v>
      </c>
      <c r="N7" s="18"/>
      <c r="O7" s="18"/>
      <c r="P7" s="18"/>
      <c r="Q7" s="18"/>
      <c r="R7" s="18"/>
      <c r="S7" s="18"/>
      <c r="T7" s="18"/>
      <c r="U7" s="18"/>
      <c r="V7" s="18"/>
      <c r="W7" s="18"/>
      <c r="X7" s="18"/>
      <c r="Y7" s="18"/>
    </row>
    <row r="8">
      <c r="A8" s="19" t="s">
        <v>244</v>
      </c>
      <c r="B8" s="23"/>
      <c r="C8" s="23"/>
      <c r="D8" s="23"/>
      <c r="E8" s="23"/>
      <c r="F8" s="23"/>
      <c r="G8" s="23"/>
      <c r="H8" s="23"/>
      <c r="I8" s="23"/>
      <c r="J8" s="23"/>
      <c r="K8" s="23"/>
      <c r="L8" s="23"/>
      <c r="M8" s="52">
        <v>10.0</v>
      </c>
      <c r="N8" s="18"/>
      <c r="O8" s="18"/>
      <c r="P8" s="18"/>
      <c r="Q8" s="18"/>
      <c r="R8" s="18"/>
      <c r="S8" s="18"/>
      <c r="T8" s="18"/>
      <c r="U8" s="18"/>
      <c r="V8" s="18"/>
      <c r="W8" s="18"/>
      <c r="X8" s="18"/>
      <c r="Y8" s="18"/>
    </row>
    <row r="9">
      <c r="A9" s="67" t="s">
        <v>240</v>
      </c>
      <c r="M9" s="68">
        <f>SUM(M4:M8)</f>
        <v>100</v>
      </c>
      <c r="N9" s="18"/>
      <c r="O9" s="18"/>
      <c r="P9" s="18"/>
      <c r="Q9" s="18"/>
      <c r="R9" s="18"/>
      <c r="S9" s="18"/>
      <c r="T9" s="18"/>
      <c r="U9" s="18"/>
      <c r="V9" s="18"/>
      <c r="W9" s="18"/>
      <c r="X9" s="18"/>
      <c r="Y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row>
    <row r="12">
      <c r="A12" s="64" t="s">
        <v>245</v>
      </c>
      <c r="B12" s="65"/>
      <c r="C12" s="65"/>
      <c r="D12" s="65"/>
      <c r="E12" s="65"/>
      <c r="F12" s="65"/>
      <c r="G12" s="65"/>
      <c r="H12" s="65"/>
      <c r="I12" s="65"/>
      <c r="J12" s="65"/>
      <c r="K12" s="65"/>
      <c r="L12" s="65"/>
      <c r="M12" s="65"/>
      <c r="N12" s="18"/>
      <c r="O12" s="18"/>
      <c r="P12" s="18"/>
      <c r="Q12" s="18"/>
      <c r="R12" s="18"/>
      <c r="S12" s="18"/>
      <c r="T12" s="18"/>
      <c r="U12" s="18"/>
      <c r="V12" s="18"/>
      <c r="W12" s="18"/>
      <c r="X12" s="18"/>
      <c r="Y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row>
    <row r="14">
      <c r="A14" s="19" t="s">
        <v>241</v>
      </c>
      <c r="B14" s="18"/>
      <c r="C14" s="18"/>
      <c r="D14" s="18"/>
      <c r="E14" s="18"/>
      <c r="F14" s="18"/>
      <c r="G14" s="18"/>
      <c r="H14" s="18"/>
      <c r="I14" s="18"/>
      <c r="J14" s="18"/>
      <c r="K14" s="18"/>
      <c r="L14" s="18"/>
      <c r="M14" s="18">
        <f>Proyectos!C9+Proyectos!C33+Proyectos!C57</f>
        <v>50</v>
      </c>
      <c r="N14" s="18"/>
      <c r="O14" s="18"/>
      <c r="P14" s="18"/>
      <c r="Q14" s="18"/>
      <c r="R14" s="18"/>
      <c r="S14" s="18"/>
      <c r="T14" s="18"/>
      <c r="U14" s="18"/>
      <c r="V14" s="18"/>
      <c r="W14" s="18"/>
      <c r="X14" s="18"/>
      <c r="Y14" s="18"/>
    </row>
    <row r="15">
      <c r="A15" s="19" t="s">
        <v>242</v>
      </c>
      <c r="B15" s="18"/>
      <c r="C15" s="18"/>
      <c r="D15" s="18"/>
      <c r="E15" s="18"/>
      <c r="F15" s="18"/>
      <c r="G15" s="18"/>
      <c r="H15" s="18"/>
      <c r="I15" s="18"/>
      <c r="J15" s="18"/>
      <c r="K15" s="18"/>
      <c r="L15" s="18"/>
      <c r="M15" s="18">
        <f>Practicas!C9+Practicas!C33+Practicas!C57+Practicas!C81+Practicas!C105+Practicas!C129+Practicas!C153</f>
        <v>45</v>
      </c>
      <c r="N15" s="18"/>
      <c r="O15" s="18"/>
      <c r="P15" s="18"/>
      <c r="Q15" s="18"/>
      <c r="R15" s="18"/>
      <c r="S15" s="18"/>
      <c r="T15" s="18"/>
      <c r="U15" s="18"/>
      <c r="V15" s="18"/>
      <c r="W15" s="18"/>
      <c r="X15" s="18"/>
      <c r="Y15" s="18"/>
    </row>
    <row r="16">
      <c r="A16" s="19" t="s">
        <v>243</v>
      </c>
      <c r="B16" s="18"/>
      <c r="C16" s="18"/>
      <c r="D16" s="18"/>
      <c r="E16" s="18"/>
      <c r="F16" s="18"/>
      <c r="G16" s="18"/>
      <c r="H16" s="18"/>
      <c r="I16" s="18"/>
      <c r="J16" s="18"/>
      <c r="K16" s="18"/>
      <c r="L16" s="18"/>
      <c r="M16" s="18">
        <f>Tareas!C9+Tareas!C33+Tareas!C57+Tareas!C81+Tareas!C105+Tareas!C153</f>
        <v>0</v>
      </c>
      <c r="N16" s="18"/>
      <c r="O16" s="18"/>
      <c r="P16" s="18"/>
      <c r="Q16" s="18"/>
      <c r="R16" s="18"/>
      <c r="S16" s="18"/>
      <c r="T16" s="18"/>
      <c r="U16" s="18"/>
      <c r="V16" s="18"/>
      <c r="W16" s="18"/>
      <c r="X16" s="18"/>
      <c r="Y16" s="18"/>
    </row>
    <row r="17">
      <c r="A17" s="67" t="s">
        <v>240</v>
      </c>
      <c r="M17" s="69">
        <f>SUM(M14:M16)</f>
        <v>95</v>
      </c>
      <c r="N17" s="18"/>
      <c r="O17" s="18"/>
      <c r="P17" s="18"/>
      <c r="Q17" s="18"/>
      <c r="R17" s="18"/>
      <c r="S17" s="18"/>
      <c r="T17" s="18"/>
      <c r="U17" s="18"/>
      <c r="V17" s="18"/>
      <c r="W17" s="18"/>
      <c r="X17" s="18"/>
      <c r="Y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c r="A20" s="70"/>
      <c r="B20" s="18"/>
      <c r="C20" s="18"/>
      <c r="D20" s="18"/>
      <c r="E20" s="18"/>
      <c r="F20" s="18"/>
      <c r="G20" s="18"/>
      <c r="H20" s="18"/>
      <c r="I20" s="18"/>
      <c r="J20" s="18"/>
      <c r="K20" s="18"/>
      <c r="L20" s="18"/>
      <c r="M20" s="18"/>
      <c r="N20" s="18"/>
      <c r="O20" s="18"/>
      <c r="P20" s="18"/>
      <c r="Q20" s="18"/>
      <c r="R20" s="18"/>
      <c r="S20" s="18"/>
      <c r="T20" s="18"/>
      <c r="U20" s="18"/>
      <c r="V20" s="18"/>
      <c r="W20" s="18"/>
      <c r="X20" s="18"/>
      <c r="Y20" s="18"/>
    </row>
    <row r="21">
      <c r="A21" s="71"/>
      <c r="B21" s="18"/>
      <c r="C21" s="18"/>
      <c r="D21" s="18"/>
      <c r="E21" s="18"/>
      <c r="F21" s="18"/>
      <c r="G21" s="18"/>
      <c r="H21" s="18"/>
      <c r="I21" s="18"/>
      <c r="J21" s="18"/>
      <c r="K21" s="18"/>
      <c r="L21" s="18"/>
      <c r="M21" s="18"/>
      <c r="N21" s="18"/>
      <c r="O21" s="18"/>
      <c r="P21" s="18"/>
      <c r="Q21" s="18"/>
      <c r="R21" s="18"/>
      <c r="S21" s="18"/>
      <c r="T21" s="18"/>
      <c r="U21" s="18"/>
      <c r="V21" s="18"/>
      <c r="W21" s="18"/>
      <c r="X21" s="18"/>
      <c r="Y21" s="18"/>
    </row>
    <row r="22">
      <c r="A22" s="70"/>
      <c r="B22" s="18"/>
      <c r="C22" s="18"/>
      <c r="D22" s="18"/>
      <c r="E22" s="18"/>
      <c r="F22" s="18"/>
      <c r="G22" s="18"/>
      <c r="H22" s="18"/>
      <c r="I22" s="18"/>
      <c r="J22" s="18"/>
      <c r="K22" s="18"/>
      <c r="L22" s="18"/>
      <c r="M22" s="18"/>
      <c r="N22" s="18"/>
      <c r="O22" s="18"/>
      <c r="P22" s="18"/>
      <c r="Q22" s="18"/>
      <c r="R22" s="18"/>
      <c r="S22" s="18"/>
      <c r="T22" s="18"/>
      <c r="U22" s="18"/>
      <c r="V22" s="18"/>
      <c r="W22" s="18"/>
      <c r="X22" s="18"/>
      <c r="Y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row>
  </sheetData>
  <mergeCells count="3">
    <mergeCell ref="B1:H1"/>
    <mergeCell ref="A9:L9"/>
    <mergeCell ref="A17:L17"/>
  </mergeCells>
  <drawing r:id="rId1"/>
</worksheet>
</file>
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formación General" sheetId="1" r:id="rId4"/>
    <sheet state="visible" name="DC Lab Prerrequisito" sheetId="2" r:id="rId5"/>
    <sheet state="visible" name="DC laboratorio" sheetId="3" r:id="rId6"/>
    <sheet state="visible" name="Analisis Curso Vrs Laboratorio" sheetId="4" r:id="rId7"/>
    <sheet state="visible" name="DC Lab Posterior" sheetId="5" r:id="rId8"/>
    <sheet state="hidden" name="MetaData" sheetId="6" r:id="rId9"/>
    <sheet state="visible" name="Competencias" sheetId="7" r:id="rId10"/>
  </sheets>
  <definedNames>
    <definedName name="MY_FUNCTION1">LAMBDA(QUERY(#REF!,
"SELECT B, C WHERE A = '" &amp;
LOOKUP('Información General'!$C$3,#REF!,5,FALSE) &amp; "'", 0))</definedName>
  </definedNames>
  <calcPr/>
</workbook>
</file>

<file path=xl/sharedStrings.xml><?xml version="1.0" encoding="utf-8"?>
<sst xmlns="http://schemas.openxmlformats.org/spreadsheetml/2006/main" count="245" uniqueCount="179">
  <si>
    <t>Nombre del Curso</t>
  </si>
  <si>
    <t>↖️</t>
  </si>
  <si>
    <t>Código del Curso</t>
  </si>
  <si>
    <t>724 - Teoría de Sistemas 2</t>
  </si>
  <si>
    <t>Semestre</t>
  </si>
  <si>
    <t xml:space="preserve">Nota: Para ver la descripcion del contexto salamente deves selecciónar el curso del cual lo deseas ver, y podras observar todo el analisis del mismo. </t>
  </si>
  <si>
    <t>Área de Conocimiento</t>
  </si>
  <si>
    <t>Cantidad de Creditos</t>
  </si>
  <si>
    <t>Horas de aprendizaje</t>
  </si>
  <si>
    <t>Descripción del Contexto</t>
  </si>
  <si>
    <t xml:space="preserve">Que cursos prerrequisito tiene
</t>
  </si>
  <si>
    <t>Cursos que lleva en el mismo semestre</t>
  </si>
  <si>
    <t>Qué cursos posteriores dependen de este</t>
  </si>
  <si>
    <t>No.</t>
  </si>
  <si>
    <t>Codigo</t>
  </si>
  <si>
    <t>Nombre</t>
  </si>
  <si>
    <t>Expectativas  y/o Criterios del laboratorio</t>
  </si>
  <si>
    <t>Nombre del Catedratico</t>
  </si>
  <si>
    <t>Nombre - Apellido</t>
  </si>
  <si>
    <t>Expectativa</t>
  </si>
  <si>
    <t>Criterio</t>
  </si>
  <si>
    <t>Nota: Seleccione el nombre del catedratico para proceder a su diagnostico.</t>
  </si>
  <si>
    <t>Curso Anterior</t>
  </si>
  <si>
    <t xml:space="preserve">Para ver el contenido de un curso Predecesor a este deve seleccionar el curso que desea ver. </t>
  </si>
  <si>
    <t>Teoría de Sistemas 1</t>
  </si>
  <si>
    <t>⬅️</t>
  </si>
  <si>
    <t>Competencia</t>
  </si>
  <si>
    <t>Unidad</t>
  </si>
  <si>
    <t>Tema</t>
  </si>
  <si>
    <t>Subtema</t>
  </si>
  <si>
    <t>Mes</t>
  </si>
  <si>
    <t>Semana</t>
  </si>
  <si>
    <t>Temas Laboratorio</t>
  </si>
  <si>
    <t>Curso vs Laboratorio</t>
  </si>
  <si>
    <t>Curso Magistral</t>
  </si>
  <si>
    <t>Curso Laboratorio</t>
  </si>
  <si>
    <t>Alineación</t>
  </si>
  <si>
    <t>Analisis</t>
  </si>
  <si>
    <t>Recomendación</t>
  </si>
  <si>
    <t>UNIDAD 1</t>
  </si>
  <si>
    <t>Sistemas para la entrega de valor y proyectos</t>
  </si>
  <si>
    <t>1.1. El concepto del valor
1.2. La dinámica de creación del valor
1.3. La definición de Proyecto y los factores de éxito
principales
1.4. Sistemas de gobernanza organizacional
1.5. Funciones asociadas con proyectos
1.6. El entorno del proyecto
1.6.1.Factores internos
1.6.2.Factores externos
1.7. Gestión de productos y su relación con proyectos
1.8. Un proyecto como sistema y la lista de subsistemas o dominios del desempeño</t>
  </si>
  <si>
    <t>Semana 1: Definiendo el alcance general del proyecto
Introducción a la definición del alcance
Componentes clave del alcance
Métodos para identificar requerimientos
Herramientas de recolección de información
Diferencia entre objetivos y metas
Análisis de interesados y su impacto en el alcance
Validación y control del alcance
Semana 2: Desarrollo del acta de inicio del proyecto
Propósito del acta de inicio
Componentes esenciales del acta
Establecimiento de objetivos claros y medibles
Identificación de los interesados clave
Alcance preliminar del proyecto
Aprobación formal del proyecto
Roles y responsabilidades del equipo del proyecto
Semana 3: Estructura de desglose de trabajo (EDT)
Introducción a la EDT (WBS)
Componentes jerárquicos de la EDT
Descomposición de tareas y entregables
Niveles de la EDT
Herramientas para crear una EDT
Relación entre la EDT y el cronograma
Ejemplos de EDT en proyectos reales</t>
  </si>
  <si>
    <t>Alta</t>
  </si>
  <si>
    <t>Ninguno, están bien alineados</t>
  </si>
  <si>
    <t>Mantener esta sincronización</t>
  </si>
  <si>
    <t>UNIDAD 2</t>
  </si>
  <si>
    <t xml:space="preserve">Dominio del desempeño del enfoque de desarrollo y
ciclo de vida
</t>
  </si>
  <si>
    <t xml:space="preserve">2.1. Introducción al enfoque de desarrollo predictivo y
ciclo de vida líneal o en cascada
2.1.1.Fases secuenciales del ciclo de vida
2.1.2.Grupos de procesos de gestión de proyectos
2.2. Introducción al enfoque de desarrollo adaptativo/ágil
y ciclo de vida iterativo.
2.2.1.Principios del manifiesto ágil
2.2.2.Ciclo iterativo general
2.2.3.Marcos de trabajo ágil
2.3. Introducción al enfoque de desarrollo híbrido
2.3.1.Múltiples entregables con enfoque de
desarrollo y ciclo de vida diverso
2.3.2.Combinación de ciclos de vida y enfoques de
desarrollo diversos
</t>
  </si>
  <si>
    <t>Semana 4: Cronograma de proyecto - Plan de tiempo
Importancia del cronograma en la gestión de proyectos
Diagramas de Gantt y otros métodos visuales
Estimación de la duración de tareas
Dependencias entre tareas (precedencia)
Técnicas de optimización de tiempos (fast-tracking, crashing)
Uso de software para la creación de cronogramas
(Project Libre)
Monitoreo y actualización del cronograma
Semana 5: Presupuesto del proyecto - Plan de costos
Componentes del presupuesto de un proyecto
Tipos de costos (directos, indirectos, fijos, variables)
Estimación de recursos necesarios
Técnicas para calcular costos (estimación análoga, paramétrica)
Herramientas para la elaboración de presupuestos
Control y seguimiento del presupuesto
Informe financiero del proyecto
Semana 6 Identificación de riesgos del proyecto
Concepto de riesgo en proyectos
Clasificación de riesgos (internos, externos)
Técnicas para identificar riesgos (brainstorming, entrevistas)
Registro de riesgos
Análisis cualitativo y cuantitativo de riesgos
Planificación de respuestas a riesgos
Monitoreo y control de riesgos</t>
  </si>
  <si>
    <t>UNIDAD 3</t>
  </si>
  <si>
    <t xml:space="preserve">Dominios del desempeño del enfoque predictivo
</t>
  </si>
  <si>
    <t>3.1. Planificación predictiva
3.2. Trabajo del proyecto
3.3. Entrega predictiva
3.4. Medición predictiva
3.5. Interesados – roles más comunes
3.6. Equipo de proyecto predictivo
3.7. Incertidumbre – gestión de riesgos</t>
  </si>
  <si>
    <t xml:space="preserve">Semana 7: Línea base de tiempo e hitos
Definición de la línea base del proyecto
Importancia de los hitos en el seguimiento del proyecto
Métodos para el monitoreo del progreso
Herramientas para el control del cronograma
Actualización y ajustes a la línea base
Reporte de avance hacia los entregables
Impacto del control de hitos en la finalización del proyecto
Semana 8: Método del valor ganado
Introducción al método del valor ganado (EVM)
Componentes clave del valor ganado: PV, EV, AC
Cálculo de métricas EVM (CPI, SPI)
Interpretación de resultados del EVM
Seguimiento del desempeño del proyecto con EVM
Aplicación del método del valor ganado en proyectos reales
Ejemplos de reportes basados en EVM
Semana 9 Presentación de informes gerenciales
Estructura de un informe gerencial de proyectos
Principales indicadores a presentar a los interesados
Técnicas para resumir información clave
Comunicación efectiva con stakeholders
Herramientas de visualización para la presentación de informes (PowerPoint, Dashboards)
Revisión de riesgos y progreso en el informe gerencial
Seguimiento de feedback de los interesados
Semana 10: Mejora continua
Preparación de entregables finales del proyecto
Validación y aceptación de los entregables
Revisión del cumplimiento de los objetivos del proyecto
Documentación de lecciones aprendidas
Técnicas para el análisis retrospectivo del proyecto
Identificación de áreas de mejora en la gestión de proyectos
Uso de lecciones aprendidas para proyectos futuros
</t>
  </si>
  <si>
    <t>UNIDAD 4</t>
  </si>
  <si>
    <t>Dominios del desempeño del enfoque adaptativo/ágil</t>
  </si>
  <si>
    <t xml:space="preserve">4.1. Planificación ágil
4.2. Trabajo del proyecto en marcos ágiles (SCRUM,
KANBAN,LEAN)
4.3. Entrega iterativa ágil
4.4. Medición de la agilidad
4.5. Interesados en los marcos ágiles
4.6. Equipo de proyecto ágil
4.7. Incertidumbre </t>
  </si>
  <si>
    <t>Semana 11: Juego de simulación de cronograma   
Simulación de escenarios en gestión de proyectos
Introducción a herramientas de simulación de cronogramas
Control de recursos en tiempo real
Simulación de ajustes en cronogramas y su impacto
Análisis de la variación de tiempos en el cronograma
Impacto del retraso de tareas en la finalización del proyecto
Presentación de resultados de la simulación
Semana 12: 
Principios y características de equipos ágiles
Roles dentro de un equipo ágil
Técnicas para fomentar la colaboración en equipos ágiles
Herramientas para la gestión de equipos ágiles (Scrum, Kanban)
Implementación de retros en equipos ágiles
Mejora continua en la dinámica del equipo
Medición del rendimiento de equipos ágiles
Semana 13: 
Introducción a Scrum: roles, eventos, artefactos
Creación de un backlog de producto
Planificación de sprints en Scrum
Seguimiento del progreso con el tablero Kanban
Simulación del ciclo de un sprint
Análisis de la efectividad del uso de Scrum y Kanban juntos
Reportes de finalización del sprint y retrospectiva
Semana 14: Simulación con Kanban
Principios fundamentales del tablero Kanban
"Visualización del flujo de trabajo en Kanban
"
Implementación de WIP (Work in Progress) en Kanban
"Monitoreo de tiempos de ciclo y entrega
"
"Ajustes en el flujo de trabajo basado en datos del tablero
"
"Análisis de cuellos de botella y mejora continua
"
"Evaluación del rendimiento del equipo usando Kanban
"</t>
  </si>
  <si>
    <t>Curso Posterior</t>
  </si>
  <si>
    <r>
      <rPr>
        <rFont val="Arial"/>
        <color theme="1"/>
        <sz val="12.0"/>
      </rPr>
      <t xml:space="preserve">Para ver el contenido de un curso </t>
    </r>
    <r>
      <rPr>
        <rFont val="Arial"/>
        <b/>
        <color theme="1"/>
        <sz val="12.0"/>
      </rPr>
      <t xml:space="preserve">posterior </t>
    </r>
    <r>
      <rPr>
        <rFont val="Arial"/>
        <color theme="1"/>
        <sz val="12.0"/>
      </rPr>
      <t xml:space="preserve">a este debe seleccionar el curso que desea ver. </t>
    </r>
  </si>
  <si>
    <t>Modelación y Simulación 1</t>
  </si>
  <si>
    <t xml:space="preserve">Cursos </t>
  </si>
  <si>
    <t>Perfil egresado - General</t>
  </si>
  <si>
    <t>LAB vs Curso</t>
  </si>
  <si>
    <t>Perfil egresado - Especifica</t>
  </si>
  <si>
    <t>Taxonomia - Verbos</t>
  </si>
  <si>
    <t>Verbo</t>
  </si>
  <si>
    <t>Definir</t>
  </si>
  <si>
    <t>Identificar</t>
  </si>
  <si>
    <t>Listar</t>
  </si>
  <si>
    <t>Nombrar</t>
  </si>
  <si>
    <t>Reconocer</t>
  </si>
  <si>
    <t>Recuperar</t>
  </si>
  <si>
    <t>Enumerar</t>
  </si>
  <si>
    <t>Memorizar</t>
  </si>
  <si>
    <t>Registrar</t>
  </si>
  <si>
    <t>Reproducir</t>
  </si>
  <si>
    <t>Explicar</t>
  </si>
  <si>
    <t>Describir</t>
  </si>
  <si>
    <t>Interpretar</t>
  </si>
  <si>
    <t>Parafrasear</t>
  </si>
  <si>
    <t>Resumir</t>
  </si>
  <si>
    <t>Clasificar</t>
  </si>
  <si>
    <t>Ejemplificar</t>
  </si>
  <si>
    <t>Inferir</t>
  </si>
  <si>
    <t>Comparar</t>
  </si>
  <si>
    <t>Traducir</t>
  </si>
  <si>
    <t>Implementar</t>
  </si>
  <si>
    <t>Ejecutar</t>
  </si>
  <si>
    <t>Usar</t>
  </si>
  <si>
    <t>Operar</t>
  </si>
  <si>
    <t>Calcular</t>
  </si>
  <si>
    <t>Resolver</t>
  </si>
  <si>
    <t>Demostrar</t>
  </si>
  <si>
    <t>Desarrollar</t>
  </si>
  <si>
    <t>Programar</t>
  </si>
  <si>
    <t>Depurar</t>
  </si>
  <si>
    <t>Comprobar</t>
  </si>
  <si>
    <t>Criticar</t>
  </si>
  <si>
    <t>Revisar</t>
  </si>
  <si>
    <t>Justificar</t>
  </si>
  <si>
    <t>Validar</t>
  </si>
  <si>
    <t>Verificar</t>
  </si>
  <si>
    <t>Optimizar</t>
  </si>
  <si>
    <t>Monitorear</t>
  </si>
  <si>
    <t>Testear</t>
  </si>
  <si>
    <t>Determinar</t>
  </si>
  <si>
    <t>Diseñar</t>
  </si>
  <si>
    <t>Construir</t>
  </si>
  <si>
    <t>Producir</t>
  </si>
  <si>
    <t>Planificar</t>
  </si>
  <si>
    <t>Elaborar</t>
  </si>
  <si>
    <t>Formular</t>
  </si>
  <si>
    <t>Generar</t>
  </si>
  <si>
    <t>Integrar</t>
  </si>
  <si>
    <t>Sintetizar</t>
  </si>
  <si>
    <t>Arquitecturar</t>
  </si>
  <si>
    <t>Competencias relacionadas al perfil del egresado (Especifica)</t>
  </si>
  <si>
    <t>Competencias relacionadas al perfil del egresado (General)</t>
  </si>
  <si>
    <t>Aplica los conocimientos de su disciplina en la elaboración, fundamentación
 y defensa de argumentos para prevenir y resolver problemas complejos en
 su campo profesional, identificando y aplicando innovaciones.</t>
  </si>
  <si>
    <t>Aplica principios básicos de ingeniería, ciencias de computación y sistemas
 de información y comunicación, en la formulación y resolución adecuada de
 problemas complejos.</t>
  </si>
  <si>
    <t>Identifica oportunidades y riesgos para la innovación y adaptación de
 conocimientos y tecnologías para resolver problemas.</t>
  </si>
  <si>
    <t>Aplica estándares de calidad, eficiencia y seguridad en la implementación
 adecuada de soluciones de software, hardware y TIC en general.</t>
  </si>
  <si>
    <t>Demuestra pensamiento crítico, actitud investigativa y rigor analítico en el
 planteamiento y la resolución de problemas complejos.</t>
  </si>
  <si>
    <t>Maneja e Interpreta adecuadamente datos masivos, sean estos
 estructurados o no estructurados, facilitando su visualización e interpretación
 de forma eficaz en apoyo a la toma de decisiones.</t>
  </si>
  <si>
    <t>Toma decisiones profesionales con base en fundamentos teóricos, datos e
 información pertinente, válida y confiable.</t>
  </si>
  <si>
    <t>Construye soluciones integrales trabajando en forma colaborativa y
 propositiva en equipos interdisciplinarios, en forma presencial o utilizando
 plataformas virtuales.</t>
  </si>
  <si>
    <t>Demuestra destreza y habilidad en la selección, uso y adaptación de
 herramientas metodológicas, tecnológicas, equipos especializados y en la
 lectura e interpretación de datos, pertinentes al contexto de su ejercicio
 profesional.</t>
  </si>
  <si>
    <t>Actualiza permanente sus conocimientos relacionados con TIC en general,
 apoyándose en las estrategias de aprendizaje apropiadas.</t>
  </si>
  <si>
    <t xml:space="preserve">Competencias </t>
  </si>
  <si>
    <t>El estudiante ...</t>
  </si>
  <si>
    <t xml:space="preserve">Ejemplo Guiado </t>
  </si>
  <si>
    <t>No</t>
  </si>
  <si>
    <t>Tipo</t>
  </si>
  <si>
    <t>Verbo en Presente</t>
  </si>
  <si>
    <t>Objeto de la acción</t>
  </si>
  <si>
    <t>[Palabras conectoreas] Herramientas o metodología</t>
  </si>
  <si>
    <t>[Palabras conectoreas] Condiciones específicas</t>
  </si>
  <si>
    <t>Nivel</t>
  </si>
  <si>
    <t>Especifica</t>
  </si>
  <si>
    <t>aplica</t>
  </si>
  <si>
    <t>modelos, métodos y artefactos de gestión de proyectos</t>
  </si>
  <si>
    <t>mediante el uso de herramientas de planificación, simulación y monitoreo</t>
  </si>
  <si>
    <t>para resolver escenarios comunes en proyectos y mejorar la toma de decisiones en la gestión de proyectos tecnológicos</t>
  </si>
  <si>
    <t>Aplicar</t>
  </si>
  <si>
    <t>Ahora Define las competencias</t>
  </si>
  <si>
    <t>define</t>
  </si>
  <si>
    <t>requisitos y objetivos de proyectos tecnológicos</t>
  </si>
  <si>
    <t>mediante métodos de recolección y análisis de información</t>
  </si>
  <si>
    <t>para establecer el alcance y éxito del proyecto en entornos organizacionales</t>
  </si>
  <si>
    <t>Comprender</t>
  </si>
  <si>
    <t>General</t>
  </si>
  <si>
    <t>integra</t>
  </si>
  <si>
    <t>estructura de desglose de trabajo (EDT)</t>
  </si>
  <si>
    <t>utilizando herramientas de planificación como Project Libre</t>
  </si>
  <si>
    <t>para organizar tareas y entregables en proyectos complejos</t>
  </si>
  <si>
    <t>revisa</t>
  </si>
  <si>
    <t>riesgos y variables críticas en proyectos</t>
  </si>
  <si>
    <t>empleando técnicas de identificación y evaluación de riesgos</t>
  </si>
  <si>
    <t>para la formulación de estrategias de mitigación y control</t>
  </si>
  <si>
    <t>Analizar</t>
  </si>
  <si>
    <t>principios de calidad, eficiencia y control de tiempos</t>
  </si>
  <si>
    <t>mediante el uso de cronogramas, presupuestos y simuladores</t>
  </si>
  <si>
    <t>para mejorar el desempeño y cumplimiento de los objetivos de proyectos de TI</t>
  </si>
  <si>
    <t>combina</t>
  </si>
  <si>
    <t>prácticas ágiles de gestión de proyectos</t>
  </si>
  <si>
    <t>a través del uso de marcos como Scrum y Kanban</t>
  </si>
  <si>
    <t>para la ejecución iterativa de entregables y mejora continua del equipo</t>
  </si>
  <si>
    <t>Crear</t>
  </si>
  <si>
    <t>valida</t>
  </si>
  <si>
    <t>el desempeño de proyectos tecnológicos</t>
  </si>
  <si>
    <t>utilizando el método del valor ganado (EVM) y reportes de avance</t>
  </si>
  <si>
    <t>para tomar decisiones correctivas basadas en datos objetivos</t>
  </si>
  <si>
    <t>Evaluar</t>
  </si>
  <si>
    <t>Recomendaciónes para la Creacion de las competencias</t>
  </si>
  <si>
    <t>Asegurar que las competencias sean específicas, medibles y aplicables
Define competencias claras y alineadas con el perfil del egresado.
Utiliza la estructura "saber + saber hacer + ser" (conocimiento, habilidades prácticas y actitudes).
Ejemplo: "El estudiante diseña, implementa y optimiza una red local segura utilizando herramientas de simulación como Cisco Packet Tracer."</t>
  </si>
  <si>
    <t>Fomentar la autonomía y el aprendizaje colaborativo
Diseña competencias que requieran trabajo en equipo y toma de decisiones.
Usa metodologías activas como aprendizaje basado en proyectos (ABP) o aprendizaje basado en problemas (PBL).
Implementa herramientas como simuladores, entornos de programación colaborativa y revisión por pares.</t>
  </si>
  <si>
    <t>Seleccionar los verbos adecuados según el nivel de aprendizaje
Usa verbos observables y medibles para que la competencia sea clara y evaluable. Puedes basarte en la Taxonomía de Bloom para definir el nivel de profundidad:
Nivel básico (Conocimiento y comprensión): Identifica, reconoce, describe, explica.
Nivel intermedio (Aplicación y análisis): Implementa, desarrolla, programa, configura, prueba, analiza.
Nivel avanzado (Evaluación y creación): Diseña, optimiza, modela, construye, integra, soluciona.</t>
  </si>
  <si>
    <t>Incluir herramientas y tecnologías específicas
Para que la competencia sea aplicable, menciona las herramientas, software o entornos que el estudiante usará en el laboratorio. Ejemplo:
❌ “El estudiante comprenderá el diseño de redes.” (Muy general y difícil de evaluar).
✅ “El estudiante diseña y configura una red LAN utilizando Cisco Packet Tracer, asegurando la conectividad entre dispositivos y aplicando protocolos de seguridad básicos.” (Competencia clara, práctica y evaluable).</t>
  </si>
</sst>
</file>

<file path=xl/styles.xml><?xml version="1.0" encoding="utf-8"?>
<styleSheet xmlns="http://schemas.openxmlformats.org/spreadsheetml/2006/main" xmlns:x14ac="http://schemas.microsoft.com/office/spreadsheetml/2009/9/ac" xmlns:mc="http://schemas.openxmlformats.org/markup-compatibility/2006">
  <fonts count="44">
    <font>
      <sz val="10.0"/>
      <color rgb="FF000000"/>
      <name val="Arial"/>
      <scheme val="minor"/>
    </font>
    <font>
      <color rgb="FFFFFFFF"/>
      <name val="Arial"/>
      <scheme val="minor"/>
    </font>
    <font>
      <b/>
      <sz val="11.0"/>
      <color rgb="FF404040"/>
      <name val="Roboto"/>
    </font>
    <font>
      <sz val="11.0"/>
      <color rgb="FF000000"/>
      <name val="&quot;Ȫptos Narrow\&quot;&quot;"/>
    </font>
    <font>
      <color theme="1"/>
      <name val="Arial"/>
      <scheme val="minor"/>
    </font>
    <font>
      <b/>
      <sz val="12.0"/>
      <color rgb="FF404040"/>
      <name val="Roboto"/>
    </font>
    <font/>
    <font>
      <sz val="12.0"/>
      <color rgb="FF000000"/>
      <name val="Arial"/>
    </font>
    <font>
      <sz val="53.0"/>
      <color theme="1"/>
      <name val="Arial"/>
      <scheme val="minor"/>
    </font>
    <font>
      <b/>
      <sz val="11.0"/>
      <color rgb="FF000000"/>
      <name val="Roboto"/>
    </font>
    <font>
      <b/>
      <sz val="12.0"/>
      <color rgb="FF000000"/>
      <name val="Roboto"/>
    </font>
    <font>
      <b/>
      <sz val="16.0"/>
      <color rgb="FF404040"/>
      <name val="Roboto"/>
    </font>
    <font>
      <sz val="11.0"/>
      <color rgb="FF000000"/>
      <name val="Roboto"/>
    </font>
    <font>
      <b/>
      <sz val="12.0"/>
      <color rgb="FF000000"/>
      <name val="Arial"/>
    </font>
    <font>
      <color theme="1"/>
      <name val="Arial"/>
    </font>
    <font>
      <b/>
      <sz val="12.0"/>
      <color theme="1"/>
      <name val="Arial"/>
    </font>
    <font>
      <b/>
      <sz val="11.0"/>
      <color rgb="FF000000"/>
      <name val="Arial"/>
    </font>
    <font>
      <b/>
      <sz val="11.0"/>
      <color rgb="FF404040"/>
      <name val="Arial"/>
    </font>
    <font>
      <b/>
      <color rgb="FF000000"/>
      <name val="Arial"/>
    </font>
    <font>
      <b/>
      <color theme="1"/>
      <name val="Arial"/>
    </font>
    <font>
      <sz val="10.0"/>
      <color rgb="FF000000"/>
      <name val="Arial"/>
    </font>
    <font>
      <color rgb="FF000000"/>
      <name val="Arial"/>
    </font>
    <font>
      <sz val="10.0"/>
      <color theme="1"/>
      <name val="Arial"/>
    </font>
    <font>
      <color rgb="FF000000"/>
      <name val="Calibri"/>
    </font>
    <font>
      <b/>
      <sz val="16.0"/>
      <color rgb="FF000000"/>
      <name val="Arial"/>
    </font>
    <font>
      <b/>
      <sz val="12.0"/>
      <color rgb="FF000000"/>
      <name val="Calibri"/>
    </font>
    <font>
      <b/>
      <sz val="15.0"/>
      <color rgb="FF000000"/>
      <name val="Calibri"/>
    </font>
    <font>
      <sz val="21.0"/>
      <color theme="1"/>
      <name val="Arial"/>
      <scheme val="minor"/>
    </font>
    <font>
      <b/>
      <color rgb="FF000000"/>
      <name val="Calibri"/>
    </font>
    <font>
      <sz val="36.0"/>
      <color theme="1"/>
      <name val="Arial"/>
      <scheme val="minor"/>
    </font>
    <font>
      <sz val="11.0"/>
      <color theme="1"/>
      <name val="Arial"/>
      <scheme val="minor"/>
    </font>
    <font>
      <b/>
      <sz val="12.0"/>
      <color theme="1"/>
      <name val="Arial"/>
      <scheme val="minor"/>
    </font>
    <font>
      <color theme="0"/>
      <name val="Arial"/>
      <scheme val="minor"/>
    </font>
    <font>
      <sz val="23.0"/>
      <color theme="1"/>
      <name val="Arial"/>
      <scheme val="minor"/>
    </font>
    <font>
      <sz val="14.0"/>
      <color theme="1"/>
      <name val="Arial"/>
      <scheme val="minor"/>
    </font>
    <font>
      <b/>
      <sz val="13.0"/>
      <color theme="1"/>
      <name val="Arial"/>
      <scheme val="minor"/>
    </font>
    <font>
      <sz val="11.0"/>
      <color theme="1"/>
      <name val="Arial"/>
    </font>
    <font>
      <sz val="12.0"/>
      <color theme="1"/>
      <name val="Arial"/>
      <scheme val="minor"/>
    </font>
    <font>
      <sz val="26.0"/>
      <color theme="1"/>
      <name val="Arial"/>
      <scheme val="minor"/>
    </font>
    <font>
      <b/>
      <sz val="11.0"/>
      <color theme="1"/>
      <name val="Arial"/>
      <scheme val="minor"/>
    </font>
    <font>
      <sz val="12.0"/>
      <color rgb="FF404040"/>
      <name val="Inter"/>
    </font>
    <font>
      <b/>
      <sz val="14.0"/>
      <color theme="1"/>
      <name val="Arial"/>
      <scheme val="minor"/>
    </font>
    <font>
      <b/>
      <sz val="11.0"/>
      <color theme="1"/>
      <name val="Arial"/>
    </font>
    <font>
      <b/>
      <color theme="1"/>
      <name val="Arial"/>
      <scheme val="minor"/>
    </font>
  </fonts>
  <fills count="20">
    <fill>
      <patternFill patternType="none"/>
    </fill>
    <fill>
      <patternFill patternType="lightGray"/>
    </fill>
    <fill>
      <patternFill patternType="solid">
        <fgColor rgb="FFFFFFFF"/>
        <bgColor rgb="FFFFFFFF"/>
      </patternFill>
    </fill>
    <fill>
      <patternFill patternType="solid">
        <fgColor rgb="FFFFF2CC"/>
        <bgColor rgb="FFFFF2CC"/>
      </patternFill>
    </fill>
    <fill>
      <patternFill patternType="solid">
        <fgColor rgb="FFD9EAD3"/>
        <bgColor rgb="FFD9EAD3"/>
      </patternFill>
    </fill>
    <fill>
      <patternFill patternType="solid">
        <fgColor theme="0"/>
        <bgColor theme="0"/>
      </patternFill>
    </fill>
    <fill>
      <patternFill patternType="solid">
        <fgColor rgb="FFFCE5CD"/>
        <bgColor rgb="FFFCE5CD"/>
      </patternFill>
    </fill>
    <fill>
      <patternFill patternType="solid">
        <fgColor rgb="FFD9D2E9"/>
        <bgColor rgb="FFD9D2E9"/>
      </patternFill>
    </fill>
    <fill>
      <patternFill patternType="solid">
        <fgColor rgb="FFCFE2F3"/>
        <bgColor rgb="FFCFE2F3"/>
      </patternFill>
    </fill>
    <fill>
      <patternFill patternType="solid">
        <fgColor rgb="FFE6B8AF"/>
        <bgColor rgb="FFE6B8AF"/>
      </patternFill>
    </fill>
    <fill>
      <patternFill patternType="solid">
        <fgColor rgb="FFB6D7A8"/>
        <bgColor rgb="FFB6D7A8"/>
      </patternFill>
    </fill>
    <fill>
      <patternFill patternType="solid">
        <fgColor rgb="FFC9DAF8"/>
        <bgColor rgb="FFC9DAF8"/>
      </patternFill>
    </fill>
    <fill>
      <patternFill patternType="solid">
        <fgColor rgb="FFEAD1DC"/>
        <bgColor rgb="FFEAD1DC"/>
      </patternFill>
    </fill>
    <fill>
      <patternFill patternType="solid">
        <fgColor rgb="FFD0E0E3"/>
        <bgColor rgb="FFD0E0E3"/>
      </patternFill>
    </fill>
    <fill>
      <patternFill patternType="solid">
        <fgColor rgb="FFF4CCCC"/>
        <bgColor rgb="FFF4CCCC"/>
      </patternFill>
    </fill>
    <fill>
      <patternFill patternType="solid">
        <fgColor rgb="FFFFFF00"/>
        <bgColor rgb="FFFFFF00"/>
      </patternFill>
    </fill>
    <fill>
      <patternFill patternType="solid">
        <fgColor rgb="FFFF0000"/>
        <bgColor rgb="FFFF0000"/>
      </patternFill>
    </fill>
    <fill>
      <patternFill patternType="solid">
        <fgColor rgb="FFFF00FF"/>
        <bgColor rgb="FFFF00FF"/>
      </patternFill>
    </fill>
    <fill>
      <patternFill patternType="solid">
        <fgColor rgb="FF00FF00"/>
        <bgColor rgb="FF00FF00"/>
      </patternFill>
    </fill>
    <fill>
      <patternFill patternType="solid">
        <fgColor rgb="FF4A86E8"/>
        <bgColor rgb="FF4A86E8"/>
      </patternFill>
    </fill>
  </fills>
  <borders count="8">
    <border/>
    <border>
      <left style="thin">
        <color rgb="FF000000"/>
      </left>
      <top style="thin">
        <color rgb="FF000000"/>
      </top>
      <bottom style="thin">
        <color rgb="FF000000"/>
      </bottom>
    </border>
    <border>
      <right style="thin">
        <color rgb="FF000000"/>
      </right>
      <top style="thin">
        <color rgb="FF000000"/>
      </top>
      <bottom style="thin">
        <color rgb="FF000000"/>
      </bottom>
    </border>
    <border>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s>
  <cellStyleXfs count="1">
    <xf borderId="0" fillId="0" fontId="0" numFmtId="0" applyAlignment="1" applyFont="1"/>
  </cellStyleXfs>
  <cellXfs count="139">
    <xf borderId="0" fillId="0" fontId="0" numFmtId="0" xfId="0" applyAlignment="1" applyFont="1">
      <alignment readingOrder="0" shrinkToFit="0" vertical="bottom" wrapText="0"/>
    </xf>
    <xf borderId="0" fillId="0" fontId="1" numFmtId="0" xfId="0" applyFont="1"/>
    <xf borderId="0" fillId="2" fontId="2" numFmtId="0" xfId="0" applyAlignment="1" applyFill="1" applyFont="1">
      <alignment horizontal="left" readingOrder="0" shrinkToFit="0" vertical="bottom" wrapText="0"/>
    </xf>
    <xf borderId="0" fillId="2" fontId="3" numFmtId="0" xfId="0" applyAlignment="1" applyFont="1">
      <alignment horizontal="center" readingOrder="0" vertical="bottom"/>
    </xf>
    <xf borderId="0" fillId="0" fontId="4" numFmtId="0" xfId="0" applyAlignment="1" applyFont="1">
      <alignment horizontal="center" vertical="bottom"/>
    </xf>
    <xf borderId="1" fillId="3" fontId="5" numFmtId="0" xfId="0" applyAlignment="1" applyBorder="1" applyFill="1" applyFont="1">
      <alignment horizontal="left" readingOrder="0" shrinkToFit="0" vertical="bottom" wrapText="0"/>
    </xf>
    <xf borderId="2" fillId="0" fontId="6" numFmtId="0" xfId="0" applyBorder="1" applyFont="1"/>
    <xf borderId="1" fillId="2" fontId="7" numFmtId="0" xfId="0" applyAlignment="1" applyBorder="1" applyFont="1">
      <alignment horizontal="center" readingOrder="0" vertical="bottom"/>
    </xf>
    <xf borderId="3" fillId="0" fontId="6" numFmtId="0" xfId="0" applyBorder="1" applyFont="1"/>
    <xf borderId="0" fillId="0" fontId="8" numFmtId="0" xfId="0" applyAlignment="1" applyFont="1">
      <alignment horizontal="center" readingOrder="0" vertical="center"/>
    </xf>
    <xf borderId="0" fillId="0" fontId="4" numFmtId="0" xfId="0" applyAlignment="1" applyFont="1">
      <alignment readingOrder="0" shrinkToFit="0" vertical="center" wrapText="1"/>
    </xf>
    <xf borderId="1" fillId="4" fontId="7" numFmtId="0" xfId="0" applyAlignment="1" applyBorder="1" applyFill="1" applyFont="1">
      <alignment horizontal="center" readingOrder="0" shrinkToFit="0" vertical="bottom" wrapText="0"/>
    </xf>
    <xf borderId="1" fillId="0" fontId="7" numFmtId="0" xfId="0" applyAlignment="1" applyBorder="1" applyFont="1">
      <alignment horizontal="center" readingOrder="0" shrinkToFit="0" vertical="bottom" wrapText="0"/>
    </xf>
    <xf borderId="0" fillId="5" fontId="4" numFmtId="0" xfId="0" applyAlignment="1" applyFill="1" applyFont="1">
      <alignment readingOrder="0" shrinkToFit="0" vertical="center" wrapText="1"/>
    </xf>
    <xf borderId="0" fillId="0" fontId="9" numFmtId="0" xfId="0" applyAlignment="1" applyFont="1">
      <alignment readingOrder="0" shrinkToFit="0" vertical="bottom" wrapText="0"/>
    </xf>
    <xf borderId="1" fillId="3" fontId="10" numFmtId="0" xfId="0" applyAlignment="1" applyBorder="1" applyFont="1">
      <alignment readingOrder="0" shrinkToFit="0" vertical="bottom" wrapText="0"/>
    </xf>
    <xf borderId="0" fillId="6" fontId="11" numFmtId="0" xfId="0" applyAlignment="1" applyFill="1" applyFont="1">
      <alignment horizontal="center" readingOrder="0" shrinkToFit="0" vertical="bottom" wrapText="0"/>
    </xf>
    <xf borderId="0" fillId="0" fontId="12" numFmtId="0" xfId="0" applyAlignment="1" applyFont="1">
      <alignment readingOrder="0" shrinkToFit="0" vertical="bottom" wrapText="0"/>
    </xf>
    <xf borderId="0" fillId="7" fontId="13" numFmtId="0" xfId="0" applyAlignment="1" applyFill="1" applyFont="1">
      <alignment horizontal="center" readingOrder="0" shrinkToFit="0" vertical="center" wrapText="0"/>
    </xf>
    <xf borderId="0" fillId="0" fontId="14" numFmtId="0" xfId="0" applyFont="1"/>
    <xf borderId="0" fillId="8" fontId="13" numFmtId="0" xfId="0" applyAlignment="1" applyFill="1" applyFont="1">
      <alignment horizontal="center" readingOrder="0" vertical="center"/>
    </xf>
    <xf borderId="0" fillId="9" fontId="15" numFmtId="0" xfId="0" applyAlignment="1" applyFill="1" applyFont="1">
      <alignment horizontal="center" readingOrder="0" vertical="center"/>
    </xf>
    <xf borderId="4" fillId="0" fontId="16" numFmtId="0" xfId="0" applyAlignment="1" applyBorder="1" applyFont="1">
      <alignment readingOrder="0" shrinkToFit="0" vertical="bottom" wrapText="0"/>
    </xf>
    <xf borderId="4" fillId="0" fontId="16" numFmtId="0" xfId="0" applyAlignment="1" applyBorder="1" applyFont="1">
      <alignment horizontal="center" readingOrder="0" shrinkToFit="0" vertical="bottom" wrapText="0"/>
    </xf>
    <xf borderId="4" fillId="2" fontId="17" numFmtId="0" xfId="0" applyAlignment="1" applyBorder="1" applyFont="1">
      <alignment horizontal="left" readingOrder="0" shrinkToFit="0" vertical="bottom" wrapText="0"/>
    </xf>
    <xf borderId="4" fillId="0" fontId="18" numFmtId="0" xfId="0" applyAlignment="1" applyBorder="1" applyFont="1">
      <alignment readingOrder="0" shrinkToFit="0" vertical="bottom" wrapText="0"/>
    </xf>
    <xf borderId="4" fillId="0" fontId="19" numFmtId="0" xfId="0" applyAlignment="1" applyBorder="1" applyFont="1">
      <alignment readingOrder="0"/>
    </xf>
    <xf borderId="4" fillId="0" fontId="20" numFmtId="0" xfId="0" applyAlignment="1" applyBorder="1" applyFont="1">
      <alignment horizontal="center" readingOrder="0" shrinkToFit="0" vertical="bottom" wrapText="1"/>
    </xf>
    <xf borderId="4" fillId="0" fontId="21" numFmtId="0" xfId="0" applyAlignment="1" applyBorder="1" applyFont="1">
      <alignment readingOrder="0" shrinkToFit="0" vertical="bottom" wrapText="0"/>
    </xf>
    <xf borderId="4" fillId="0" fontId="21" numFmtId="0" xfId="0" applyAlignment="1" applyBorder="1" applyFont="1">
      <alignment shrinkToFit="0" vertical="bottom" wrapText="0"/>
    </xf>
    <xf borderId="4" fillId="2" fontId="20" numFmtId="0" xfId="0" applyAlignment="1" applyBorder="1" applyFont="1">
      <alignment horizontal="left" readingOrder="0" shrinkToFit="0" vertical="bottom" wrapText="1"/>
    </xf>
    <xf borderId="4" fillId="2" fontId="20" numFmtId="0" xfId="0" applyAlignment="1" applyBorder="1" applyFont="1">
      <alignment horizontal="left" readingOrder="0" shrinkToFit="0" vertical="bottom" wrapText="1"/>
    </xf>
    <xf borderId="4" fillId="0" fontId="14" numFmtId="0" xfId="0" applyBorder="1" applyFont="1"/>
    <xf borderId="4" fillId="0" fontId="14" numFmtId="0" xfId="0" applyBorder="1" applyFont="1"/>
    <xf borderId="4" fillId="0" fontId="4" numFmtId="0" xfId="0" applyBorder="1" applyFont="1"/>
    <xf borderId="4" fillId="0" fontId="14" numFmtId="0" xfId="0" applyAlignment="1" applyBorder="1" applyFont="1">
      <alignment shrinkToFit="0" vertical="bottom" wrapText="1"/>
    </xf>
    <xf borderId="4" fillId="0" fontId="21" numFmtId="0" xfId="0" applyAlignment="1" applyBorder="1" applyFont="1">
      <alignment shrinkToFit="0" vertical="bottom" wrapText="0"/>
    </xf>
    <xf borderId="4" fillId="0" fontId="20" numFmtId="0" xfId="0" applyAlignment="1" applyBorder="1" applyFont="1">
      <alignment horizontal="left" shrinkToFit="0" vertical="bottom" wrapText="1"/>
    </xf>
    <xf borderId="4" fillId="0" fontId="4" numFmtId="0" xfId="0" applyBorder="1" applyFont="1"/>
    <xf borderId="4" fillId="0" fontId="22" numFmtId="0" xfId="0" applyAlignment="1" applyBorder="1" applyFont="1">
      <alignment horizontal="left"/>
    </xf>
    <xf borderId="4" fillId="0" fontId="23" numFmtId="0" xfId="0" applyAlignment="1" applyBorder="1" applyFont="1">
      <alignment horizontal="center" readingOrder="0" vertical="bottom"/>
    </xf>
    <xf borderId="4" fillId="0" fontId="23" numFmtId="0" xfId="0" applyAlignment="1" applyBorder="1" applyFont="1">
      <alignment readingOrder="0" shrinkToFit="0" vertical="bottom" wrapText="0"/>
    </xf>
    <xf borderId="4" fillId="2" fontId="3" numFmtId="0" xfId="0" applyAlignment="1" applyBorder="1" applyFont="1">
      <alignment horizontal="left" readingOrder="0" shrinkToFit="0" vertical="bottom" wrapText="1"/>
    </xf>
    <xf borderId="0" fillId="0" fontId="23" numFmtId="0" xfId="0" applyAlignment="1" applyFont="1">
      <alignment horizontal="right" readingOrder="0" shrinkToFit="0" vertical="bottom" wrapText="1"/>
    </xf>
    <xf borderId="0" fillId="2" fontId="3" numFmtId="0" xfId="0" applyAlignment="1" applyFont="1">
      <alignment horizontal="left" readingOrder="0" shrinkToFit="0" vertical="bottom" wrapText="1"/>
    </xf>
    <xf borderId="0" fillId="2" fontId="3" numFmtId="0" xfId="0" applyAlignment="1" applyFont="1">
      <alignment horizontal="right" readingOrder="0" shrinkToFit="0" vertical="bottom" wrapText="1"/>
    </xf>
    <xf borderId="0" fillId="0" fontId="23" numFmtId="0" xfId="0" applyAlignment="1" applyFont="1">
      <alignment horizontal="center" readingOrder="0" shrinkToFit="0" vertical="bottom" wrapText="0"/>
    </xf>
    <xf borderId="0" fillId="0" fontId="12" numFmtId="0" xfId="0" applyAlignment="1" applyFont="1">
      <alignment horizontal="right" readingOrder="0" shrinkToFit="0" vertical="center" wrapText="1"/>
    </xf>
    <xf borderId="0" fillId="3" fontId="24" numFmtId="0" xfId="0" applyAlignment="1" applyFont="1">
      <alignment horizontal="center" readingOrder="0" shrinkToFit="0" vertical="bottom" wrapText="0"/>
    </xf>
    <xf borderId="1" fillId="10" fontId="25" numFmtId="0" xfId="0" applyAlignment="1" applyBorder="1" applyFill="1" applyFont="1">
      <alignment horizontal="center" readingOrder="0" shrinkToFit="0" vertical="bottom" wrapText="0"/>
    </xf>
    <xf borderId="1" fillId="0" fontId="25" numFmtId="0" xfId="0" applyAlignment="1" applyBorder="1" applyFont="1">
      <alignment horizontal="center" readingOrder="0" shrinkToFit="0" vertical="bottom" wrapText="0"/>
    </xf>
    <xf borderId="1" fillId="0" fontId="26" numFmtId="0" xfId="0" applyAlignment="1" applyBorder="1" applyFont="1">
      <alignment horizontal="center" readingOrder="0" shrinkToFit="0" vertical="center" wrapText="0"/>
    </xf>
    <xf borderId="1" fillId="0" fontId="23" numFmtId="0" xfId="0" applyAlignment="1" applyBorder="1" applyFont="1">
      <alignment horizontal="center" readingOrder="0" shrinkToFit="0" vertical="center" wrapText="1"/>
    </xf>
    <xf borderId="0" fillId="0" fontId="23" numFmtId="0" xfId="0" applyAlignment="1" applyFont="1">
      <alignment readingOrder="0" shrinkToFit="0" vertical="center" wrapText="1"/>
    </xf>
    <xf borderId="0" fillId="0" fontId="27" numFmtId="0" xfId="0" applyAlignment="1" applyFont="1">
      <alignment readingOrder="0"/>
    </xf>
    <xf borderId="0" fillId="0" fontId="23" numFmtId="0" xfId="0" applyAlignment="1" applyFont="1">
      <alignment shrinkToFit="0" vertical="center" wrapText="1"/>
    </xf>
    <xf borderId="0" fillId="5" fontId="28" numFmtId="0" xfId="0" applyAlignment="1" applyFont="1">
      <alignment horizontal="center" readingOrder="0" shrinkToFit="0" vertical="bottom" wrapText="0"/>
    </xf>
    <xf borderId="0" fillId="0" fontId="29" numFmtId="0" xfId="0" applyAlignment="1" applyFont="1">
      <alignment readingOrder="0" vertical="top"/>
    </xf>
    <xf borderId="0" fillId="0" fontId="30" numFmtId="0" xfId="0" applyAlignment="1" applyFont="1">
      <alignment horizontal="center" readingOrder="0" shrinkToFit="0" vertical="center" wrapText="1"/>
    </xf>
    <xf borderId="0" fillId="4" fontId="31" numFmtId="0" xfId="0" applyAlignment="1" applyFont="1">
      <alignment horizontal="center" readingOrder="0"/>
    </xf>
    <xf borderId="0" fillId="0" fontId="4" numFmtId="0" xfId="0" applyAlignment="1" applyFont="1">
      <alignment horizontal="center" readingOrder="0" shrinkToFit="0" vertical="center" wrapText="1"/>
    </xf>
    <xf borderId="0" fillId="0" fontId="4" numFmtId="0" xfId="0" applyAlignment="1" applyFont="1">
      <alignment shrinkToFit="0" wrapText="1"/>
    </xf>
    <xf borderId="0" fillId="11" fontId="4" numFmtId="0" xfId="0" applyAlignment="1" applyFill="1" applyFont="1">
      <alignment readingOrder="0"/>
    </xf>
    <xf borderId="0" fillId="5" fontId="32" numFmtId="0" xfId="0" applyAlignment="1" applyFont="1">
      <alignment readingOrder="0"/>
    </xf>
    <xf borderId="0" fillId="0" fontId="32" numFmtId="0" xfId="0" applyAlignment="1" applyFont="1">
      <alignment shrinkToFit="0" wrapText="1"/>
    </xf>
    <xf borderId="0" fillId="0" fontId="33" numFmtId="0" xfId="0" applyAlignment="1" applyFont="1">
      <alignment horizontal="center" readingOrder="0" shrinkToFit="0" vertical="center" wrapText="1"/>
    </xf>
    <xf borderId="4" fillId="12" fontId="15" numFmtId="0" xfId="0" applyAlignment="1" applyBorder="1" applyFill="1" applyFont="1">
      <alignment readingOrder="0" vertical="bottom"/>
    </xf>
    <xf borderId="4" fillId="12" fontId="15" numFmtId="0" xfId="0" applyAlignment="1" applyBorder="1" applyFont="1">
      <alignment readingOrder="0" shrinkToFit="0" vertical="bottom" wrapText="1"/>
    </xf>
    <xf borderId="4" fillId="12" fontId="15" numFmtId="0" xfId="0" applyAlignment="1" applyBorder="1" applyFont="1">
      <alignment vertical="bottom"/>
    </xf>
    <xf borderId="4" fillId="12" fontId="15" numFmtId="0" xfId="0" applyAlignment="1" applyBorder="1" applyFont="1">
      <alignment shrinkToFit="0" vertical="bottom" wrapText="1"/>
    </xf>
    <xf borderId="0" fillId="0" fontId="4" numFmtId="0" xfId="0" applyAlignment="1" applyFont="1">
      <alignment readingOrder="0"/>
    </xf>
    <xf borderId="0" fillId="0" fontId="4" numFmtId="0" xfId="0" applyFont="1"/>
    <xf borderId="0" fillId="4" fontId="34" numFmtId="0" xfId="0" applyAlignment="1" applyFont="1">
      <alignment horizontal="center" readingOrder="0"/>
    </xf>
    <xf borderId="0" fillId="13" fontId="35" numFmtId="0" xfId="0" applyAlignment="1" applyFill="1" applyFont="1">
      <alignment horizontal="center" readingOrder="0" shrinkToFit="0" vertical="center" wrapText="1"/>
    </xf>
    <xf borderId="0" fillId="0" fontId="4" numFmtId="0" xfId="0" applyAlignment="1" applyFont="1">
      <alignment horizontal="center" shrinkToFit="0" vertical="center" wrapText="1"/>
    </xf>
    <xf borderId="4" fillId="12" fontId="15" numFmtId="0" xfId="0" applyAlignment="1" applyBorder="1" applyFont="1">
      <alignment horizontal="center" readingOrder="0" shrinkToFit="0" vertical="center" wrapText="1"/>
    </xf>
    <xf borderId="5" fillId="0" fontId="36" numFmtId="0" xfId="0" applyBorder="1" applyFont="1"/>
    <xf borderId="1" fillId="0" fontId="36" numFmtId="0" xfId="0" applyAlignment="1" applyBorder="1" applyFont="1">
      <alignment horizontal="center" readingOrder="0"/>
    </xf>
    <xf borderId="6" fillId="0" fontId="6" numFmtId="0" xfId="0" applyBorder="1" applyFont="1"/>
    <xf borderId="5" fillId="0" fontId="30" numFmtId="0" xfId="0" applyAlignment="1" applyBorder="1" applyFont="1">
      <alignment horizontal="left" readingOrder="0" shrinkToFit="0" vertical="top" wrapText="1"/>
    </xf>
    <xf borderId="5" fillId="0" fontId="36" numFmtId="0" xfId="0" applyAlignment="1" applyBorder="1" applyFont="1">
      <alignment readingOrder="0" shrinkToFit="0" vertical="top" wrapText="1"/>
    </xf>
    <xf borderId="5" fillId="0" fontId="30" numFmtId="0" xfId="0" applyAlignment="1" applyBorder="1" applyFont="1">
      <alignment horizontal="center" readingOrder="0" shrinkToFit="0" vertical="center" wrapText="1"/>
    </xf>
    <xf borderId="5" fillId="0" fontId="36" numFmtId="0" xfId="0" applyAlignment="1" applyBorder="1" applyFont="1">
      <alignment shrinkToFit="0" wrapText="1"/>
    </xf>
    <xf borderId="7" fillId="0" fontId="6" numFmtId="0" xfId="0" applyBorder="1" applyFont="1"/>
    <xf borderId="5" fillId="0" fontId="36" numFmtId="0" xfId="0" applyAlignment="1" applyBorder="1" applyFont="1">
      <alignment readingOrder="0"/>
    </xf>
    <xf borderId="0" fillId="0" fontId="37" numFmtId="0" xfId="0" applyAlignment="1" applyFont="1">
      <alignment horizontal="center" readingOrder="0" shrinkToFit="0" vertical="center" wrapText="1"/>
    </xf>
    <xf borderId="0" fillId="0" fontId="38" numFmtId="0" xfId="0" applyAlignment="1" applyFont="1">
      <alignment horizontal="center" readingOrder="0" shrinkToFit="0" vertical="center" wrapText="1"/>
    </xf>
    <xf borderId="0" fillId="13" fontId="4" numFmtId="0" xfId="0" applyAlignment="1" applyFont="1">
      <alignment readingOrder="0"/>
    </xf>
    <xf borderId="0" fillId="0" fontId="32" numFmtId="0" xfId="0" applyFont="1"/>
    <xf borderId="0" fillId="0" fontId="32" numFmtId="0" xfId="0" applyFont="1"/>
    <xf borderId="4" fillId="12" fontId="15" numFmtId="0" xfId="0" applyAlignment="1" applyBorder="1" applyFont="1">
      <alignment horizontal="center" readingOrder="0" vertical="bottom"/>
    </xf>
    <xf borderId="4" fillId="12" fontId="15" numFmtId="0" xfId="0" applyAlignment="1" applyBorder="1" applyFont="1">
      <alignment horizontal="center" readingOrder="0" shrinkToFit="0" vertical="bottom" wrapText="1"/>
    </xf>
    <xf borderId="4" fillId="12" fontId="15" numFmtId="0" xfId="0" applyAlignment="1" applyBorder="1" applyFont="1">
      <alignment readingOrder="0" vertical="bottom"/>
    </xf>
    <xf borderId="0" fillId="9" fontId="4" numFmtId="0" xfId="0" applyAlignment="1" applyFont="1">
      <alignment horizontal="center" readingOrder="0"/>
    </xf>
    <xf borderId="0" fillId="9" fontId="4" numFmtId="0" xfId="0" applyAlignment="1" applyFont="1">
      <alignment readingOrder="0"/>
    </xf>
    <xf borderId="0" fillId="14" fontId="39" numFmtId="0" xfId="0" applyFill="1" applyFont="1"/>
    <xf borderId="0" fillId="0" fontId="39" numFmtId="49" xfId="0" applyFont="1" applyNumberFormat="1"/>
    <xf borderId="0" fillId="0" fontId="39" numFmtId="0" xfId="0" applyAlignment="1" applyFont="1">
      <alignment readingOrder="0"/>
    </xf>
    <xf borderId="0" fillId="0" fontId="39" numFmtId="0" xfId="0" applyFont="1"/>
    <xf borderId="1" fillId="3" fontId="40" numFmtId="0" xfId="0" applyAlignment="1" applyBorder="1" applyFont="1">
      <alignment horizontal="center" readingOrder="0" shrinkToFit="0" vertical="center" wrapText="1"/>
    </xf>
    <xf borderId="4" fillId="5" fontId="40" numFmtId="0" xfId="0" applyAlignment="1" applyBorder="1" applyFont="1">
      <alignment horizontal="center" readingOrder="0" shrinkToFit="0" vertical="center" wrapText="1"/>
    </xf>
    <xf borderId="1" fillId="5" fontId="40" numFmtId="0" xfId="0" applyAlignment="1" applyBorder="1" applyFont="1">
      <alignment horizontal="center" readingOrder="0" shrinkToFit="0" vertical="center" wrapText="1"/>
    </xf>
    <xf borderId="0" fillId="5" fontId="40" numFmtId="0" xfId="0" applyAlignment="1" applyFont="1">
      <alignment horizontal="center" readingOrder="0" shrinkToFit="0" vertical="center" wrapText="1"/>
    </xf>
    <xf borderId="4" fillId="2" fontId="40" numFmtId="0" xfId="0" applyAlignment="1" applyBorder="1" applyFont="1">
      <alignment horizontal="center" readingOrder="0" shrinkToFit="0" vertical="bottom" wrapText="0"/>
    </xf>
    <xf borderId="4" fillId="0" fontId="37" numFmtId="0" xfId="0" applyAlignment="1" applyBorder="1" applyFont="1">
      <alignment horizontal="center" readingOrder="0"/>
    </xf>
    <xf borderId="0" fillId="2" fontId="40" numFmtId="0" xfId="0" applyAlignment="1" applyFont="1">
      <alignment horizontal="left" readingOrder="0" shrinkToFit="0" vertical="bottom" wrapText="0"/>
    </xf>
    <xf borderId="0" fillId="0" fontId="21" numFmtId="0" xfId="0" applyAlignment="1" applyFont="1">
      <alignment shrinkToFit="0" vertical="bottom" wrapText="0"/>
    </xf>
    <xf borderId="0" fillId="0" fontId="21" numFmtId="0" xfId="0" applyAlignment="1" applyFont="1">
      <alignment readingOrder="0" shrinkToFit="0" vertical="bottom" wrapText="0"/>
    </xf>
    <xf borderId="0" fillId="3" fontId="41" numFmtId="0" xfId="0" applyAlignment="1" applyFont="1">
      <alignment horizontal="center" readingOrder="0"/>
    </xf>
    <xf borderId="0" fillId="10" fontId="41" numFmtId="0" xfId="0" applyAlignment="1" applyFont="1">
      <alignment horizontal="center" readingOrder="0"/>
    </xf>
    <xf borderId="4" fillId="8" fontId="39" numFmtId="0" xfId="0" applyAlignment="1" applyBorder="1" applyFont="1">
      <alignment horizontal="center" readingOrder="0"/>
    </xf>
    <xf borderId="1" fillId="8" fontId="42" numFmtId="0" xfId="0" applyAlignment="1" applyBorder="1" applyFont="1">
      <alignment horizontal="center" vertical="bottom"/>
    </xf>
    <xf borderId="4" fillId="8" fontId="39" numFmtId="0" xfId="0" applyAlignment="1" applyBorder="1" applyFont="1">
      <alignment horizontal="center" readingOrder="0" shrinkToFit="0" wrapText="1"/>
    </xf>
    <xf borderId="1" fillId="8" fontId="39" numFmtId="0" xfId="0" applyAlignment="1" applyBorder="1" applyFont="1">
      <alignment horizontal="center" readingOrder="0" shrinkToFit="0" wrapText="1"/>
    </xf>
    <xf borderId="4" fillId="0" fontId="4" numFmtId="0" xfId="0" applyAlignment="1" applyBorder="1" applyFont="1">
      <alignment readingOrder="0"/>
    </xf>
    <xf borderId="4" fillId="0" fontId="39" numFmtId="0" xfId="0" applyAlignment="1" applyBorder="1" applyFont="1">
      <alignment readingOrder="0"/>
    </xf>
    <xf borderId="4" fillId="15" fontId="4" numFmtId="0" xfId="0" applyAlignment="1" applyBorder="1" applyFill="1" applyFont="1">
      <alignment readingOrder="0" shrinkToFit="0" wrapText="1"/>
    </xf>
    <xf borderId="1" fillId="16" fontId="4" numFmtId="0" xfId="0" applyAlignment="1" applyBorder="1" applyFill="1" applyFont="1">
      <alignment readingOrder="0" shrinkToFit="0" wrapText="1"/>
    </xf>
    <xf borderId="4" fillId="17" fontId="4" numFmtId="0" xfId="0" applyAlignment="1" applyBorder="1" applyFill="1" applyFont="1">
      <alignment readingOrder="0" shrinkToFit="0" wrapText="1"/>
    </xf>
    <xf borderId="1" fillId="18" fontId="4" numFmtId="0" xfId="0" applyAlignment="1" applyBorder="1" applyFill="1" applyFont="1">
      <alignment readingOrder="0" shrinkToFit="0" wrapText="1"/>
    </xf>
    <xf borderId="4" fillId="19" fontId="4" numFmtId="0" xfId="0" applyAlignment="1" applyBorder="1" applyFill="1" applyFont="1">
      <alignment readingOrder="0" shrinkToFit="0" wrapText="1"/>
    </xf>
    <xf borderId="4" fillId="2" fontId="4" numFmtId="0" xfId="0" applyAlignment="1" applyBorder="1" applyFont="1">
      <alignment readingOrder="0"/>
    </xf>
    <xf borderId="1" fillId="4" fontId="30" numFmtId="0" xfId="0" applyAlignment="1" applyBorder="1" applyFont="1">
      <alignment horizontal="center" readingOrder="0" shrinkToFit="0" vertical="center" wrapText="1"/>
    </xf>
    <xf borderId="4" fillId="15" fontId="4" numFmtId="0" xfId="0" applyAlignment="1" applyBorder="1" applyFont="1">
      <alignment readingOrder="0"/>
    </xf>
    <xf borderId="1" fillId="16" fontId="4" numFmtId="0" xfId="0" applyAlignment="1" applyBorder="1" applyFont="1">
      <alignment readingOrder="0"/>
    </xf>
    <xf borderId="4" fillId="17" fontId="4" numFmtId="0" xfId="0" applyAlignment="1" applyBorder="1" applyFont="1">
      <alignment readingOrder="0"/>
    </xf>
    <xf borderId="1" fillId="18" fontId="4" numFmtId="0" xfId="0" applyAlignment="1" applyBorder="1" applyFont="1">
      <alignment readingOrder="0"/>
    </xf>
    <xf borderId="4" fillId="19" fontId="4" numFmtId="0" xfId="0" applyAlignment="1" applyBorder="1" applyFont="1">
      <alignment readingOrder="0"/>
    </xf>
    <xf borderId="4" fillId="15" fontId="4" numFmtId="0" xfId="0" applyBorder="1" applyFont="1"/>
    <xf borderId="1" fillId="16" fontId="4" numFmtId="0" xfId="0" applyBorder="1" applyFont="1"/>
    <xf borderId="4" fillId="17" fontId="4" numFmtId="0" xfId="0" applyBorder="1" applyFont="1"/>
    <xf borderId="1" fillId="18" fontId="4" numFmtId="0" xfId="0" applyBorder="1" applyFont="1"/>
    <xf borderId="4" fillId="19" fontId="4" numFmtId="0" xfId="0" applyBorder="1" applyFont="1"/>
    <xf borderId="0" fillId="3" fontId="43" numFmtId="0" xfId="0" applyFont="1"/>
    <xf borderId="0" fillId="3" fontId="4" numFmtId="0" xfId="0" applyFont="1"/>
    <xf borderId="4" fillId="0" fontId="39" numFmtId="0" xfId="0" applyAlignment="1" applyBorder="1" applyFont="1">
      <alignment horizontal="center" readingOrder="0" shrinkToFit="0" vertical="center" wrapText="1"/>
    </xf>
    <xf borderId="1" fillId="0" fontId="39" numFmtId="0" xfId="0" applyAlignment="1" applyBorder="1" applyFont="1">
      <alignment horizontal="center" readingOrder="0" shrinkToFit="0" vertical="center" wrapText="1"/>
    </xf>
    <xf borderId="4" fillId="0" fontId="4" numFmtId="0" xfId="0" applyAlignment="1" applyBorder="1" applyFont="1">
      <alignment horizontal="center" readingOrder="0" shrinkToFit="0" vertical="center" wrapText="1"/>
    </xf>
    <xf borderId="1" fillId="0" fontId="4" numFmtId="0" xfId="0" applyAlignment="1" applyBorder="1" applyFont="1">
      <alignment horizontal="left"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schemas.openxmlformats.org/officeDocument/2006/relationships/worksheet" Target="worksheets/sheet7.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10</xdr:col>
      <xdr:colOff>371475</xdr:colOff>
      <xdr:row>11</xdr:row>
      <xdr:rowOff>-38100</xdr:rowOff>
    </xdr:from>
    <xdr:ext cx="8220075" cy="5915025"/>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25"/>
    <col customWidth="1" min="2" max="2" width="6.25"/>
    <col customWidth="1" min="3" max="3" width="7.25"/>
    <col customWidth="1" min="4" max="4" width="37.5"/>
    <col customWidth="1" min="5" max="5" width="7.25"/>
    <col customWidth="1" min="6" max="6" width="7.13"/>
    <col customWidth="1" min="7" max="7" width="8.75"/>
    <col customWidth="1" min="8" max="8" width="42.38"/>
    <col customWidth="1" min="9" max="9" width="9.25"/>
    <col customWidth="1" min="10" max="10" width="5.63"/>
    <col customWidth="1" min="11" max="11" width="10.63"/>
    <col customWidth="1" min="12" max="12" width="42.63"/>
  </cols>
  <sheetData>
    <row r="1">
      <c r="A1" s="1">
        <f>VALUE(LEFT(F3,FIND(" - ",F3)-1))</f>
        <v>724</v>
      </c>
      <c r="B1" s="2"/>
      <c r="C1" s="3"/>
      <c r="D1" s="3"/>
      <c r="E1" s="3"/>
      <c r="F1" s="3"/>
      <c r="L1" s="4"/>
    </row>
    <row r="2">
      <c r="B2" s="2"/>
      <c r="C2" s="2"/>
      <c r="D2" s="5" t="s">
        <v>0</v>
      </c>
      <c r="E2" s="6"/>
      <c r="F2" s="7" t="str">
        <f>IFERROR(__xludf.DUMMYFUNCTION("VLOOKUP(A1,IMPORTRANGE(""1--DGkU5oDw3gpAa_rQkeu1olWCf2iv8Pm7BNjqiyiuY"", ""Listado Cursos!$A$2:$H$100""),2,FALSE)"),"Teoría de Sistemas 2")</f>
        <v>Teoría de Sistemas 2</v>
      </c>
      <c r="G2" s="8"/>
      <c r="H2" s="8"/>
      <c r="I2" s="8"/>
      <c r="J2" s="6"/>
      <c r="K2" s="9" t="s">
        <v>1</v>
      </c>
      <c r="L2" s="10"/>
      <c r="M2" s="10"/>
      <c r="O2" s="1"/>
    </row>
    <row r="3">
      <c r="B3" s="2"/>
      <c r="C3" s="2"/>
      <c r="D3" s="5" t="s">
        <v>2</v>
      </c>
      <c r="E3" s="6"/>
      <c r="F3" s="11" t="s">
        <v>3</v>
      </c>
      <c r="G3" s="8"/>
      <c r="H3" s="8"/>
      <c r="I3" s="8"/>
      <c r="J3" s="6"/>
      <c r="L3" s="10"/>
      <c r="M3" s="10"/>
    </row>
    <row r="4">
      <c r="B4" s="2"/>
      <c r="C4" s="2"/>
      <c r="D4" s="5" t="s">
        <v>4</v>
      </c>
      <c r="E4" s="6"/>
      <c r="F4" s="12">
        <f>IFERROR(__xludf.DUMMYFUNCTION("VLOOKUP(A1,IMPORTRANGE(""1MOUTlliQSqGb2Oce5pNnwpPxIepu3Xne86_Tkp7F-Y4"", ""Listado Cursos!A:G""),4,FALSE)"),7.0)</f>
        <v>7</v>
      </c>
      <c r="G4" s="8"/>
      <c r="H4" s="8"/>
      <c r="I4" s="8"/>
      <c r="J4" s="6"/>
      <c r="L4" s="13" t="s">
        <v>5</v>
      </c>
      <c r="M4" s="10"/>
    </row>
    <row r="5">
      <c r="B5" s="2"/>
      <c r="C5" s="2"/>
      <c r="D5" s="5" t="s">
        <v>6</v>
      </c>
      <c r="E5" s="6"/>
      <c r="F5" s="12" t="str">
        <f>IFERROR(__xludf.DUMMYFUNCTION("VLOOKUP(A1,IMPORTRANGE(""1MOUTlliQSqGb2Oce5pNnwpPxIepu3Xne86_Tkp7F-Y4"", ""Listado Cursos!A:G""),6,FALSE)"),"Sistemas")</f>
        <v>Sistemas</v>
      </c>
      <c r="G5" s="8"/>
      <c r="H5" s="8"/>
      <c r="I5" s="8"/>
      <c r="J5" s="6"/>
      <c r="M5" s="10"/>
    </row>
    <row r="6">
      <c r="B6" s="14"/>
      <c r="C6" s="14"/>
      <c r="D6" s="15" t="s">
        <v>7</v>
      </c>
      <c r="E6" s="6"/>
      <c r="F6" s="12">
        <f>IFERROR(__xludf.DUMMYFUNCTION("VLOOKUP(A1,IMPORTRANGE(""1MOUTlliQSqGb2Oce5pNnwpPxIepu3Xne86_Tkp7F-Y4"", ""Listado Cursos!A:G""),3,FALSE)"),4.0)</f>
        <v>4</v>
      </c>
      <c r="G6" s="8"/>
      <c r="H6" s="8"/>
      <c r="I6" s="8"/>
      <c r="J6" s="6"/>
      <c r="M6" s="10"/>
    </row>
    <row r="7">
      <c r="B7" s="14"/>
      <c r="C7" s="14"/>
      <c r="D7" s="15" t="s">
        <v>8</v>
      </c>
      <c r="E7" s="6"/>
      <c r="F7" s="12">
        <v>4.0</v>
      </c>
      <c r="G7" s="8"/>
      <c r="H7" s="8"/>
      <c r="I7" s="8"/>
      <c r="J7" s="6"/>
      <c r="M7" s="10"/>
    </row>
    <row r="8">
      <c r="M8" s="10"/>
    </row>
    <row r="10">
      <c r="B10" s="16" t="s">
        <v>9</v>
      </c>
    </row>
    <row r="11">
      <c r="B11" s="17"/>
      <c r="C11" s="17"/>
      <c r="D11" s="17"/>
    </row>
    <row r="12">
      <c r="B12" s="18" t="s">
        <v>10</v>
      </c>
      <c r="E12" s="19"/>
      <c r="F12" s="20" t="s">
        <v>11</v>
      </c>
      <c r="I12" s="19"/>
      <c r="J12" s="21" t="s">
        <v>12</v>
      </c>
    </row>
    <row r="13">
      <c r="B13" s="22" t="s">
        <v>13</v>
      </c>
      <c r="C13" s="22" t="s">
        <v>14</v>
      </c>
      <c r="D13" s="22" t="s">
        <v>15</v>
      </c>
      <c r="F13" s="23" t="s">
        <v>13</v>
      </c>
      <c r="G13" s="22" t="s">
        <v>14</v>
      </c>
      <c r="H13" s="22" t="s">
        <v>15</v>
      </c>
      <c r="J13" s="24" t="s">
        <v>13</v>
      </c>
      <c r="K13" s="25" t="s">
        <v>14</v>
      </c>
      <c r="L13" s="26" t="s">
        <v>15</v>
      </c>
    </row>
    <row r="14">
      <c r="B14" s="27">
        <v>1.0</v>
      </c>
      <c r="C14" s="28">
        <f>IFERROR(__xludf.DUMMYFUNCTION("ARRAYFORMULA(TRANSPOSE(SPLIT(FILTER(IMPORTRANGE(""1MOUTlliQSqGb2Oce5pNnwpPxIepu3Xne86_Tkp7F-Y4"", ""Listado Cursos!E:E""), IMPORTRANGE(""1MOUTlliQSqGb2Oce5pNnwpPxIepu3Xne86_Tkp7F-Y4"", ""Listado Cursos!A:A"")=A1), "","")))"),601.0)</f>
        <v>601</v>
      </c>
      <c r="D14" s="29" t="str">
        <f>IFERROR(__xludf.DUMMYFUNCTION("IF(C14="""","""",VLOOKUP(C14,IMPORTRANGE(""1MOUTlliQSqGb2Oce5pNnwpPxIepu3Xne86_Tkp7F-Y4"", ""Listado Cursos!A:B""),2,FALSE))"),"Investigación de Operaciones 1")</f>
        <v>Investigación de Operaciones 1</v>
      </c>
      <c r="F14" s="27">
        <v>1.0</v>
      </c>
      <c r="G14" s="30">
        <f>IFERROR(__xludf.DUMMYFUNCTION("FILTER(IMPORTRANGE(""1MOUTlliQSqGb2Oce5pNnwpPxIepu3Xne86_Tkp7F-Y4"", ""Listado Cursos!A:B""),IMPORTRANGE(""1MOUTlliQSqGb2Oce5pNnwpPxIepu3Xne86_Tkp7F-Y4"", ""Listado Cursos!D:D"")=F4,IMPORTRANGE(""1MOUTlliQSqGb2Oce5pNnwpPxIepu3Xne86_Tkp7F-Y4"", ""Listado C"&amp;"ursos!A:A"")&lt;&gt;150)"),724.0)</f>
        <v>724</v>
      </c>
      <c r="H14" s="31" t="str">
        <f>IFERROR(__xludf.DUMMYFUNCTION("""COMPUTED_VALUE"""),"Teoría de Sistemas 2")</f>
        <v>Teoría de Sistemas 2</v>
      </c>
      <c r="J14" s="27">
        <v>1.0</v>
      </c>
      <c r="K14" s="32">
        <f>IFERROR(__xludf.DUMMYFUNCTION("FILTER(IMPORTRANGE(""1MOUTlliQSqGb2Oce5pNnwpPxIepu3Xne86_Tkp7F-Y4"", ""Listado Cursos!A:B""), ISNUMBER(SEARCH(A1, IMPORTRANGE(""1MOUTlliQSqGb2Oce5pNnwpPxIepu3Xne86_Tkp7F-Y4"", ""Listado Cursos!E:E""))))"),797.0)</f>
        <v>797</v>
      </c>
      <c r="L14" s="33" t="str">
        <f>IFERROR(__xludf.DUMMYFUNCTION("""COMPUTED_VALUE"""),"Seminario de Sistemas 1")</f>
        <v>Seminario de Sistemas 1</v>
      </c>
    </row>
    <row r="15">
      <c r="B15" s="27">
        <v>2.0</v>
      </c>
      <c r="C15" s="29">
        <f>IFERROR(__xludf.DUMMYFUNCTION("""COMPUTED_VALUE"""),722.0)</f>
        <v>722</v>
      </c>
      <c r="D15" s="29" t="str">
        <f>IFERROR(__xludf.DUMMYFUNCTION("IF(C15="""","""",VLOOKUP(C15,IMPORTRANGE(""1MOUTlliQSqGb2Oce5pNnwpPxIepu3Xne86_Tkp7F-Y4"", ""Listado Cursos!A:B""),2,FALSE))"),"Teoría de Sistemas 1")</f>
        <v>Teoría de Sistemas 1</v>
      </c>
      <c r="F15" s="27">
        <v>2.0</v>
      </c>
      <c r="G15" s="30">
        <f>IFERROR(__xludf.DUMMYFUNCTION("""COMPUTED_VALUE"""),603.0)</f>
        <v>603</v>
      </c>
      <c r="H15" s="31" t="str">
        <f>IFERROR(__xludf.DUMMYFUNCTION("""COMPUTED_VALUE"""),"Investigación de Operaciones 2")</f>
        <v>Investigación de Operaciones 2</v>
      </c>
      <c r="J15" s="27">
        <v>2.0</v>
      </c>
      <c r="K15" s="34">
        <f>IFERROR(__xludf.DUMMYFUNCTION("""COMPUTED_VALUE"""),729.0)</f>
        <v>729</v>
      </c>
      <c r="L15" s="35" t="str">
        <f>IFERROR(__xludf.DUMMYFUNCTION("""COMPUTED_VALUE"""),"Modelación y Simulación 1")</f>
        <v>Modelación y Simulación 1</v>
      </c>
    </row>
    <row r="16">
      <c r="B16" s="27">
        <v>3.0</v>
      </c>
      <c r="C16" s="33"/>
      <c r="D16" s="29" t="str">
        <f>IFERROR(__xludf.DUMMYFUNCTION("IF(C16="""","""",VLOOKUP(C16,IMPORTRANGE(""1MOUTlliQSqGb2Oce5pNnwpPxIepu3Xne86_Tkp7F-Y4"", ""Listado Cursos!A:B""),2,FALSE))"),"")</f>
        <v/>
      </c>
      <c r="F16" s="27">
        <v>3.0</v>
      </c>
      <c r="G16" s="30">
        <f>IFERROR(__xludf.DUMMYFUNCTION("""COMPUTED_VALUE"""),734.0)</f>
        <v>734</v>
      </c>
      <c r="H16" s="31" t="str">
        <f>IFERROR(__xludf.DUMMYFUNCTION("""COMPUTED_VALUE"""),"Estadística 2")</f>
        <v>Estadística 2</v>
      </c>
      <c r="J16" s="27">
        <v>3.0</v>
      </c>
      <c r="K16" s="36">
        <f>IFERROR(__xludf.DUMMYFUNCTION("""COMPUTED_VALUE"""),972.0)</f>
        <v>972</v>
      </c>
      <c r="L16" s="33" t="str">
        <f>IFERROR(__xludf.DUMMYFUNCTION("""COMPUTED_VALUE"""),"Inteligencia Artificial 1")</f>
        <v>Inteligencia Artificial 1</v>
      </c>
    </row>
    <row r="17">
      <c r="B17" s="27">
        <v>4.0</v>
      </c>
      <c r="C17" s="29"/>
      <c r="D17" s="29" t="str">
        <f>IFERROR(__xludf.DUMMYFUNCTION("IF(C17="""","""",VLOOKUP(C17,IMPORTRANGE(""1MOUTlliQSqGb2Oce5pNnwpPxIepu3Xne86_Tkp7F-Y4"", ""Listado Cursos!A:B""),2,FALSE))"),"")</f>
        <v/>
      </c>
      <c r="F17" s="27">
        <v>4.0</v>
      </c>
      <c r="G17" s="30">
        <f>IFERROR(__xludf.DUMMYFUNCTION("""COMPUTED_VALUE"""),281.0)</f>
        <v>281</v>
      </c>
      <c r="H17" s="31" t="str">
        <f>IFERROR(__xludf.DUMMYFUNCTION("""COMPUTED_VALUE"""),"Sistemas Operativos 1")</f>
        <v>Sistemas Operativos 1</v>
      </c>
      <c r="J17" s="27">
        <v>4.0</v>
      </c>
      <c r="K17" s="28"/>
      <c r="L17" s="33"/>
    </row>
    <row r="18">
      <c r="B18" s="27">
        <v>5.0</v>
      </c>
      <c r="C18" s="29"/>
      <c r="D18" s="29" t="str">
        <f>IFERROR(__xludf.DUMMYFUNCTION("IF(C18="""","""",VLOOKUP(C18,IMPORTRANGE(""1MOUTlliQSqGb2Oce5pNnwpPxIepu3Xne86_Tkp7F-Y4"", ""Listado Cursos!A:B""),2,FALSE))"),"")</f>
        <v/>
      </c>
      <c r="F18" s="27">
        <v>5.0</v>
      </c>
      <c r="G18" s="30">
        <f>IFERROR(__xludf.DUMMYFUNCTION("""COMPUTED_VALUE"""),779.0)</f>
        <v>779</v>
      </c>
      <c r="H18" s="31" t="str">
        <f>IFERROR(__xludf.DUMMYFUNCTION("""COMPUTED_VALUE"""),"Arquitectura de Computadoras y Ensambladores 2")</f>
        <v>Arquitectura de Computadoras y Ensambladores 2</v>
      </c>
      <c r="J18" s="27">
        <v>5.0</v>
      </c>
      <c r="K18" s="28"/>
      <c r="L18" s="33"/>
    </row>
    <row r="19">
      <c r="B19" s="27">
        <v>6.0</v>
      </c>
      <c r="C19" s="33"/>
      <c r="D19" s="29" t="str">
        <f>IFERROR(__xludf.DUMMYFUNCTION("IF(C19="""","""",VLOOKUP(C19,IMPORTRANGE(""1MOUTlliQSqGb2Oce5pNnwpPxIepu3Xne86_Tkp7F-Y4"", ""Listado Cursos!A:B""),2,FALSE))"),"")</f>
        <v/>
      </c>
      <c r="F19" s="27">
        <v>6.0</v>
      </c>
      <c r="G19" s="30">
        <f>IFERROR(__xludf.DUMMYFUNCTION("""COMPUTED_VALUE"""),970.0)</f>
        <v>970</v>
      </c>
      <c r="H19" s="37" t="str">
        <f>IFERROR(__xludf.DUMMYFUNCTION("""COMPUTED_VALUE"""),"Redes de Computadoras 1")</f>
        <v>Redes de Computadoras 1</v>
      </c>
      <c r="J19" s="27">
        <v>6.0</v>
      </c>
      <c r="K19" s="28"/>
      <c r="L19" s="33"/>
    </row>
    <row r="20">
      <c r="B20" s="27">
        <v>7.0</v>
      </c>
      <c r="C20" s="28"/>
      <c r="D20" s="29" t="str">
        <f>IFERROR(__xludf.DUMMYFUNCTION("IF(C20="""","""",VLOOKUP(C20,IMPORTRANGE(""1MOUTlliQSqGb2Oce5pNnwpPxIepu3Xne86_Tkp7F-Y4"", ""Listado Cursos!A:B""),2,FALSE))"),"")</f>
        <v/>
      </c>
      <c r="F20" s="27">
        <v>7.0</v>
      </c>
      <c r="G20" s="30">
        <f>IFERROR(__xludf.DUMMYFUNCTION("""COMPUTED_VALUE"""),774.0)</f>
        <v>774</v>
      </c>
      <c r="H20" s="37" t="str">
        <f>IFERROR(__xludf.DUMMYFUNCTION("""COMPUTED_VALUE"""),"Sistemas de Bases de Datos 1")</f>
        <v>Sistemas de Bases de Datos 1</v>
      </c>
      <c r="J20" s="27">
        <v>7.0</v>
      </c>
      <c r="K20" s="28"/>
      <c r="L20" s="33"/>
    </row>
    <row r="21">
      <c r="B21" s="27">
        <v>8.0</v>
      </c>
      <c r="C21" s="38"/>
      <c r="D21" s="29" t="str">
        <f>IFERROR(__xludf.DUMMYFUNCTION("IF(C21="""","""",VLOOKUP(C21,IMPORTRANGE(""1MOUTlliQSqGb2Oce5pNnwpPxIepu3Xne86_Tkp7F-Y4"", ""Listado Cursos!A:B""),2,FALSE))"),"")</f>
        <v/>
      </c>
      <c r="F21" s="27">
        <v>8.0</v>
      </c>
      <c r="G21" s="30">
        <f>IFERROR(__xludf.DUMMYFUNCTION("""COMPUTED_VALUE"""),2036.0)</f>
        <v>2036</v>
      </c>
      <c r="H21" s="37" t="str">
        <f>IFERROR(__xludf.DUMMYFUNCTION("""COMPUTED_VALUE"""),"Prácticas Intermedias")</f>
        <v>Prácticas Intermedias</v>
      </c>
      <c r="J21" s="27">
        <v>8.0</v>
      </c>
      <c r="K21" s="28"/>
      <c r="L21" s="33"/>
    </row>
    <row r="22">
      <c r="B22" s="27">
        <v>9.0</v>
      </c>
      <c r="C22" s="38"/>
      <c r="D22" s="29" t="str">
        <f>IFERROR(__xludf.DUMMYFUNCTION("IF(C22="""","""",VLOOKUP(C22,IMPORTRANGE(""1MOUTlliQSqGb2Oce5pNnwpPxIepu3Xne86_Tkp7F-Y4"", ""Listado Cursos!A:B""),2,FALSE))"),"")</f>
        <v/>
      </c>
      <c r="F22" s="27">
        <v>9.0</v>
      </c>
      <c r="G22" s="39"/>
      <c r="H22" s="39"/>
      <c r="J22" s="27">
        <v>9.0</v>
      </c>
      <c r="K22" s="28"/>
      <c r="L22" s="33"/>
    </row>
    <row r="23">
      <c r="B23" s="27">
        <v>10.0</v>
      </c>
      <c r="C23" s="40"/>
      <c r="D23" s="29" t="str">
        <f>IFERROR(__xludf.DUMMYFUNCTION("IF(C23="""","""",VLOOKUP(C23,IMPORTRANGE(""1MOUTlliQSqGb2Oce5pNnwpPxIepu3Xne86_Tkp7F-Y4"", ""Listado Cursos!A:B""),2,FALSE))"),"")</f>
        <v/>
      </c>
      <c r="F23" s="27">
        <v>10.0</v>
      </c>
      <c r="G23" s="39"/>
      <c r="H23" s="39"/>
      <c r="J23" s="27">
        <v>10.0</v>
      </c>
      <c r="K23" s="28"/>
      <c r="L23" s="38"/>
    </row>
    <row r="24">
      <c r="B24" s="27">
        <v>11.0</v>
      </c>
      <c r="C24" s="41"/>
      <c r="D24" s="29" t="str">
        <f>IFERROR(__xludf.DUMMYFUNCTION("IF(C24="""","""",VLOOKUP(C24,IMPORTRANGE(""1MOUTlliQSqGb2Oce5pNnwpPxIepu3Xne86_Tkp7F-Y4"", ""Listado Cursos!A:B""),2,FALSE))"),"")</f>
        <v/>
      </c>
      <c r="F24" s="27">
        <v>11.0</v>
      </c>
      <c r="G24" s="39"/>
      <c r="H24" s="39"/>
      <c r="J24" s="27">
        <v>11.0</v>
      </c>
      <c r="K24" s="28"/>
      <c r="L24" s="38"/>
    </row>
    <row r="25">
      <c r="B25" s="27">
        <v>12.0</v>
      </c>
      <c r="C25" s="42"/>
      <c r="D25" s="29" t="str">
        <f>IFERROR(__xludf.DUMMYFUNCTION("IF(C25="""","""",VLOOKUP(C25,IMPORTRANGE(""1MOUTlliQSqGb2Oce5pNnwpPxIepu3Xne86_Tkp7F-Y4"", ""Listado Cursos!A:B""),2,FALSE))"),"")</f>
        <v/>
      </c>
      <c r="F25" s="27">
        <v>12.0</v>
      </c>
      <c r="G25" s="39"/>
      <c r="H25" s="39"/>
      <c r="J25" s="27">
        <v>12.0</v>
      </c>
      <c r="K25" s="28"/>
      <c r="L25" s="38"/>
    </row>
    <row r="26">
      <c r="B26" s="27">
        <v>13.0</v>
      </c>
      <c r="C26" s="42"/>
      <c r="D26" s="29" t="str">
        <f>IFERROR(__xludf.DUMMYFUNCTION("IF(C26="""","""",VLOOKUP(C26,IMPORTRANGE(""1MOUTlliQSqGb2Oce5pNnwpPxIepu3Xne86_Tkp7F-Y4"", ""Listado Cursos!A:B""),2,FALSE))"),"")</f>
        <v/>
      </c>
      <c r="F26" s="27">
        <v>13.0</v>
      </c>
      <c r="G26" s="39"/>
      <c r="H26" s="39"/>
      <c r="J26" s="27">
        <v>13.0</v>
      </c>
      <c r="K26" s="28"/>
      <c r="L26" s="38"/>
    </row>
    <row r="27">
      <c r="B27" s="27">
        <v>14.0</v>
      </c>
      <c r="C27" s="42"/>
      <c r="D27" s="29" t="str">
        <f>IFERROR(__xludf.DUMMYFUNCTION("IF(C27="""","""",VLOOKUP(C27,IMPORTRANGE(""1MOUTlliQSqGb2Oce5pNnwpPxIepu3Xne86_Tkp7F-Y4"", ""Listado Cursos!A:B""),2,FALSE))"),"")</f>
        <v/>
      </c>
      <c r="F27" s="27">
        <v>14.0</v>
      </c>
      <c r="G27" s="39"/>
      <c r="H27" s="39"/>
      <c r="J27" s="27">
        <v>14.0</v>
      </c>
      <c r="K27" s="28"/>
      <c r="L27" s="38"/>
    </row>
    <row r="28">
      <c r="B28" s="43"/>
      <c r="C28" s="44"/>
      <c r="D28" s="45"/>
    </row>
    <row r="29">
      <c r="B29" s="2"/>
      <c r="C29" s="2"/>
      <c r="D29" s="46"/>
      <c r="E29" s="46"/>
      <c r="F29" s="46"/>
      <c r="G29" s="46"/>
    </row>
    <row r="30">
      <c r="B30" s="47"/>
      <c r="C30" s="48" t="s">
        <v>16</v>
      </c>
    </row>
    <row r="31" ht="22.5" customHeight="1">
      <c r="B31" s="2"/>
      <c r="C31" s="49" t="s">
        <v>17</v>
      </c>
      <c r="D31" s="6"/>
      <c r="E31" s="50" t="s">
        <v>18</v>
      </c>
      <c r="F31" s="8"/>
      <c r="G31" s="8"/>
      <c r="H31" s="8"/>
      <c r="I31" s="8"/>
      <c r="J31" s="8"/>
      <c r="K31" s="8"/>
      <c r="L31" s="6"/>
    </row>
    <row r="32" ht="46.5" customHeight="1">
      <c r="B32" s="14"/>
      <c r="C32" s="51" t="s">
        <v>19</v>
      </c>
      <c r="D32" s="6"/>
      <c r="E32" s="52"/>
      <c r="F32" s="8"/>
      <c r="G32" s="8"/>
      <c r="H32" s="8"/>
      <c r="I32" s="8"/>
      <c r="J32" s="8"/>
      <c r="K32" s="8"/>
      <c r="L32" s="6"/>
    </row>
    <row r="33" ht="48.0" customHeight="1">
      <c r="B33" s="14"/>
      <c r="C33" s="51" t="s">
        <v>20</v>
      </c>
      <c r="D33" s="6"/>
      <c r="E33" s="52"/>
      <c r="F33" s="8"/>
      <c r="G33" s="8"/>
      <c r="H33" s="8"/>
      <c r="I33" s="8"/>
      <c r="J33" s="8"/>
      <c r="K33" s="8"/>
      <c r="L33" s="6"/>
    </row>
    <row r="34">
      <c r="C34" s="53"/>
      <c r="D34" s="46"/>
      <c r="E34" s="46"/>
      <c r="F34" s="46"/>
      <c r="G34" s="46"/>
      <c r="H34" s="46"/>
      <c r="I34" s="46"/>
      <c r="J34" s="46"/>
      <c r="K34" s="46"/>
      <c r="L34" s="46"/>
    </row>
    <row r="35" ht="22.5" customHeight="1">
      <c r="B35" s="2"/>
      <c r="C35" s="49" t="s">
        <v>17</v>
      </c>
      <c r="D35" s="6"/>
      <c r="E35" s="50" t="s">
        <v>18</v>
      </c>
      <c r="F35" s="8"/>
      <c r="G35" s="8"/>
      <c r="H35" s="8"/>
      <c r="I35" s="8"/>
      <c r="J35" s="8"/>
      <c r="K35" s="8"/>
      <c r="L35" s="6"/>
    </row>
    <row r="36" ht="46.5" customHeight="1">
      <c r="B36" s="14"/>
      <c r="C36" s="51" t="s">
        <v>19</v>
      </c>
      <c r="D36" s="6"/>
      <c r="E36" s="52"/>
      <c r="F36" s="8"/>
      <c r="G36" s="8"/>
      <c r="H36" s="8"/>
      <c r="I36" s="8"/>
      <c r="J36" s="8"/>
      <c r="K36" s="8"/>
      <c r="L36" s="6"/>
    </row>
    <row r="37" ht="48.0" customHeight="1">
      <c r="B37" s="14"/>
      <c r="C37" s="51" t="s">
        <v>20</v>
      </c>
      <c r="D37" s="6"/>
      <c r="E37" s="52"/>
      <c r="F37" s="8"/>
      <c r="G37" s="8"/>
      <c r="H37" s="8"/>
      <c r="I37" s="8"/>
      <c r="J37" s="8"/>
      <c r="K37" s="8"/>
      <c r="L37" s="6"/>
      <c r="M37" s="54"/>
    </row>
    <row r="38">
      <c r="B38" s="47"/>
      <c r="C38" s="55"/>
      <c r="D38" s="56"/>
      <c r="E38" s="56"/>
      <c r="F38" s="56"/>
      <c r="G38" s="56"/>
      <c r="H38" s="56"/>
      <c r="I38" s="56"/>
      <c r="J38" s="56"/>
      <c r="K38" s="56"/>
      <c r="L38" s="56"/>
    </row>
    <row r="39" ht="22.5" customHeight="1">
      <c r="B39" s="2"/>
      <c r="C39" s="49" t="s">
        <v>17</v>
      </c>
      <c r="D39" s="6"/>
      <c r="E39" s="50"/>
      <c r="F39" s="8"/>
      <c r="G39" s="8"/>
      <c r="H39" s="8"/>
      <c r="I39" s="8"/>
      <c r="J39" s="8"/>
      <c r="K39" s="8"/>
      <c r="L39" s="6"/>
      <c r="M39" s="57" t="s">
        <v>1</v>
      </c>
      <c r="N39" s="58" t="s">
        <v>21</v>
      </c>
    </row>
    <row r="40" ht="46.5" customHeight="1">
      <c r="B40" s="14"/>
      <c r="C40" s="51" t="s">
        <v>19</v>
      </c>
      <c r="D40" s="6"/>
      <c r="E40" s="52"/>
      <c r="F40" s="8"/>
      <c r="G40" s="8"/>
      <c r="H40" s="8"/>
      <c r="I40" s="8"/>
      <c r="J40" s="8"/>
      <c r="K40" s="8"/>
      <c r="L40" s="6"/>
    </row>
    <row r="41" ht="48.0" customHeight="1">
      <c r="B41" s="14"/>
      <c r="C41" s="51" t="s">
        <v>20</v>
      </c>
      <c r="D41" s="6"/>
      <c r="E41" s="52"/>
      <c r="F41" s="8"/>
      <c r="G41" s="8"/>
      <c r="H41" s="8"/>
      <c r="I41" s="8"/>
      <c r="J41" s="8"/>
      <c r="K41" s="8"/>
      <c r="L41" s="6"/>
    </row>
    <row r="42">
      <c r="D42" s="56"/>
      <c r="E42" s="56"/>
      <c r="F42" s="56"/>
      <c r="G42" s="56"/>
      <c r="H42" s="56"/>
      <c r="I42" s="56"/>
      <c r="J42" s="56"/>
      <c r="K42" s="56"/>
      <c r="L42" s="56"/>
    </row>
    <row r="43" ht="22.5" customHeight="1">
      <c r="B43" s="2"/>
      <c r="C43" s="49" t="s">
        <v>17</v>
      </c>
      <c r="D43" s="6"/>
      <c r="E43" s="50"/>
      <c r="F43" s="8"/>
      <c r="G43" s="8"/>
      <c r="H43" s="8"/>
      <c r="I43" s="8"/>
      <c r="J43" s="8"/>
      <c r="K43" s="8"/>
      <c r="L43" s="6"/>
    </row>
    <row r="44" ht="46.5" customHeight="1">
      <c r="B44" s="14"/>
      <c r="C44" s="51" t="s">
        <v>19</v>
      </c>
      <c r="D44" s="6"/>
      <c r="E44" s="52"/>
      <c r="F44" s="8"/>
      <c r="G44" s="8"/>
      <c r="H44" s="8"/>
      <c r="I44" s="8"/>
      <c r="J44" s="8"/>
      <c r="K44" s="8"/>
      <c r="L44" s="6"/>
    </row>
    <row r="45" ht="48.0" customHeight="1">
      <c r="B45" s="14"/>
      <c r="C45" s="51" t="s">
        <v>20</v>
      </c>
      <c r="D45" s="6"/>
      <c r="E45" s="52"/>
      <c r="F45" s="8"/>
      <c r="G45" s="8"/>
      <c r="H45" s="8"/>
      <c r="I45" s="8"/>
      <c r="J45" s="8"/>
      <c r="K45" s="8"/>
      <c r="L45" s="6"/>
    </row>
    <row r="46">
      <c r="D46" s="56"/>
      <c r="E46" s="56"/>
      <c r="F46" s="56"/>
      <c r="G46" s="56"/>
      <c r="H46" s="56"/>
      <c r="I46" s="56"/>
      <c r="J46" s="56"/>
      <c r="K46" s="56"/>
      <c r="L46" s="56"/>
    </row>
    <row r="47" ht="22.5" customHeight="1">
      <c r="B47" s="2"/>
      <c r="C47" s="49" t="s">
        <v>17</v>
      </c>
      <c r="D47" s="6"/>
      <c r="E47" s="50"/>
      <c r="F47" s="8"/>
      <c r="G47" s="8"/>
      <c r="H47" s="8"/>
      <c r="I47" s="8"/>
      <c r="J47" s="8"/>
      <c r="K47" s="8"/>
      <c r="L47" s="6"/>
    </row>
    <row r="48" ht="46.5" customHeight="1">
      <c r="B48" s="14"/>
      <c r="C48" s="51" t="s">
        <v>19</v>
      </c>
      <c r="D48" s="6"/>
      <c r="E48" s="52"/>
      <c r="F48" s="8"/>
      <c r="G48" s="8"/>
      <c r="H48" s="8"/>
      <c r="I48" s="8"/>
      <c r="J48" s="8"/>
      <c r="K48" s="8"/>
      <c r="L48" s="6"/>
    </row>
    <row r="49" ht="48.0" customHeight="1">
      <c r="B49" s="14"/>
      <c r="C49" s="51" t="s">
        <v>20</v>
      </c>
      <c r="D49" s="6"/>
      <c r="E49" s="52"/>
      <c r="F49" s="8"/>
      <c r="G49" s="8"/>
      <c r="H49" s="8"/>
      <c r="I49" s="8"/>
      <c r="J49" s="8"/>
      <c r="K49" s="8"/>
      <c r="L49" s="6"/>
    </row>
    <row r="50">
      <c r="D50" s="56"/>
      <c r="E50" s="56"/>
      <c r="F50" s="56"/>
      <c r="G50" s="56"/>
      <c r="H50" s="56"/>
      <c r="I50" s="56"/>
      <c r="J50" s="56"/>
      <c r="K50" s="56"/>
      <c r="L50" s="56"/>
    </row>
    <row r="51" ht="22.5" customHeight="1">
      <c r="B51" s="2"/>
      <c r="C51" s="49" t="s">
        <v>17</v>
      </c>
      <c r="D51" s="6"/>
      <c r="E51" s="50"/>
      <c r="F51" s="8"/>
      <c r="G51" s="8"/>
      <c r="H51" s="8"/>
      <c r="I51" s="8"/>
      <c r="J51" s="8"/>
      <c r="K51" s="8"/>
      <c r="L51" s="6"/>
    </row>
    <row r="52" ht="46.5" customHeight="1">
      <c r="B52" s="14"/>
      <c r="C52" s="51" t="s">
        <v>19</v>
      </c>
      <c r="D52" s="6"/>
      <c r="E52" s="52"/>
      <c r="F52" s="8"/>
      <c r="G52" s="8"/>
      <c r="H52" s="8"/>
      <c r="I52" s="8"/>
      <c r="J52" s="8"/>
      <c r="K52" s="8"/>
      <c r="L52" s="6"/>
    </row>
    <row r="53" ht="48.0" customHeight="1">
      <c r="B53" s="14"/>
      <c r="C53" s="51" t="s">
        <v>20</v>
      </c>
      <c r="D53" s="6"/>
      <c r="E53" s="52"/>
      <c r="F53" s="8"/>
      <c r="G53" s="8"/>
      <c r="H53" s="8"/>
      <c r="I53" s="8"/>
      <c r="J53" s="8"/>
      <c r="K53" s="8"/>
      <c r="L53" s="6"/>
    </row>
    <row r="54">
      <c r="D54" s="56"/>
      <c r="E54" s="56"/>
      <c r="F54" s="56"/>
      <c r="G54" s="56"/>
      <c r="H54" s="56"/>
      <c r="I54" s="56"/>
      <c r="J54" s="56"/>
      <c r="K54" s="56"/>
      <c r="L54" s="56"/>
    </row>
    <row r="55">
      <c r="D55" s="56"/>
      <c r="E55" s="56"/>
      <c r="F55" s="56"/>
      <c r="G55" s="56"/>
      <c r="H55" s="56"/>
      <c r="I55" s="56"/>
      <c r="J55" s="56"/>
      <c r="K55" s="56"/>
      <c r="L55" s="56"/>
    </row>
    <row r="56">
      <c r="D56" s="56"/>
      <c r="E56" s="56"/>
      <c r="F56" s="56"/>
      <c r="G56" s="56"/>
      <c r="H56" s="56"/>
      <c r="I56" s="56"/>
      <c r="J56" s="56"/>
      <c r="K56" s="56"/>
      <c r="L56" s="56"/>
    </row>
    <row r="57">
      <c r="D57" s="56"/>
      <c r="E57" s="56"/>
      <c r="F57" s="56"/>
      <c r="G57" s="56"/>
      <c r="H57" s="56"/>
      <c r="I57" s="56"/>
      <c r="J57" s="56"/>
      <c r="K57" s="56"/>
      <c r="L57" s="56"/>
    </row>
    <row r="58">
      <c r="D58" s="56"/>
      <c r="E58" s="56"/>
      <c r="F58" s="56"/>
      <c r="G58" s="56"/>
      <c r="H58" s="56"/>
      <c r="I58" s="56"/>
      <c r="J58" s="56"/>
      <c r="K58" s="56"/>
      <c r="L58" s="56"/>
    </row>
    <row r="59">
      <c r="D59" s="56"/>
      <c r="E59" s="56"/>
      <c r="F59" s="56"/>
      <c r="G59" s="56"/>
      <c r="H59" s="56"/>
      <c r="I59" s="56"/>
      <c r="J59" s="56"/>
      <c r="K59" s="56"/>
      <c r="L59" s="56"/>
    </row>
    <row r="60">
      <c r="D60" s="56"/>
      <c r="E60" s="56"/>
      <c r="F60" s="56"/>
      <c r="G60" s="56"/>
      <c r="H60" s="56"/>
      <c r="I60" s="56"/>
      <c r="J60" s="56"/>
      <c r="K60" s="56"/>
      <c r="L60" s="56"/>
    </row>
    <row r="61">
      <c r="D61" s="56"/>
      <c r="E61" s="56"/>
      <c r="F61" s="56"/>
      <c r="G61" s="56"/>
      <c r="H61" s="56"/>
      <c r="I61" s="56"/>
      <c r="J61" s="56"/>
      <c r="K61" s="56"/>
      <c r="L61" s="56"/>
    </row>
    <row r="62">
      <c r="D62" s="56"/>
      <c r="E62" s="56"/>
      <c r="F62" s="56"/>
      <c r="G62" s="56"/>
      <c r="H62" s="56"/>
      <c r="I62" s="56"/>
      <c r="J62" s="56"/>
      <c r="K62" s="56"/>
      <c r="L62" s="56"/>
    </row>
    <row r="63">
      <c r="D63" s="56"/>
      <c r="E63" s="56"/>
      <c r="F63" s="56"/>
      <c r="G63" s="56"/>
      <c r="H63" s="56"/>
      <c r="I63" s="56"/>
      <c r="J63" s="56"/>
      <c r="K63" s="56"/>
      <c r="L63" s="56"/>
    </row>
    <row r="64">
      <c r="D64" s="56"/>
      <c r="E64" s="56"/>
      <c r="F64" s="56"/>
      <c r="G64" s="56"/>
      <c r="H64" s="56"/>
      <c r="I64" s="56"/>
      <c r="J64" s="56"/>
      <c r="K64" s="56"/>
      <c r="L64" s="56"/>
    </row>
    <row r="65">
      <c r="D65" s="56"/>
      <c r="E65" s="56"/>
      <c r="F65" s="56"/>
      <c r="G65" s="56"/>
      <c r="H65" s="56"/>
      <c r="I65" s="56"/>
      <c r="J65" s="56"/>
      <c r="K65" s="56"/>
      <c r="L65" s="56"/>
    </row>
    <row r="66">
      <c r="D66" s="56"/>
      <c r="E66" s="56"/>
      <c r="F66" s="56"/>
      <c r="G66" s="56"/>
      <c r="H66" s="56"/>
      <c r="I66" s="56"/>
      <c r="J66" s="56"/>
      <c r="K66" s="56"/>
      <c r="L66" s="56"/>
    </row>
    <row r="67">
      <c r="D67" s="56"/>
      <c r="E67" s="56"/>
      <c r="F67" s="56"/>
      <c r="G67" s="56"/>
      <c r="H67" s="56"/>
      <c r="I67" s="56"/>
      <c r="J67" s="56"/>
      <c r="K67" s="56"/>
      <c r="L67" s="56"/>
    </row>
    <row r="68">
      <c r="D68" s="56"/>
      <c r="E68" s="56"/>
      <c r="F68" s="56"/>
      <c r="G68" s="56"/>
      <c r="H68" s="56"/>
      <c r="I68" s="56"/>
      <c r="J68" s="56"/>
      <c r="K68" s="56"/>
      <c r="L68" s="56"/>
    </row>
    <row r="69">
      <c r="D69" s="56"/>
      <c r="E69" s="56"/>
      <c r="F69" s="56"/>
      <c r="G69" s="56"/>
      <c r="H69" s="56"/>
      <c r="I69" s="56"/>
      <c r="J69" s="56"/>
      <c r="K69" s="56"/>
      <c r="L69" s="56"/>
    </row>
  </sheetData>
  <mergeCells count="57">
    <mergeCell ref="E44:L44"/>
    <mergeCell ref="E45:L45"/>
    <mergeCell ref="E37:L37"/>
    <mergeCell ref="E39:L39"/>
    <mergeCell ref="M39:M40"/>
    <mergeCell ref="N39:O41"/>
    <mergeCell ref="E40:L40"/>
    <mergeCell ref="E41:L41"/>
    <mergeCell ref="E43:L43"/>
    <mergeCell ref="C48:D48"/>
    <mergeCell ref="C49:D49"/>
    <mergeCell ref="C51:D51"/>
    <mergeCell ref="C52:D52"/>
    <mergeCell ref="C53:D53"/>
    <mergeCell ref="C36:D36"/>
    <mergeCell ref="C37:D37"/>
    <mergeCell ref="C39:D39"/>
    <mergeCell ref="C40:D40"/>
    <mergeCell ref="C41:D41"/>
    <mergeCell ref="C43:D43"/>
    <mergeCell ref="C44:D44"/>
    <mergeCell ref="D4:E4"/>
    <mergeCell ref="D5:E5"/>
    <mergeCell ref="D3:E3"/>
    <mergeCell ref="D6:E6"/>
    <mergeCell ref="F6:J6"/>
    <mergeCell ref="D7:E7"/>
    <mergeCell ref="F7:J7"/>
    <mergeCell ref="D2:E2"/>
    <mergeCell ref="F2:J2"/>
    <mergeCell ref="K2:K5"/>
    <mergeCell ref="F3:J3"/>
    <mergeCell ref="F4:J4"/>
    <mergeCell ref="L4:L8"/>
    <mergeCell ref="F5:J5"/>
    <mergeCell ref="B10:L10"/>
    <mergeCell ref="B12:D12"/>
    <mergeCell ref="F12:H12"/>
    <mergeCell ref="J12:L12"/>
    <mergeCell ref="C30:L30"/>
    <mergeCell ref="C31:D31"/>
    <mergeCell ref="E31:L31"/>
    <mergeCell ref="C32:D32"/>
    <mergeCell ref="E32:L32"/>
    <mergeCell ref="C33:D33"/>
    <mergeCell ref="E33:L33"/>
    <mergeCell ref="C35:D35"/>
    <mergeCell ref="E35:L35"/>
    <mergeCell ref="E36:L36"/>
    <mergeCell ref="C45:D45"/>
    <mergeCell ref="C47:D47"/>
    <mergeCell ref="E47:L47"/>
    <mergeCell ref="E48:L48"/>
    <mergeCell ref="E49:L49"/>
    <mergeCell ref="E51:L51"/>
    <mergeCell ref="E52:L52"/>
    <mergeCell ref="E53:L53"/>
  </mergeCells>
  <dataValidations>
    <dataValidation type="list" allowBlank="1" sqref="E31 E35 E39 E43 E47 E51">
      <formula1>MetaData!$P:$P</formula1>
    </dataValidation>
    <dataValidation type="list" allowBlank="1" showErrorMessage="1" sqref="F3">
      <formula1>MetaData!$A:$A</formula1>
    </dataValidation>
  </dataValidation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88"/>
    <col customWidth="1" min="2" max="2" width="63.38"/>
    <col customWidth="1" min="3" max="3" width="17.63"/>
    <col customWidth="1" min="4" max="4" width="41.38"/>
    <col customWidth="1" min="5" max="5" width="52.38"/>
    <col customWidth="1" min="6" max="6" width="6.0"/>
    <col customWidth="1" min="7" max="7" width="8.63"/>
  </cols>
  <sheetData>
    <row r="1">
      <c r="A1" s="59" t="s">
        <v>22</v>
      </c>
      <c r="H1" s="60" t="s">
        <v>23</v>
      </c>
    </row>
    <row r="2">
      <c r="B2" s="61"/>
      <c r="D2" s="61"/>
      <c r="E2" s="61"/>
    </row>
    <row r="3" ht="30.75" customHeight="1">
      <c r="A3" s="62" t="s">
        <v>24</v>
      </c>
      <c r="C3" s="63">
        <f t="array" ref="C3">INDEX('Información General'!C13:C27, MATCH(A3, 'Información General'!D13:D27, 0))</f>
        <v>722</v>
      </c>
      <c r="D3" s="64" t="str">
        <f>C3&amp;" - "&amp;A3</f>
        <v>722 - Teoría de Sistemas 1</v>
      </c>
      <c r="E3" s="61"/>
      <c r="F3" s="65" t="s">
        <v>25</v>
      </c>
    </row>
    <row r="4">
      <c r="A4" s="66">
        <v>2.0</v>
      </c>
      <c r="B4" s="67" t="s">
        <v>26</v>
      </c>
      <c r="C4" s="68" t="s">
        <v>27</v>
      </c>
      <c r="D4" s="69" t="s">
        <v>28</v>
      </c>
      <c r="E4" s="69" t="s">
        <v>29</v>
      </c>
      <c r="F4" s="68" t="s">
        <v>30</v>
      </c>
      <c r="G4" s="68" t="s">
        <v>31</v>
      </c>
    </row>
    <row r="5">
      <c r="A5" s="70">
        <f>IFERROR(__xludf.DUMMYFUNCTION("QUERY(IMPORTRANGE(VLOOKUP(D3,MetaData!A:B,2,FALSE), ""Diseño Curricular!A4:G500""), )"),1.0)</f>
        <v>1</v>
      </c>
      <c r="B5" s="61" t="str">
        <f>IFERROR(__xludf.DUMMYFUNCTION("""COMPUTED_VALUE"""),"identifica los conceptos fundamentales de la teoría de sistemas y del pensamiento sistémico mediante la revisión de definiciones, clasificaciones y características básicas de los sistemas para reconocer los elementos esenciales en el análisis y modelación"&amp;" de sistemas ")</f>
        <v>identifica los conceptos fundamentales de la teoría de sistemas y del pensamiento sistémico mediante la revisión de definiciones, clasificaciones y características básicas de los sistemas para reconocer los elementos esenciales en el análisis y modelación de sistemas </v>
      </c>
      <c r="C5" s="71" t="str">
        <f>IFERROR(__xludf.DUMMYFUNCTION("""COMPUTED_VALUE"""),"Unidad 1: Introducción al pensamiento sistémico")</f>
        <v>Unidad 1: Introducción al pensamiento sistémico</v>
      </c>
      <c r="D5" s="61" t="str">
        <f>IFERROR(__xludf.DUMMYFUNCTION("""COMPUTED_VALUE"""),"Los modelos mentales o sistemas abstractos diseñados")</f>
        <v>Los modelos mentales o sistemas abstractos diseñados</v>
      </c>
      <c r="E5" s="61" t="str">
        <f>IFERROR(__xludf.DUMMYFUNCTION("""COMPUTED_VALUE"""),"Pensar en sistemas o pensar de otras maneras")</f>
        <v>Pensar en sistemas o pensar de otras maneras</v>
      </c>
      <c r="F5" s="71" t="str">
        <f>IFERROR(__xludf.DUMMYFUNCTION("""COMPUTED_VALUE"""),"Julio")</f>
        <v>Julio</v>
      </c>
      <c r="G5" s="71">
        <f>IFERROR(__xludf.DUMMYFUNCTION("""COMPUTED_VALUE"""),1.0)</f>
        <v>1</v>
      </c>
    </row>
    <row r="6">
      <c r="A6" s="71">
        <f>IFERROR(__xludf.DUMMYFUNCTION("""COMPUTED_VALUE"""),2.0)</f>
        <v>2</v>
      </c>
      <c r="B6" s="61" t="str">
        <f>IFERROR(__xludf.DUMMYFUNCTION("""COMPUTED_VALUE"""),"identifica los conceptos fundamentales de la teoría de sistemas y del pensamiento sistémico mediante la revisión de definiciones, clasificaciones y características básicas de los sistemas para reconocer los elementos esenciales en el análisis y modelación"&amp;" de sistemas ")</f>
        <v>identifica los conceptos fundamentales de la teoría de sistemas y del pensamiento sistémico mediante la revisión de definiciones, clasificaciones y características básicas de los sistemas para reconocer los elementos esenciales en el análisis y modelación de sistemas </v>
      </c>
      <c r="C6" s="71" t="str">
        <f>IFERROR(__xludf.DUMMYFUNCTION("""COMPUTED_VALUE"""),"Unidad 1: Introducción al pensamiento sistémico")</f>
        <v>Unidad 1: Introducción al pensamiento sistémico</v>
      </c>
      <c r="D6" s="61" t="str">
        <f>IFERROR(__xludf.DUMMYFUNCTION("""COMPUTED_VALUE"""),"Los modelos mentales o sistemas abstractos diseñados")</f>
        <v>Los modelos mentales o sistemas abstractos diseñados</v>
      </c>
      <c r="E6" s="61" t="str">
        <f>IFERROR(__xludf.DUMMYFUNCTION("""COMPUTED_VALUE"""),"La realidad interpretada por el pensamiento")</f>
        <v>La realidad interpretada por el pensamiento</v>
      </c>
      <c r="F6" s="71" t="str">
        <f>IFERROR(__xludf.DUMMYFUNCTION("""COMPUTED_VALUE"""),"Julio")</f>
        <v>Julio</v>
      </c>
      <c r="G6" s="71">
        <f>IFERROR(__xludf.DUMMYFUNCTION("""COMPUTED_VALUE"""),1.0)</f>
        <v>1</v>
      </c>
    </row>
    <row r="7">
      <c r="A7" s="71">
        <f>IFERROR(__xludf.DUMMYFUNCTION("""COMPUTED_VALUE"""),3.0)</f>
        <v>3</v>
      </c>
      <c r="B7" s="61" t="str">
        <f>IFERROR(__xludf.DUMMYFUNCTION("""COMPUTED_VALUE"""),"identifica los conceptos fundamentales de la teoría de sistemas y del pensamiento sistémico mediante la revisión de definiciones, clasificaciones y características básicas de los sistemas para reconocer los elementos esenciales en el análisis y modelación"&amp;" de sistemas ")</f>
        <v>identifica los conceptos fundamentales de la teoría de sistemas y del pensamiento sistémico mediante la revisión de definiciones, clasificaciones y características básicas de los sistemas para reconocer los elementos esenciales en el análisis y modelación de sistemas </v>
      </c>
      <c r="C7" s="71" t="str">
        <f>IFERROR(__xludf.DUMMYFUNCTION("""COMPUTED_VALUE"""),"Unidad 1: Introducción al pensamiento sistémico")</f>
        <v>Unidad 1: Introducción al pensamiento sistémico</v>
      </c>
      <c r="D7" s="61" t="str">
        <f>IFERROR(__xludf.DUMMYFUNCTION("""COMPUTED_VALUE"""),"Los modelos mentales o sistemas abstractos diseñados")</f>
        <v>Los modelos mentales o sistemas abstractos diseñados</v>
      </c>
      <c r="E7" s="61" t="str">
        <f>IFERROR(__xludf.DUMMYFUNCTION("""COMPUTED_VALUE"""),"La dinámica de los modelos mentales")</f>
        <v>La dinámica de los modelos mentales</v>
      </c>
      <c r="F7" s="71" t="str">
        <f>IFERROR(__xludf.DUMMYFUNCTION("""COMPUTED_VALUE"""),"Julio")</f>
        <v>Julio</v>
      </c>
      <c r="G7" s="71">
        <f>IFERROR(__xludf.DUMMYFUNCTION("""COMPUTED_VALUE"""),1.0)</f>
        <v>1</v>
      </c>
    </row>
    <row r="8">
      <c r="A8" s="71">
        <f>IFERROR(__xludf.DUMMYFUNCTION("""COMPUTED_VALUE"""),4.0)</f>
        <v>4</v>
      </c>
      <c r="B8" s="61" t="str">
        <f>IFERROR(__xludf.DUMMYFUNCTION("""COMPUTED_VALUE"""),"identifica los conceptos fundamentales de la teoría de sistemas y del pensamiento sistémico mediante la revisión de definiciones, clasificaciones y características básicas de los sistemas para reconocer los elementos esenciales en el análisis y modelación"&amp;" de sistemas ")</f>
        <v>identifica los conceptos fundamentales de la teoría de sistemas y del pensamiento sistémico mediante la revisión de definiciones, clasificaciones y características básicas de los sistemas para reconocer los elementos esenciales en el análisis y modelación de sistemas </v>
      </c>
      <c r="C8" s="71" t="str">
        <f>IFERROR(__xludf.DUMMYFUNCTION("""COMPUTED_VALUE"""),"Unidad 1: Introducción al pensamiento sistémico")</f>
        <v>Unidad 1: Introducción al pensamiento sistémico</v>
      </c>
      <c r="D8" s="61" t="str">
        <f>IFERROR(__xludf.DUMMYFUNCTION("""COMPUTED_VALUE"""),"Los modelos mentales o sistemas abstractos diseñados")</f>
        <v>Los modelos mentales o sistemas abstractos diseñados</v>
      </c>
      <c r="E8" s="61" t="str">
        <f>IFERROR(__xludf.DUMMYFUNCTION("""COMPUTED_VALUE"""),"La escalera de inferencias")</f>
        <v>La escalera de inferencias</v>
      </c>
      <c r="F8" s="71" t="str">
        <f>IFERROR(__xludf.DUMMYFUNCTION("""COMPUTED_VALUE"""),"Julio")</f>
        <v>Julio</v>
      </c>
      <c r="G8" s="71">
        <f>IFERROR(__xludf.DUMMYFUNCTION("""COMPUTED_VALUE"""),1.0)</f>
        <v>1</v>
      </c>
    </row>
    <row r="9">
      <c r="A9" s="71">
        <f>IFERROR(__xludf.DUMMYFUNCTION("""COMPUTED_VALUE"""),5.0)</f>
        <v>5</v>
      </c>
      <c r="B9" s="61" t="str">
        <f>IFERROR(__xludf.DUMMYFUNCTION("""COMPUTED_VALUE"""),"identifica los conceptos fundamentales de la teoría de sistemas y del pensamiento sistémico mediante la revisión de definiciones, clasificaciones y características básicas de los sistemas para reconocer los elementos esenciales en el análisis y modelación"&amp;" de sistemas ")</f>
        <v>identifica los conceptos fundamentales de la teoría de sistemas y del pensamiento sistémico mediante la revisión de definiciones, clasificaciones y características básicas de los sistemas para reconocer los elementos esenciales en el análisis y modelación de sistemas </v>
      </c>
      <c r="C9" s="71" t="str">
        <f>IFERROR(__xludf.DUMMYFUNCTION("""COMPUTED_VALUE"""),"Unidad 1: Introducción al pensamiento sistémico")</f>
        <v>Unidad 1: Introducción al pensamiento sistémico</v>
      </c>
      <c r="D9" s="61" t="str">
        <f>IFERROR(__xludf.DUMMYFUNCTION("""COMPUTED_VALUE"""),"Los modelos mentales o sistemas abstractos diseñados")</f>
        <v>Los modelos mentales o sistemas abstractos diseñados</v>
      </c>
      <c r="E9" s="61" t="str">
        <f>IFERROR(__xludf.DUMMYFUNCTION("""COMPUTED_VALUE"""),"Modelos mentales sistémicos")</f>
        <v>Modelos mentales sistémicos</v>
      </c>
      <c r="F9" s="71" t="str">
        <f>IFERROR(__xludf.DUMMYFUNCTION("""COMPUTED_VALUE"""),"Julio")</f>
        <v>Julio</v>
      </c>
      <c r="G9" s="71">
        <f>IFERROR(__xludf.DUMMYFUNCTION("""COMPUTED_VALUE"""),1.0)</f>
        <v>1</v>
      </c>
    </row>
    <row r="10">
      <c r="A10" s="71">
        <f>IFERROR(__xludf.DUMMYFUNCTION("""COMPUTED_VALUE"""),6.0)</f>
        <v>6</v>
      </c>
      <c r="B10" s="61" t="str">
        <f>IFERROR(__xludf.DUMMYFUNCTION("""COMPUTED_VALUE"""),"identifica los conceptos fundamentales de la teoría de sistemas y del pensamiento sistémico mediante la revisión de definiciones, clasificaciones y características básicas de los sistemas para reconocer los elementos esenciales en el análisis y modelación"&amp;" de sistemas ")</f>
        <v>identifica los conceptos fundamentales de la teoría de sistemas y del pensamiento sistémico mediante la revisión de definiciones, clasificaciones y características básicas de los sistemas para reconocer los elementos esenciales en el análisis y modelación de sistemas </v>
      </c>
      <c r="C10" s="71" t="str">
        <f>IFERROR(__xludf.DUMMYFUNCTION("""COMPUTED_VALUE"""),"Unidad 1: Introducción al pensamiento sistémico")</f>
        <v>Unidad 1: Introducción al pensamiento sistémico</v>
      </c>
      <c r="D10" s="61" t="str">
        <f>IFERROR(__xludf.DUMMYFUNCTION("""COMPUTED_VALUE"""),"Los modelos mentales o sistemas abstractos diseñados")</f>
        <v>Los modelos mentales o sistemas abstractos diseñados</v>
      </c>
      <c r="E10" s="61" t="str">
        <f>IFERROR(__xludf.DUMMYFUNCTION("""COMPUTED_VALUE"""),"Comparación de sistemas abstractos")</f>
        <v>Comparación de sistemas abstractos</v>
      </c>
      <c r="F10" s="71" t="str">
        <f>IFERROR(__xludf.DUMMYFUNCTION("""COMPUTED_VALUE"""),"Julio")</f>
        <v>Julio</v>
      </c>
      <c r="G10" s="71">
        <f>IFERROR(__xludf.DUMMYFUNCTION("""COMPUTED_VALUE"""),1.0)</f>
        <v>1</v>
      </c>
    </row>
    <row r="11">
      <c r="A11" s="71">
        <f>IFERROR(__xludf.DUMMYFUNCTION("""COMPUTED_VALUE"""),7.0)</f>
        <v>7</v>
      </c>
      <c r="B11" s="61" t="str">
        <f>IFERROR(__xludf.DUMMYFUNCTION("""COMPUTED_VALUE"""),"identifica los conceptos fundamentales de la teoría de sistemas y del pensamiento sistémico mediante la revisión de definiciones, clasificaciones y características básicas de los sistemas para reconocer los elementos esenciales en el análisis y modelación"&amp;" de sistemas ")</f>
        <v>identifica los conceptos fundamentales de la teoría de sistemas y del pensamiento sistémico mediante la revisión de definiciones, clasificaciones y características básicas de los sistemas para reconocer los elementos esenciales en el análisis y modelación de sistemas </v>
      </c>
      <c r="C11" s="71" t="str">
        <f>IFERROR(__xludf.DUMMYFUNCTION("""COMPUTED_VALUE"""),"Unidad 1: Introducción al pensamiento sistémico")</f>
        <v>Unidad 1: Introducción al pensamiento sistémico</v>
      </c>
      <c r="D11" s="61" t="str">
        <f>IFERROR(__xludf.DUMMYFUNCTION("""COMPUTED_VALUE"""),"Los modelos mentales o sistemas abstractos diseñados")</f>
        <v>Los modelos mentales o sistemas abstractos diseñados</v>
      </c>
      <c r="E11" s="61" t="str">
        <f>IFERROR(__xludf.DUMMYFUNCTION("""COMPUTED_VALUE"""),"Operaciones mentales básicas")</f>
        <v>Operaciones mentales básicas</v>
      </c>
      <c r="F11" s="71" t="str">
        <f>IFERROR(__xludf.DUMMYFUNCTION("""COMPUTED_VALUE"""),"Julio")</f>
        <v>Julio</v>
      </c>
      <c r="G11" s="71">
        <f>IFERROR(__xludf.DUMMYFUNCTION("""COMPUTED_VALUE"""),1.0)</f>
        <v>1</v>
      </c>
    </row>
    <row r="12">
      <c r="A12" s="71">
        <f>IFERROR(__xludf.DUMMYFUNCTION("""COMPUTED_VALUE"""),8.0)</f>
        <v>8</v>
      </c>
      <c r="B12" s="61" t="str">
        <f>IFERROR(__xludf.DUMMYFUNCTION("""COMPUTED_VALUE"""),"identifica los conceptos fundamentales de la teoría de sistemas y del pensamiento sistémico mediante la revisión de definiciones, clasificaciones y características básicas de los sistemas para reconocer los elementos esenciales en el análisis y modelación"&amp;" de sistemas ")</f>
        <v>identifica los conceptos fundamentales de la teoría de sistemas y del pensamiento sistémico mediante la revisión de definiciones, clasificaciones y características básicas de los sistemas para reconocer los elementos esenciales en el análisis y modelación de sistemas </v>
      </c>
      <c r="C12" s="71" t="str">
        <f>IFERROR(__xludf.DUMMYFUNCTION("""COMPUTED_VALUE"""),"Unidad 2: Los sistemas abstractos diseñados")</f>
        <v>Unidad 2: Los sistemas abstractos diseñados</v>
      </c>
      <c r="D12" s="61" t="str">
        <f>IFERROR(__xludf.DUMMYFUNCTION("""COMPUTED_VALUE"""),"Operaciones mentales sistémicas")</f>
        <v>Operaciones mentales sistémicas</v>
      </c>
      <c r="E12" s="61" t="str">
        <f>IFERROR(__xludf.DUMMYFUNCTION("""COMPUTED_VALUE"""),"Operaciones mentales básicas del pensamiento sistémico")</f>
        <v>Operaciones mentales básicas del pensamiento sistémico</v>
      </c>
      <c r="F12" s="71" t="str">
        <f>IFERROR(__xludf.DUMMYFUNCTION("""COMPUTED_VALUE"""),"Julio")</f>
        <v>Julio</v>
      </c>
      <c r="G12" s="71">
        <f>IFERROR(__xludf.DUMMYFUNCTION("""COMPUTED_VALUE"""),1.0)</f>
        <v>1</v>
      </c>
    </row>
    <row r="13">
      <c r="A13" s="71">
        <f>IFERROR(__xludf.DUMMYFUNCTION("""COMPUTED_VALUE"""),9.0)</f>
        <v>9</v>
      </c>
      <c r="B13" s="61" t="str">
        <f>IFERROR(__xludf.DUMMYFUNCTION("""COMPUTED_VALUE"""),"identifica los conceptos fundamentales de la teoría de sistemas y del pensamiento sistémico mediante la revisión de definiciones, clasificaciones y características básicas de los sistemas para reconocer los elementos esenciales en el análisis y modelación"&amp;" de sistemas ")</f>
        <v>identifica los conceptos fundamentales de la teoría de sistemas y del pensamiento sistémico mediante la revisión de definiciones, clasificaciones y características básicas de los sistemas para reconocer los elementos esenciales en el análisis y modelación de sistemas </v>
      </c>
      <c r="C13" s="71" t="str">
        <f>IFERROR(__xludf.DUMMYFUNCTION("""COMPUTED_VALUE"""),"Unidad 2: Los sistemas abstractos diseñados")</f>
        <v>Unidad 2: Los sistemas abstractos diseñados</v>
      </c>
      <c r="D13" s="61" t="str">
        <f>IFERROR(__xludf.DUMMYFUNCTION("""COMPUTED_VALUE"""),"Operaciones mentales sistémicas")</f>
        <v>Operaciones mentales sistémicas</v>
      </c>
      <c r="E13" s="61" t="str">
        <f>IFERROR(__xludf.DUMMYFUNCTION("""COMPUTED_VALUE"""),"El pensamiento sistémico como emergente")</f>
        <v>El pensamiento sistémico como emergente</v>
      </c>
      <c r="F13" s="71" t="str">
        <f>IFERROR(__xludf.DUMMYFUNCTION("""COMPUTED_VALUE"""),"Julio")</f>
        <v>Julio</v>
      </c>
      <c r="G13" s="71">
        <f>IFERROR(__xludf.DUMMYFUNCTION("""COMPUTED_VALUE"""),2.0)</f>
        <v>2</v>
      </c>
    </row>
    <row r="14">
      <c r="A14" s="71">
        <f>IFERROR(__xludf.DUMMYFUNCTION("""COMPUTED_VALUE"""),10.0)</f>
        <v>10</v>
      </c>
      <c r="B14" s="61" t="str">
        <f>IFERROR(__xludf.DUMMYFUNCTION("""COMPUTED_VALUE"""),"identifica los conceptos fundamentales de la teoría de sistemas y del pensamiento sistémico mediante la revisión de definiciones, clasificaciones y características básicas de los sistemas para reconocer los elementos esenciales en el análisis y modelación"&amp;" de sistemas ")</f>
        <v>identifica los conceptos fundamentales de la teoría de sistemas y del pensamiento sistémico mediante la revisión de definiciones, clasificaciones y características básicas de los sistemas para reconocer los elementos esenciales en el análisis y modelación de sistemas </v>
      </c>
      <c r="C14" s="71" t="str">
        <f>IFERROR(__xludf.DUMMYFUNCTION("""COMPUTED_VALUE"""),"Unidad 2: Los sistemas abstractos diseñados")</f>
        <v>Unidad 2: Los sistemas abstractos diseñados</v>
      </c>
      <c r="D14" s="61" t="str">
        <f>IFERROR(__xludf.DUMMYFUNCTION("""COMPUTED_VALUE"""),"Operaciones mentales sistémicas")</f>
        <v>Operaciones mentales sistémicas</v>
      </c>
      <c r="E14" s="61" t="str">
        <f>IFERROR(__xludf.DUMMYFUNCTION("""COMPUTED_VALUE"""),"Hábitos relacionados con los sistemas abstractos")</f>
        <v>Hábitos relacionados con los sistemas abstractos</v>
      </c>
      <c r="F14" s="71" t="str">
        <f>IFERROR(__xludf.DUMMYFUNCTION("""COMPUTED_VALUE"""),"Julio")</f>
        <v>Julio</v>
      </c>
      <c r="G14" s="71">
        <f>IFERROR(__xludf.DUMMYFUNCTION("""COMPUTED_VALUE"""),2.0)</f>
        <v>2</v>
      </c>
    </row>
    <row r="15">
      <c r="A15" s="71">
        <f>IFERROR(__xludf.DUMMYFUNCTION("""COMPUTED_VALUE"""),11.0)</f>
        <v>11</v>
      </c>
      <c r="B15" s="61" t="str">
        <f>IFERROR(__xludf.DUMMYFUNCTION("""COMPUTED_VALUE"""),"identifica los conceptos fundamentales de la teoría de sistemas y del pensamiento sistémico mediante la revisión de definiciones, clasificaciones y características básicas de los sistemas para reconocer los elementos esenciales en el análisis y modelación"&amp;" de sistemas ")</f>
        <v>identifica los conceptos fundamentales de la teoría de sistemas y del pensamiento sistémico mediante la revisión de definiciones, clasificaciones y características básicas de los sistemas para reconocer los elementos esenciales en el análisis y modelación de sistemas </v>
      </c>
      <c r="C15" s="71" t="str">
        <f>IFERROR(__xludf.DUMMYFUNCTION("""COMPUTED_VALUE"""),"Unidad 2: Los sistemas abstractos diseñados")</f>
        <v>Unidad 2: Los sistemas abstractos diseñados</v>
      </c>
      <c r="D15" s="61" t="str">
        <f>IFERROR(__xludf.DUMMYFUNCTION("""COMPUTED_VALUE"""),"Operaciones mentales sistémicas")</f>
        <v>Operaciones mentales sistémicas</v>
      </c>
      <c r="E15" s="61" t="str">
        <f>IFERROR(__xludf.DUMMYFUNCTION("""COMPUTED_VALUE"""),"El pensamiento adaptativo complejo")</f>
        <v>El pensamiento adaptativo complejo</v>
      </c>
      <c r="F15" s="71" t="str">
        <f>IFERROR(__xludf.DUMMYFUNCTION("""COMPUTED_VALUE"""),"Julio")</f>
        <v>Julio</v>
      </c>
      <c r="G15" s="71">
        <f>IFERROR(__xludf.DUMMYFUNCTION("""COMPUTED_VALUE"""),2.0)</f>
        <v>2</v>
      </c>
    </row>
    <row r="16">
      <c r="A16" s="71">
        <f>IFERROR(__xludf.DUMMYFUNCTION("""COMPUTED_VALUE"""),12.0)</f>
        <v>12</v>
      </c>
      <c r="B16" s="61" t="str">
        <f>IFERROR(__xludf.DUMMYFUNCTION("""COMPUTED_VALUE"""),"identifica los conceptos fundamentales de la teoría de sistemas y del pensamiento sistémico mediante la revisión de definiciones, clasificaciones y características básicas de los sistemas para reconocer los elementos esenciales en el análisis y modelación"&amp;" de sistemas ")</f>
        <v>identifica los conceptos fundamentales de la teoría de sistemas y del pensamiento sistémico mediante la revisión de definiciones, clasificaciones y características básicas de los sistemas para reconocer los elementos esenciales en el análisis y modelación de sistemas </v>
      </c>
      <c r="C16" s="71" t="str">
        <f>IFERROR(__xludf.DUMMYFUNCTION("""COMPUTED_VALUE"""),"Unidad 2: Los sistemas abstractos diseñados")</f>
        <v>Unidad 2: Los sistemas abstractos diseñados</v>
      </c>
      <c r="D16" s="61" t="str">
        <f>IFERROR(__xludf.DUMMYFUNCTION("""COMPUTED_VALUE"""),"Operaciones mentales sistémicas")</f>
        <v>Operaciones mentales sistémicas</v>
      </c>
      <c r="E16" s="61" t="str">
        <f>IFERROR(__xludf.DUMMYFUNCTION("""COMPUTED_VALUE"""),"La perspectiva en sistemas abstractos")</f>
        <v>La perspectiva en sistemas abstractos</v>
      </c>
      <c r="F16" s="71" t="str">
        <f>IFERROR(__xludf.DUMMYFUNCTION("""COMPUTED_VALUE"""),"Julio")</f>
        <v>Julio</v>
      </c>
      <c r="G16" s="71">
        <f>IFERROR(__xludf.DUMMYFUNCTION("""COMPUTED_VALUE"""),2.0)</f>
        <v>2</v>
      </c>
    </row>
    <row r="17">
      <c r="A17" s="71">
        <f>IFERROR(__xludf.DUMMYFUNCTION("""COMPUTED_VALUE"""),13.0)</f>
        <v>13</v>
      </c>
      <c r="B17" s="61" t="str">
        <f>IFERROR(__xludf.DUMMYFUNCTION("""COMPUTED_VALUE"""),"identifica los conceptos fundamentales de la teoría de sistemas y del pensamiento sistémico mediante la revisión de definiciones, clasificaciones y características básicas de los sistemas para reconocer los elementos esenciales en el análisis y modelación"&amp;" de sistemas ")</f>
        <v>identifica los conceptos fundamentales de la teoría de sistemas y del pensamiento sistémico mediante la revisión de definiciones, clasificaciones y características básicas de los sistemas para reconocer los elementos esenciales en el análisis y modelación de sistemas </v>
      </c>
      <c r="C17" s="71" t="str">
        <f>IFERROR(__xludf.DUMMYFUNCTION("""COMPUTED_VALUE"""),"Unidad 2: Los sistemas abstractos diseñados")</f>
        <v>Unidad 2: Los sistemas abstractos diseñados</v>
      </c>
      <c r="D17" s="61" t="str">
        <f>IFERROR(__xludf.DUMMYFUNCTION("""COMPUTED_VALUE"""),"Operaciones mentales sistémicas")</f>
        <v>Operaciones mentales sistémicas</v>
      </c>
      <c r="E17" s="61" t="str">
        <f>IFERROR(__xludf.DUMMYFUNCTION("""COMPUTED_VALUE"""),"Comparación entre sistemas diseñados")</f>
        <v>Comparación entre sistemas diseñados</v>
      </c>
      <c r="F17" s="71" t="str">
        <f>IFERROR(__xludf.DUMMYFUNCTION("""COMPUTED_VALUE"""),"Julio")</f>
        <v>Julio</v>
      </c>
      <c r="G17" s="71">
        <f>IFERROR(__xludf.DUMMYFUNCTION("""COMPUTED_VALUE"""),2.0)</f>
        <v>2</v>
      </c>
    </row>
    <row r="18">
      <c r="A18" s="71">
        <f>IFERROR(__xludf.DUMMYFUNCTION("""COMPUTED_VALUE"""),14.0)</f>
        <v>14</v>
      </c>
      <c r="B18" s="61" t="str">
        <f>IFERROR(__xludf.DUMMYFUNCTION("""COMPUTED_VALUE"""),"identifica los conceptos fundamentales de la teoría de sistemas y del pensamiento sistémico mediante la revisión de definiciones, clasificaciones y características básicas de los sistemas para reconocer los elementos esenciales en el análisis y modelación"&amp;" de sistemas ")</f>
        <v>identifica los conceptos fundamentales de la teoría de sistemas y del pensamiento sistémico mediante la revisión de definiciones, clasificaciones y características básicas de los sistemas para reconocer los elementos esenciales en el análisis y modelación de sistemas </v>
      </c>
      <c r="C18" s="71" t="str">
        <f>IFERROR(__xludf.DUMMYFUNCTION("""COMPUTED_VALUE"""),"Unidad 2: Los sistemas abstractos diseñados")</f>
        <v>Unidad 2: Los sistemas abstractos diseñados</v>
      </c>
      <c r="D18" s="61" t="str">
        <f>IFERROR(__xludf.DUMMYFUNCTION("""COMPUTED_VALUE"""),"Operaciones mentales sistémicas")</f>
        <v>Operaciones mentales sistémicas</v>
      </c>
      <c r="E18" s="61" t="str">
        <f>IFERROR(__xludf.DUMMYFUNCTION("""COMPUTED_VALUE"""),"Ejemplos de sistemas mentales")</f>
        <v>Ejemplos de sistemas mentales</v>
      </c>
      <c r="F18" s="71" t="str">
        <f>IFERROR(__xludf.DUMMYFUNCTION("""COMPUTED_VALUE"""),"Julio")</f>
        <v>Julio</v>
      </c>
      <c r="G18" s="71">
        <f>IFERROR(__xludf.DUMMYFUNCTION("""COMPUTED_VALUE"""),2.0)</f>
        <v>2</v>
      </c>
    </row>
    <row r="19">
      <c r="A19" s="71">
        <f>IFERROR(__xludf.DUMMYFUNCTION("""COMPUTED_VALUE"""),15.0)</f>
        <v>15</v>
      </c>
      <c r="B19" s="61" t="str">
        <f>IFERROR(__xludf.DUMMYFUNCTION("""COMPUTED_VALUE"""),"comprende los fundamentos conceptuales del pensamiento sistémico y la naturaleza de los sistemas de la realidad a través del estudio de teorías, modelos mentales y estructuras de retroalimentación para distinguir los sistemas naturales, físicos diseñados,"&amp;" abstractos diseñados y de actividad humana ")</f>
        <v>comprende los fundamentos conceptuales del pensamiento sistémico y la naturaleza de los sistemas de la realidad a través del estudio de teorías, modelos mentales y estructuras de retroalimentación para distinguir los sistemas naturales, físicos diseñados, abstractos diseñados y de actividad humana </v>
      </c>
      <c r="C19" s="71" t="str">
        <f>IFERROR(__xludf.DUMMYFUNCTION("""COMPUTED_VALUE"""),"Unidad 2: Los sistemas abstractos diseñados")</f>
        <v>Unidad 2: Los sistemas abstractos diseñados</v>
      </c>
      <c r="D19" s="61" t="str">
        <f>IFERROR(__xludf.DUMMYFUNCTION("""COMPUTED_VALUE"""),"Compartir modelos mentales")</f>
        <v>Compartir modelos mentales</v>
      </c>
      <c r="E19" s="61" t="str">
        <f>IFERROR(__xludf.DUMMYFUNCTION("""COMPUTED_VALUE"""),"Sistemas abstractos diseñados compartidos (paradigmas)")</f>
        <v>Sistemas abstractos diseñados compartidos (paradigmas)</v>
      </c>
      <c r="F19" s="71" t="str">
        <f>IFERROR(__xludf.DUMMYFUNCTION("""COMPUTED_VALUE"""),"Julio")</f>
        <v>Julio</v>
      </c>
      <c r="G19" s="71">
        <f>IFERROR(__xludf.DUMMYFUNCTION("""COMPUTED_VALUE"""),2.0)</f>
        <v>2</v>
      </c>
    </row>
    <row r="20">
      <c r="A20" s="71">
        <f>IFERROR(__xludf.DUMMYFUNCTION("""COMPUTED_VALUE"""),16.0)</f>
        <v>16</v>
      </c>
      <c r="B20" s="61" t="str">
        <f>IFERROR(__xludf.DUMMYFUNCTION("""COMPUTED_VALUE"""),"comprende los fundamentos conceptuales del pensamiento sistémico y la naturaleza de los sistemas de la realidad a través del estudio de teorías, modelos mentales y estructuras de retroalimentación para distinguir los sistemas naturales, físicos diseñados,"&amp;" abstractos diseñados y de actividad humana ")</f>
        <v>comprende los fundamentos conceptuales del pensamiento sistémico y la naturaleza de los sistemas de la realidad a través del estudio de teorías, modelos mentales y estructuras de retroalimentación para distinguir los sistemas naturales, físicos diseñados, abstractos diseñados y de actividad humana </v>
      </c>
      <c r="C20" s="71" t="str">
        <f>IFERROR(__xludf.DUMMYFUNCTION("""COMPUTED_VALUE"""),"Unidad 2: Los sistemas abstractos diseñados")</f>
        <v>Unidad 2: Los sistemas abstractos diseñados</v>
      </c>
      <c r="D20" s="61" t="str">
        <f>IFERROR(__xludf.DUMMYFUNCTION("""COMPUTED_VALUE"""),"Compartir modelos mentales")</f>
        <v>Compartir modelos mentales</v>
      </c>
      <c r="E20" s="61" t="str">
        <f>IFERROR(__xludf.DUMMYFUNCTION("""COMPUTED_VALUE"""),"Paradigmas en contextos específicos")</f>
        <v>Paradigmas en contextos específicos</v>
      </c>
      <c r="F20" s="71" t="str">
        <f>IFERROR(__xludf.DUMMYFUNCTION("""COMPUTED_VALUE"""),"Julio")</f>
        <v>Julio</v>
      </c>
      <c r="G20" s="71">
        <f>IFERROR(__xludf.DUMMYFUNCTION("""COMPUTED_VALUE"""),2.0)</f>
        <v>2</v>
      </c>
    </row>
    <row r="21">
      <c r="A21" s="71">
        <f>IFERROR(__xludf.DUMMYFUNCTION("""COMPUTED_VALUE"""),17.0)</f>
        <v>17</v>
      </c>
      <c r="B21" s="61" t="str">
        <f>IFERROR(__xludf.DUMMYFUNCTION("""COMPUTED_VALUE"""),"comprende los fundamentos conceptuales del pensamiento sistémico y la naturaleza de los sistemas de la realidad a través del estudio de teorías, modelos mentales y estructuras de retroalimentación para distinguir los sistemas naturales, físicos diseñados,"&amp;" abstractos diseñados y de actividad humana ")</f>
        <v>comprende los fundamentos conceptuales del pensamiento sistémico y la naturaleza de los sistemas de la realidad a través del estudio de teorías, modelos mentales y estructuras de retroalimentación para distinguir los sistemas naturales, físicos diseñados, abstractos diseñados y de actividad humana </v>
      </c>
      <c r="C21" s="71" t="str">
        <f>IFERROR(__xludf.DUMMYFUNCTION("""COMPUTED_VALUE"""),"Unidad 2: Los sistemas abstractos diseñados")</f>
        <v>Unidad 2: Los sistemas abstractos diseñados</v>
      </c>
      <c r="D21" s="61" t="str">
        <f>IFERROR(__xludf.DUMMYFUNCTION("""COMPUTED_VALUE"""),"Compartir modelos mentales")</f>
        <v>Compartir modelos mentales</v>
      </c>
      <c r="E21" s="61" t="str">
        <f>IFERROR(__xludf.DUMMYFUNCTION("""COMPUTED_VALUE"""),"Comparación con otros paradigmas")</f>
        <v>Comparación con otros paradigmas</v>
      </c>
      <c r="F21" s="71" t="str">
        <f>IFERROR(__xludf.DUMMYFUNCTION("""COMPUTED_VALUE"""),"Julio")</f>
        <v>Julio</v>
      </c>
      <c r="G21" s="71">
        <f>IFERROR(__xludf.DUMMYFUNCTION("""COMPUTED_VALUE"""),3.0)</f>
        <v>3</v>
      </c>
    </row>
    <row r="22">
      <c r="A22" s="71">
        <f>IFERROR(__xludf.DUMMYFUNCTION("""COMPUTED_VALUE"""),18.0)</f>
        <v>18</v>
      </c>
      <c r="B22" s="61" t="str">
        <f>IFERROR(__xludf.DUMMYFUNCTION("""COMPUTED_VALUE"""),"comprende los fundamentos conceptuales del pensamiento sistémico y la naturaleza de los sistemas de la realidad a través del estudio de teorías, modelos mentales y estructuras de retroalimentación para distinguir los sistemas naturales, físicos diseñados,"&amp;" abstractos diseñados y de actividad humana ")</f>
        <v>comprende los fundamentos conceptuales del pensamiento sistémico y la naturaleza de los sistemas de la realidad a través del estudio de teorías, modelos mentales y estructuras de retroalimentación para distinguir los sistemas naturales, físicos diseñados, abstractos diseñados y de actividad humana </v>
      </c>
      <c r="C22" s="71" t="str">
        <f>IFERROR(__xludf.DUMMYFUNCTION("""COMPUTED_VALUE"""),"Unidad 2: Los sistemas abstractos diseñados")</f>
        <v>Unidad 2: Los sistemas abstractos diseñados</v>
      </c>
      <c r="D22" s="61" t="str">
        <f>IFERROR(__xludf.DUMMYFUNCTION("""COMPUTED_VALUE"""),"Compartir modelos mentales")</f>
        <v>Compartir modelos mentales</v>
      </c>
      <c r="E22" s="61" t="str">
        <f>IFERROR(__xludf.DUMMYFUNCTION("""COMPUTED_VALUE"""),"Ejemplos de paradigmas compartidos")</f>
        <v>Ejemplos de paradigmas compartidos</v>
      </c>
      <c r="F22" s="71" t="str">
        <f>IFERROR(__xludf.DUMMYFUNCTION("""COMPUTED_VALUE"""),"Julio")</f>
        <v>Julio</v>
      </c>
      <c r="G22" s="71">
        <f>IFERROR(__xludf.DUMMYFUNCTION("""COMPUTED_VALUE"""),3.0)</f>
        <v>3</v>
      </c>
    </row>
    <row r="23">
      <c r="A23" s="71">
        <f>IFERROR(__xludf.DUMMYFUNCTION("""COMPUTED_VALUE"""),19.0)</f>
        <v>19</v>
      </c>
      <c r="B23" s="61" t="str">
        <f>IFERROR(__xludf.DUMMYFUNCTION("""COMPUTED_VALUE"""),"comprende los fundamentos conceptuales del pensamiento sistémico y la naturaleza de los sistemas de la realidad a través del estudio de teorías, modelos mentales y estructuras de retroalimentación para distinguir los sistemas naturales, físicos diseñados,"&amp;" abstractos diseñados y de actividad humana ")</f>
        <v>comprende los fundamentos conceptuales del pensamiento sistémico y la naturaleza de los sistemas de la realidad a través del estudio de teorías, modelos mentales y estructuras de retroalimentación para distinguir los sistemas naturales, físicos diseñados, abstractos diseñados y de actividad humana </v>
      </c>
      <c r="C23" s="71" t="str">
        <f>IFERROR(__xludf.DUMMYFUNCTION("""COMPUTED_VALUE"""),"Unidad 2: Los sistemas abstractos diseñados")</f>
        <v>Unidad 2: Los sistemas abstractos diseñados</v>
      </c>
      <c r="D23" s="61" t="str">
        <f>IFERROR(__xludf.DUMMYFUNCTION("""COMPUTED_VALUE"""),"Compartir modelos mentales")</f>
        <v>Compartir modelos mentales</v>
      </c>
      <c r="E23" s="61" t="str">
        <f>IFERROR(__xludf.DUMMYFUNCTION("""COMPUTED_VALUE"""),"Impacto en toma de decisiones")</f>
        <v>Impacto en toma de decisiones</v>
      </c>
      <c r="F23" s="71" t="str">
        <f>IFERROR(__xludf.DUMMYFUNCTION("""COMPUTED_VALUE"""),"Julio")</f>
        <v>Julio</v>
      </c>
      <c r="G23" s="71">
        <f>IFERROR(__xludf.DUMMYFUNCTION("""COMPUTED_VALUE"""),3.0)</f>
        <v>3</v>
      </c>
    </row>
    <row r="24">
      <c r="A24" s="71">
        <f>IFERROR(__xludf.DUMMYFUNCTION("""COMPUTED_VALUE"""),20.0)</f>
        <v>20</v>
      </c>
      <c r="B24" s="61" t="str">
        <f>IFERROR(__xludf.DUMMYFUNCTION("""COMPUTED_VALUE"""),"comprende los fundamentos conceptuales del pensamiento sistémico y la naturaleza de los sistemas de la realidad a través del estudio de teorías, modelos mentales y estructuras de retroalimentación para distinguir los sistemas naturales, físicos diseñados,"&amp;" abstractos diseñados y de actividad humana ")</f>
        <v>comprende los fundamentos conceptuales del pensamiento sistémico y la naturaleza de los sistemas de la realidad a través del estudio de teorías, modelos mentales y estructuras de retroalimentación para distinguir los sistemas naturales, físicos diseñados, abstractos diseñados y de actividad humana </v>
      </c>
      <c r="C24" s="71" t="str">
        <f>IFERROR(__xludf.DUMMYFUNCTION("""COMPUTED_VALUE"""),"Unidad 2: Los sistemas abstractos diseñados")</f>
        <v>Unidad 2: Los sistemas abstractos diseñados</v>
      </c>
      <c r="D24" s="61" t="str">
        <f>IFERROR(__xludf.DUMMYFUNCTION("""COMPUTED_VALUE"""),"Compartir modelos mentales")</f>
        <v>Compartir modelos mentales</v>
      </c>
      <c r="E24" s="61" t="str">
        <f>IFERROR(__xludf.DUMMYFUNCTION("""COMPUTED_VALUE"""),"Evolución de paradigmas")</f>
        <v>Evolución de paradigmas</v>
      </c>
      <c r="F24" s="71" t="str">
        <f>IFERROR(__xludf.DUMMYFUNCTION("""COMPUTED_VALUE"""),"Julio")</f>
        <v>Julio</v>
      </c>
      <c r="G24" s="71">
        <f>IFERROR(__xludf.DUMMYFUNCTION("""COMPUTED_VALUE"""),3.0)</f>
        <v>3</v>
      </c>
    </row>
    <row r="25">
      <c r="A25" s="71">
        <f>IFERROR(__xludf.DUMMYFUNCTION("""COMPUTED_VALUE"""),21.0)</f>
        <v>21</v>
      </c>
      <c r="B25" s="61" t="str">
        <f>IFERROR(__xludf.DUMMYFUNCTION("""COMPUTED_VALUE"""),"comprende los fundamentos conceptuales del pensamiento sistémico y la naturaleza de los sistemas de la realidad a través del estudio de teorías, modelos mentales y estructuras de retroalimentación para distinguir los sistemas naturales, físicos diseñados,"&amp;" abstractos diseñados y de actividad humana ")</f>
        <v>comprende los fundamentos conceptuales del pensamiento sistémico y la naturaleza de los sistemas de la realidad a través del estudio de teorías, modelos mentales y estructuras de retroalimentación para distinguir los sistemas naturales, físicos diseñados, abstractos diseñados y de actividad humana </v>
      </c>
      <c r="C25" s="71" t="str">
        <f>IFERROR(__xludf.DUMMYFUNCTION("""COMPUTED_VALUE"""),"Unidad 2: Los sistemas abstractos diseñados")</f>
        <v>Unidad 2: Los sistemas abstractos diseñados</v>
      </c>
      <c r="D25" s="61" t="str">
        <f>IFERROR(__xludf.DUMMYFUNCTION("""COMPUTED_VALUE"""),"Compartir modelos mentales")</f>
        <v>Compartir modelos mentales</v>
      </c>
      <c r="E25" s="61" t="str">
        <f>IFERROR(__xludf.DUMMYFUNCTION("""COMPUTED_VALUE"""),"Cambios en modelos mentales compartidos")</f>
        <v>Cambios en modelos mentales compartidos</v>
      </c>
      <c r="F25" s="71" t="str">
        <f>IFERROR(__xludf.DUMMYFUNCTION("""COMPUTED_VALUE"""),"Julio")</f>
        <v>Julio</v>
      </c>
      <c r="G25" s="71">
        <f>IFERROR(__xludf.DUMMYFUNCTION("""COMPUTED_VALUE"""),3.0)</f>
        <v>3</v>
      </c>
    </row>
    <row r="26">
      <c r="A26" s="71">
        <f>IFERROR(__xludf.DUMMYFUNCTION("""COMPUTED_VALUE"""),22.0)</f>
        <v>22</v>
      </c>
      <c r="B26" s="61" t="str">
        <f>IFERROR(__xludf.DUMMYFUNCTION("""COMPUTED_VALUE"""),"comprende los fundamentos conceptuales del pensamiento sistémico y la naturaleza de los sistemas de la realidad a través del estudio de teorías, modelos mentales y estructuras de retroalimentación para distinguir los sistemas naturales, físicos diseñados,"&amp;" abstractos diseñados y de actividad humana ")</f>
        <v>comprende los fundamentos conceptuales del pensamiento sistémico y la naturaleza de los sistemas de la realidad a través del estudio de teorías, modelos mentales y estructuras de retroalimentación para distinguir los sistemas naturales, físicos diseñados, abstractos diseñados y de actividad humana </v>
      </c>
      <c r="C26" s="71" t="str">
        <f>IFERROR(__xludf.DUMMYFUNCTION("""COMPUTED_VALUE"""),"Unidad 2: Los sistemas abstractos diseñados")</f>
        <v>Unidad 2: Los sistemas abstractos diseñados</v>
      </c>
      <c r="D26" s="61" t="str">
        <f>IFERROR(__xludf.DUMMYFUNCTION("""COMPUTED_VALUE"""),"Perspectiva de sistemas abstractos diseñados")</f>
        <v>Perspectiva de sistemas abstractos diseñados</v>
      </c>
      <c r="E26" s="61" t="str">
        <f>IFERROR(__xludf.DUMMYFUNCTION("""COMPUTED_VALUE"""),"Las perspectivas y los sistemas abstractos")</f>
        <v>Las perspectivas y los sistemas abstractos</v>
      </c>
      <c r="F26" s="71" t="str">
        <f>IFERROR(__xludf.DUMMYFUNCTION("""COMPUTED_VALUE"""),"Julio")</f>
        <v>Julio</v>
      </c>
      <c r="G26" s="71">
        <f>IFERROR(__xludf.DUMMYFUNCTION("""COMPUTED_VALUE"""),3.0)</f>
        <v>3</v>
      </c>
    </row>
    <row r="27">
      <c r="A27" s="71">
        <f>IFERROR(__xludf.DUMMYFUNCTION("""COMPUTED_VALUE"""),23.0)</f>
        <v>23</v>
      </c>
      <c r="B27" s="61" t="str">
        <f>IFERROR(__xludf.DUMMYFUNCTION("""COMPUTED_VALUE"""),"comprende los fundamentos conceptuales del pensamiento sistémico y la naturaleza de los sistemas de la realidad a través del estudio de teorías, modelos mentales y estructuras de retroalimentación para distinguir los sistemas naturales, físicos diseñados,"&amp;" abstractos diseñados y de actividad humana ")</f>
        <v>comprende los fundamentos conceptuales del pensamiento sistémico y la naturaleza de los sistemas de la realidad a través del estudio de teorías, modelos mentales y estructuras de retroalimentación para distinguir los sistemas naturales, físicos diseñados, abstractos diseñados y de actividad humana </v>
      </c>
      <c r="C27" s="71" t="str">
        <f>IFERROR(__xludf.DUMMYFUNCTION("""COMPUTED_VALUE"""),"Unidad 2: Los sistemas abstractos diseñados")</f>
        <v>Unidad 2: Los sistemas abstractos diseñados</v>
      </c>
      <c r="D27" s="61" t="str">
        <f>IFERROR(__xludf.DUMMYFUNCTION("""COMPUTED_VALUE"""),"Perspectiva de sistemas abstractos diseñados")</f>
        <v>Perspectiva de sistemas abstractos diseñados</v>
      </c>
      <c r="E27" s="61" t="str">
        <f>IFERROR(__xludf.DUMMYFUNCTION("""COMPUTED_VALUE"""),"Impacto de las perspectivas en decisiones")</f>
        <v>Impacto de las perspectivas en decisiones</v>
      </c>
      <c r="F27" s="71" t="str">
        <f>IFERROR(__xludf.DUMMYFUNCTION("""COMPUTED_VALUE"""),"Julio")</f>
        <v>Julio</v>
      </c>
      <c r="G27" s="71">
        <f>IFERROR(__xludf.DUMMYFUNCTION("""COMPUTED_VALUE"""),3.0)</f>
        <v>3</v>
      </c>
    </row>
    <row r="28">
      <c r="A28" s="71">
        <f>IFERROR(__xludf.DUMMYFUNCTION("""COMPUTED_VALUE"""),24.0)</f>
        <v>24</v>
      </c>
      <c r="B28" s="61" t="str">
        <f>IFERROR(__xludf.DUMMYFUNCTION("""COMPUTED_VALUE"""),"comprende los fundamentos conceptuales del pensamiento sistémico y la naturaleza de los sistemas de la realidad a través del estudio de teorías, modelos mentales y estructuras de retroalimentación para distinguir los sistemas naturales, físicos diseñados,"&amp;" abstractos diseñados y de actividad humana ")</f>
        <v>comprende los fundamentos conceptuales del pensamiento sistémico y la naturaleza de los sistemas de la realidad a través del estudio de teorías, modelos mentales y estructuras de retroalimentación para distinguir los sistemas naturales, físicos diseñados, abstractos diseñados y de actividad humana </v>
      </c>
      <c r="C28" s="71" t="str">
        <f>IFERROR(__xludf.DUMMYFUNCTION("""COMPUTED_VALUE"""),"Unidad 2: Los sistemas abstractos diseñados")</f>
        <v>Unidad 2: Los sistemas abstractos diseñados</v>
      </c>
      <c r="D28" s="61" t="str">
        <f>IFERROR(__xludf.DUMMYFUNCTION("""COMPUTED_VALUE"""),"Perspectiva de sistemas abstractos diseñados")</f>
        <v>Perspectiva de sistemas abstractos diseñados</v>
      </c>
      <c r="E28" s="61" t="str">
        <f>IFERROR(__xludf.DUMMYFUNCTION("""COMPUTED_VALUE"""),"Operaciones mentales avanzadas en pensamiento sistémico")</f>
        <v>Operaciones mentales avanzadas en pensamiento sistémico</v>
      </c>
      <c r="F28" s="71" t="str">
        <f>IFERROR(__xludf.DUMMYFUNCTION("""COMPUTED_VALUE"""),"Julio")</f>
        <v>Julio</v>
      </c>
      <c r="G28" s="71">
        <f>IFERROR(__xludf.DUMMYFUNCTION("""COMPUTED_VALUE"""),3.0)</f>
        <v>3</v>
      </c>
    </row>
    <row r="29">
      <c r="A29" s="71">
        <f>IFERROR(__xludf.DUMMYFUNCTION("""COMPUTED_VALUE"""),25.0)</f>
        <v>25</v>
      </c>
      <c r="B29" s="61" t="str">
        <f>IFERROR(__xludf.DUMMYFUNCTION("""COMPUTED_VALUE"""),"comprende los fundamentos conceptuales del pensamiento sistémico y la naturaleza de los sistemas de la realidad a través del estudio de teorías, modelos mentales y estructuras de retroalimentación para distinguir los sistemas naturales, físicos diseñados,"&amp;" abstractos diseñados y de actividad humana ")</f>
        <v>comprende los fundamentos conceptuales del pensamiento sistémico y la naturaleza de los sistemas de la realidad a través del estudio de teorías, modelos mentales y estructuras de retroalimentación para distinguir los sistemas naturales, físicos diseñados, abstractos diseñados y de actividad humana </v>
      </c>
      <c r="C29" s="71" t="str">
        <f>IFERROR(__xludf.DUMMYFUNCTION("""COMPUTED_VALUE"""),"Unidad 2: Los sistemas abstractos diseñados")</f>
        <v>Unidad 2: Los sistemas abstractos diseñados</v>
      </c>
      <c r="D29" s="61" t="str">
        <f>IFERROR(__xludf.DUMMYFUNCTION("""COMPUTED_VALUE"""),"Perspectiva de sistemas abstractos diseñados")</f>
        <v>Perspectiva de sistemas abstractos diseñados</v>
      </c>
      <c r="E29" s="61" t="str">
        <f>IFERROR(__xludf.DUMMYFUNCTION("""COMPUTED_VALUE"""),"Interrelaciones entre modelos mentales")</f>
        <v>Interrelaciones entre modelos mentales</v>
      </c>
      <c r="F29" s="71" t="str">
        <f>IFERROR(__xludf.DUMMYFUNCTION("""COMPUTED_VALUE"""),"Julio")</f>
        <v>Julio</v>
      </c>
      <c r="G29" s="71">
        <f>IFERROR(__xludf.DUMMYFUNCTION("""COMPUTED_VALUE"""),4.0)</f>
        <v>4</v>
      </c>
    </row>
    <row r="30">
      <c r="A30" s="71">
        <f>IFERROR(__xludf.DUMMYFUNCTION("""COMPUTED_VALUE"""),26.0)</f>
        <v>26</v>
      </c>
      <c r="B30" s="61" t="str">
        <f>IFERROR(__xludf.DUMMYFUNCTION("""COMPUTED_VALUE"""),"comprende los fundamentos conceptuales del pensamiento sistémico y la naturaleza de los sistemas de la realidad a través del estudio de teorías, modelos mentales y estructuras de retroalimentación para distinguir los sistemas naturales, físicos diseñados,"&amp;" abstractos diseñados y de actividad humana ")</f>
        <v>comprende los fundamentos conceptuales del pensamiento sistémico y la naturaleza de los sistemas de la realidad a través del estudio de teorías, modelos mentales y estructuras de retroalimentación para distinguir los sistemas naturales, físicos diseñados, abstractos diseñados y de actividad humana </v>
      </c>
      <c r="C30" s="71" t="str">
        <f>IFERROR(__xludf.DUMMYFUNCTION("""COMPUTED_VALUE"""),"Unidad 2: Los sistemas abstractos diseñados")</f>
        <v>Unidad 2: Los sistemas abstractos diseñados</v>
      </c>
      <c r="D30" s="61" t="str">
        <f>IFERROR(__xludf.DUMMYFUNCTION("""COMPUTED_VALUE"""),"Perspectiva de sistemas abstractos diseñados")</f>
        <v>Perspectiva de sistemas abstractos diseñados</v>
      </c>
      <c r="E30" s="61" t="str">
        <f>IFERROR(__xludf.DUMMYFUNCTION("""COMPUTED_VALUE"""),"Ejemplos de pensamiento circular")</f>
        <v>Ejemplos de pensamiento circular</v>
      </c>
      <c r="F30" s="71" t="str">
        <f>IFERROR(__xludf.DUMMYFUNCTION("""COMPUTED_VALUE"""),"Julio")</f>
        <v>Julio</v>
      </c>
      <c r="G30" s="71">
        <f>IFERROR(__xludf.DUMMYFUNCTION("""COMPUTED_VALUE"""),4.0)</f>
        <v>4</v>
      </c>
    </row>
    <row r="31">
      <c r="A31" s="71">
        <f>IFERROR(__xludf.DUMMYFUNCTION("""COMPUTED_VALUE"""),27.0)</f>
        <v>27</v>
      </c>
      <c r="B31" s="61" t="str">
        <f>IFERROR(__xludf.DUMMYFUNCTION("""COMPUTED_VALUE"""),"comprende los fundamentos conceptuales del pensamiento sistémico y la naturaleza de los sistemas de la realidad a través del estudio de teorías, modelos mentales y estructuras de retroalimentación para distinguir los sistemas naturales, físicos diseñados,"&amp;" abstractos diseñados y de actividad humana ")</f>
        <v>comprende los fundamentos conceptuales del pensamiento sistémico y la naturaleza de los sistemas de la realidad a través del estudio de teorías, modelos mentales y estructuras de retroalimentación para distinguir los sistemas naturales, físicos diseñados, abstractos diseñados y de actividad humana </v>
      </c>
      <c r="C31" s="71" t="str">
        <f>IFERROR(__xludf.DUMMYFUNCTION("""COMPUTED_VALUE"""),"Unidad 2: Los sistemas abstractos diseñados")</f>
        <v>Unidad 2: Los sistemas abstractos diseñados</v>
      </c>
      <c r="D31" s="61" t="str">
        <f>IFERROR(__xludf.DUMMYFUNCTION("""COMPUTED_VALUE"""),"Perspectiva de sistemas abstractos diseñados")</f>
        <v>Perspectiva de sistemas abstractos diseñados</v>
      </c>
      <c r="E31" s="61" t="str">
        <f>IFERROR(__xludf.DUMMYFUNCTION("""COMPUTED_VALUE"""),"Ejemplos de retroalimentación")</f>
        <v>Ejemplos de retroalimentación</v>
      </c>
      <c r="F31" s="71" t="str">
        <f>IFERROR(__xludf.DUMMYFUNCTION("""COMPUTED_VALUE"""),"Julio")</f>
        <v>Julio</v>
      </c>
      <c r="G31" s="71">
        <f>IFERROR(__xludf.DUMMYFUNCTION("""COMPUTED_VALUE"""),4.0)</f>
        <v>4</v>
      </c>
    </row>
    <row r="32">
      <c r="A32" s="71">
        <f>IFERROR(__xludf.DUMMYFUNCTION("""COMPUTED_VALUE"""),28.0)</f>
        <v>28</v>
      </c>
      <c r="B32" s="61" t="str">
        <f>IFERROR(__xludf.DUMMYFUNCTION("""COMPUTED_VALUE"""),"comprende los fundamentos conceptuales del pensamiento sistémico y la naturaleza de los sistemas de la realidad a través del estudio de teorías, modelos mentales y estructuras de retroalimentación para distinguir los sistemas naturales, físicos diseñados,"&amp;" abstractos diseñados y de actividad humana ")</f>
        <v>comprende los fundamentos conceptuales del pensamiento sistémico y la naturaleza de los sistemas de la realidad a través del estudio de teorías, modelos mentales y estructuras de retroalimentación para distinguir los sistemas naturales, físicos diseñados, abstractos diseñados y de actividad humana </v>
      </c>
      <c r="C32" s="71" t="str">
        <f>IFERROR(__xludf.DUMMYFUNCTION("""COMPUTED_VALUE"""),"Unidad 2: Los sistemas abstractos diseñados")</f>
        <v>Unidad 2: Los sistemas abstractos diseñados</v>
      </c>
      <c r="D32" s="61" t="str">
        <f>IFERROR(__xludf.DUMMYFUNCTION("""COMPUTED_VALUE"""),"Perspectiva de sistemas abstractos diseñados")</f>
        <v>Perspectiva de sistemas abstractos diseñados</v>
      </c>
      <c r="E32" s="61" t="str">
        <f>IFERROR(__xludf.DUMMYFUNCTION("""COMPUTED_VALUE"""),"Conclusión de los modelos mentales diseñados")</f>
        <v>Conclusión de los modelos mentales diseñados</v>
      </c>
      <c r="F32" s="71" t="str">
        <f>IFERROR(__xludf.DUMMYFUNCTION("""COMPUTED_VALUE"""),"Julio")</f>
        <v>Julio</v>
      </c>
      <c r="G32" s="71">
        <f>IFERROR(__xludf.DUMMYFUNCTION("""COMPUTED_VALUE"""),4.0)</f>
        <v>4</v>
      </c>
    </row>
    <row r="33">
      <c r="A33" s="71">
        <f>IFERROR(__xludf.DUMMYFUNCTION("""COMPUTED_VALUE"""),29.0)</f>
        <v>29</v>
      </c>
      <c r="B33" s="61" t="str">
        <f>IFERROR(__xludf.DUMMYFUNCTION("""COMPUTED_VALUE"""),"comprende los fundamentos conceptuales del pensamiento sistémico y la naturaleza de los sistemas de la realidad a través del estudio de teorías, modelos mentales y estructuras de retroalimentación para distinguir los sistemas naturales, físicos diseñados,"&amp;" abstractos diseñados y de actividad humana ")</f>
        <v>comprende los fundamentos conceptuales del pensamiento sistémico y la naturaleza de los sistemas de la realidad a través del estudio de teorías, modelos mentales y estructuras de retroalimentación para distinguir los sistemas naturales, físicos diseñados, abstractos diseñados y de actividad humana </v>
      </c>
      <c r="C33" s="71" t="str">
        <f>IFERROR(__xludf.DUMMYFUNCTION("""COMPUTED_VALUE"""),"Unidad 3: Desarrollando el pensamiento sistémico complejo")</f>
        <v>Unidad 3: Desarrollando el pensamiento sistémico complejo</v>
      </c>
      <c r="D33" s="61" t="str">
        <f>IFERROR(__xludf.DUMMYFUNCTION("""COMPUTED_VALUE"""),"Fundamentos del pensamiento sistémico")</f>
        <v>Fundamentos del pensamiento sistémico</v>
      </c>
      <c r="E33" s="61" t="str">
        <f>IFERROR(__xludf.DUMMYFUNCTION("""COMPUTED_VALUE"""),"Concepto de sistema")</f>
        <v>Concepto de sistema</v>
      </c>
      <c r="F33" s="71" t="str">
        <f>IFERROR(__xludf.DUMMYFUNCTION("""COMPUTED_VALUE"""),"Julio")</f>
        <v>Julio</v>
      </c>
      <c r="G33" s="71">
        <f>IFERROR(__xludf.DUMMYFUNCTION("""COMPUTED_VALUE"""),4.0)</f>
        <v>4</v>
      </c>
    </row>
    <row r="34">
      <c r="A34" s="71">
        <f>IFERROR(__xludf.DUMMYFUNCTION("""COMPUTED_VALUE"""),30.0)</f>
        <v>30</v>
      </c>
      <c r="B34" s="61" t="str">
        <f>IFERROR(__xludf.DUMMYFUNCTION("""COMPUTED_VALUE"""),"comprende los fundamentos conceptuales del pensamiento sistémico y la naturaleza de los sistemas de la realidad a través del estudio de teorías, modelos mentales y estructuras de retroalimentación para distinguir los sistemas naturales, físicos diseñados,"&amp;" abstractos diseñados y de actividad humana ")</f>
        <v>comprende los fundamentos conceptuales del pensamiento sistémico y la naturaleza de los sistemas de la realidad a través del estudio de teorías, modelos mentales y estructuras de retroalimentación para distinguir los sistemas naturales, físicos diseñados, abstractos diseñados y de actividad humana </v>
      </c>
      <c r="C34" s="71" t="str">
        <f>IFERROR(__xludf.DUMMYFUNCTION("""COMPUTED_VALUE"""),"Unidad 3: Desarrollando el pensamiento sistémico complejo")</f>
        <v>Unidad 3: Desarrollando el pensamiento sistémico complejo</v>
      </c>
      <c r="D34" s="61" t="str">
        <f>IFERROR(__xludf.DUMMYFUNCTION("""COMPUTED_VALUE"""),"Fundamentos del pensamiento sistémico")</f>
        <v>Fundamentos del pensamiento sistémico</v>
      </c>
      <c r="E34" s="61" t="str">
        <f>IFERROR(__xludf.DUMMYFUNCTION("""COMPUTED_VALUE"""),"Estructura de los sistemas")</f>
        <v>Estructura de los sistemas</v>
      </c>
      <c r="F34" s="71" t="str">
        <f>IFERROR(__xludf.DUMMYFUNCTION("""COMPUTED_VALUE"""),"Agosto")</f>
        <v>Agosto</v>
      </c>
      <c r="G34" s="71">
        <f>IFERROR(__xludf.DUMMYFUNCTION("""COMPUTED_VALUE"""),4.0)</f>
        <v>4</v>
      </c>
    </row>
    <row r="35">
      <c r="A35" s="71">
        <f>IFERROR(__xludf.DUMMYFUNCTION("""COMPUTED_VALUE"""),31.0)</f>
        <v>31</v>
      </c>
      <c r="B35" s="61" t="str">
        <f>IFERROR(__xludf.DUMMYFUNCTION("""COMPUTED_VALUE"""),"comprende los fundamentos conceptuales del pensamiento sistémico y la naturaleza de los sistemas de la realidad a través del estudio de teorías, modelos mentales y estructuras de retroalimentación para distinguir los sistemas naturales, físicos diseñados,"&amp;" abstractos diseñados y de actividad humana ")</f>
        <v>comprende los fundamentos conceptuales del pensamiento sistémico y la naturaleza de los sistemas de la realidad a través del estudio de teorías, modelos mentales y estructuras de retroalimentación para distinguir los sistemas naturales, físicos diseñados, abstractos diseñados y de actividad humana </v>
      </c>
      <c r="C35" s="71" t="str">
        <f>IFERROR(__xludf.DUMMYFUNCTION("""COMPUTED_VALUE"""),"Unidad 3: Desarrollando el pensamiento sistémico complejo")</f>
        <v>Unidad 3: Desarrollando el pensamiento sistémico complejo</v>
      </c>
      <c r="D35" s="61" t="str">
        <f>IFERROR(__xludf.DUMMYFUNCTION("""COMPUTED_VALUE"""),"Fundamentos del pensamiento sistémico")</f>
        <v>Fundamentos del pensamiento sistémico</v>
      </c>
      <c r="E35" s="61" t="str">
        <f>IFERROR(__xludf.DUMMYFUNCTION("""COMPUTED_VALUE"""),"Subsistemas y suprasistemas")</f>
        <v>Subsistemas y suprasistemas</v>
      </c>
      <c r="F35" s="71" t="str">
        <f>IFERROR(__xludf.DUMMYFUNCTION("""COMPUTED_VALUE"""),"Agosto")</f>
        <v>Agosto</v>
      </c>
      <c r="G35" s="71">
        <f>IFERROR(__xludf.DUMMYFUNCTION("""COMPUTED_VALUE"""),4.0)</f>
        <v>4</v>
      </c>
    </row>
    <row r="36">
      <c r="A36" s="71">
        <f>IFERROR(__xludf.DUMMYFUNCTION("""COMPUTED_VALUE"""),32.0)</f>
        <v>32</v>
      </c>
      <c r="B36" s="61" t="str">
        <f>IFERROR(__xludf.DUMMYFUNCTION("""COMPUTED_VALUE"""),"comprende los fundamentos conceptuales del pensamiento sistémico y la naturaleza de los sistemas de la realidad a través del estudio de teorías, modelos mentales y estructuras de retroalimentación para distinguir los sistemas naturales, físicos diseñados,"&amp;" abstractos diseñados y de actividad humana ")</f>
        <v>comprende los fundamentos conceptuales del pensamiento sistémico y la naturaleza de los sistemas de la realidad a través del estudio de teorías, modelos mentales y estructuras de retroalimentación para distinguir los sistemas naturales, físicos diseñados, abstractos diseñados y de actividad humana </v>
      </c>
      <c r="C36" s="71" t="str">
        <f>IFERROR(__xludf.DUMMYFUNCTION("""COMPUTED_VALUE"""),"Unidad 3: Desarrollando el pensamiento sistémico complejo")</f>
        <v>Unidad 3: Desarrollando el pensamiento sistémico complejo</v>
      </c>
      <c r="D36" s="61" t="str">
        <f>IFERROR(__xludf.DUMMYFUNCTION("""COMPUTED_VALUE"""),"Fundamentos del pensamiento sistémico")</f>
        <v>Fundamentos del pensamiento sistémico</v>
      </c>
      <c r="E36" s="61" t="str">
        <f>IFERROR(__xludf.DUMMYFUNCTION("""COMPUTED_VALUE"""),"Sinergia y emergencia en sistemas")</f>
        <v>Sinergia y emergencia en sistemas</v>
      </c>
      <c r="F36" s="71" t="str">
        <f>IFERROR(__xludf.DUMMYFUNCTION("""COMPUTED_VALUE"""),"Agosto")</f>
        <v>Agosto</v>
      </c>
      <c r="G36" s="71">
        <f>IFERROR(__xludf.DUMMYFUNCTION("""COMPUTED_VALUE"""),4.0)</f>
        <v>4</v>
      </c>
    </row>
    <row r="37">
      <c r="A37" s="71">
        <f>IFERROR(__xludf.DUMMYFUNCTION("""COMPUTED_VALUE"""),33.0)</f>
        <v>33</v>
      </c>
      <c r="B37" s="61" t="str">
        <f>IFERROR(__xludf.DUMMYFUNCTION("""COMPUTED_VALUE"""),"comprende los fundamentos conceptuales del pensamiento sistémico y la naturaleza de los sistemas de la realidad a través del estudio de teorías, modelos mentales y estructuras de retroalimentación para distinguir los sistemas naturales, físicos diseñados,"&amp;" abstractos diseñados y de actividad humana ")</f>
        <v>comprende los fundamentos conceptuales del pensamiento sistémico y la naturaleza de los sistemas de la realidad a través del estudio de teorías, modelos mentales y estructuras de retroalimentación para distinguir los sistemas naturales, físicos diseñados, abstractos diseñados y de actividad humana </v>
      </c>
      <c r="C37" s="71" t="str">
        <f>IFERROR(__xludf.DUMMYFUNCTION("""COMPUTED_VALUE"""),"Unidad 3: Desarrollando el pensamiento sistémico complejo")</f>
        <v>Unidad 3: Desarrollando el pensamiento sistémico complejo</v>
      </c>
      <c r="D37" s="61" t="str">
        <f>IFERROR(__xludf.DUMMYFUNCTION("""COMPUTED_VALUE"""),"Fundamentos del pensamiento sistémico")</f>
        <v>Fundamentos del pensamiento sistémico</v>
      </c>
      <c r="E37" s="61" t="str">
        <f>IFERROR(__xludf.DUMMYFUNCTION("""COMPUTED_VALUE"""),"Complejidad sistémica")</f>
        <v>Complejidad sistémica</v>
      </c>
      <c r="F37" s="71" t="str">
        <f>IFERROR(__xludf.DUMMYFUNCTION("""COMPUTED_VALUE"""),"Agosto")</f>
        <v>Agosto</v>
      </c>
      <c r="G37" s="71">
        <f>IFERROR(__xludf.DUMMYFUNCTION("""COMPUTED_VALUE"""),5.0)</f>
        <v>5</v>
      </c>
    </row>
    <row r="38">
      <c r="A38" s="71">
        <f>IFERROR(__xludf.DUMMYFUNCTION("""COMPUTED_VALUE"""),34.0)</f>
        <v>34</v>
      </c>
      <c r="B38" s="61" t="str">
        <f>IFERROR(__xludf.DUMMYFUNCTION("""COMPUTED_VALUE"""),"comprende los fundamentos conceptuales del pensamiento sistémico y la naturaleza de los sistemas de la realidad a través del estudio de teorías, modelos mentales y estructuras de retroalimentación para distinguir los sistemas naturales, físicos diseñados,"&amp;" abstractos diseñados y de actividad humana ")</f>
        <v>comprende los fundamentos conceptuales del pensamiento sistémico y la naturaleza de los sistemas de la realidad a través del estudio de teorías, modelos mentales y estructuras de retroalimentación para distinguir los sistemas naturales, físicos diseñados, abstractos diseñados y de actividad humana </v>
      </c>
      <c r="C38" s="71" t="str">
        <f>IFERROR(__xludf.DUMMYFUNCTION("""COMPUTED_VALUE"""),"Unidad 3: Desarrollando el pensamiento sistémico complejo")</f>
        <v>Unidad 3: Desarrollando el pensamiento sistémico complejo</v>
      </c>
      <c r="D38" s="61" t="str">
        <f>IFERROR(__xludf.DUMMYFUNCTION("""COMPUTED_VALUE"""),"Fundamentos del pensamiento sistémico")</f>
        <v>Fundamentos del pensamiento sistémico</v>
      </c>
      <c r="E38" s="61" t="str">
        <f>IFERROR(__xludf.DUMMYFUNCTION("""COMPUTED_VALUE"""),"El universo como conjunto de sistemas")</f>
        <v>El universo como conjunto de sistemas</v>
      </c>
      <c r="F38" s="71" t="str">
        <f>IFERROR(__xludf.DUMMYFUNCTION("""COMPUTED_VALUE"""),"Agosto")</f>
        <v>Agosto</v>
      </c>
      <c r="G38" s="71">
        <f>IFERROR(__xludf.DUMMYFUNCTION("""COMPUTED_VALUE"""),5.0)</f>
        <v>5</v>
      </c>
    </row>
    <row r="39">
      <c r="A39" s="71">
        <f>IFERROR(__xludf.DUMMYFUNCTION("""COMPUTED_VALUE"""),35.0)</f>
        <v>35</v>
      </c>
      <c r="B39" s="61" t="str">
        <f>IFERROR(__xludf.DUMMYFUNCTION("""COMPUTED_VALUE"""),"comprende los fundamentos conceptuales del pensamiento sistémico y la naturaleza de los sistemas de la realidad a través del estudio de teorías, modelos mentales y estructuras de retroalimentación para distinguir los sistemas naturales, físicos diseñados,"&amp;" abstractos diseñados y de actividad humana ")</f>
        <v>comprende los fundamentos conceptuales del pensamiento sistémico y la naturaleza de los sistemas de la realidad a través del estudio de teorías, modelos mentales y estructuras de retroalimentación para distinguir los sistemas naturales, físicos diseñados, abstractos diseñados y de actividad humana </v>
      </c>
      <c r="C39" s="71" t="str">
        <f>IFERROR(__xludf.DUMMYFUNCTION("""COMPUTED_VALUE"""),"Unidad 3: Desarrollando el pensamiento sistémico complejo")</f>
        <v>Unidad 3: Desarrollando el pensamiento sistémico complejo</v>
      </c>
      <c r="D39" s="61" t="str">
        <f>IFERROR(__xludf.DUMMYFUNCTION("""COMPUTED_VALUE"""),"Fundamentos del pensamiento sistémico")</f>
        <v>Fundamentos del pensamiento sistémico</v>
      </c>
      <c r="E39" s="61" t="str">
        <f>IFERROR(__xludf.DUMMYFUNCTION("""COMPUTED_VALUE"""),"Ejemplos de sistemas naturales")</f>
        <v>Ejemplos de sistemas naturales</v>
      </c>
      <c r="F39" s="71" t="str">
        <f>IFERROR(__xludf.DUMMYFUNCTION("""COMPUTED_VALUE"""),"Agosto")</f>
        <v>Agosto</v>
      </c>
      <c r="G39" s="71">
        <f>IFERROR(__xludf.DUMMYFUNCTION("""COMPUTED_VALUE"""),5.0)</f>
        <v>5</v>
      </c>
    </row>
    <row r="40">
      <c r="A40" s="71">
        <f>IFERROR(__xludf.DUMMYFUNCTION("""COMPUTED_VALUE"""),36.0)</f>
        <v>36</v>
      </c>
      <c r="B40" s="61" t="str">
        <f>IFERROR(__xludf.DUMMYFUNCTION("""COMPUTED_VALUE"""),"analiza las estructuras y dinámicas de sistemas simples y complejos mediante mapas DSRP, diagramas de ciclos causales y arquetipos sistémicos para identificar patrones de comportamiento y oportunidades de intervención sistémica ")</f>
        <v>analiza las estructuras y dinámicas de sistemas simples y complejos mediante mapas DSRP, diagramas de ciclos causales y arquetipos sistémicos para identificar patrones de comportamiento y oportunidades de intervención sistémica </v>
      </c>
      <c r="C40" s="71" t="str">
        <f>IFERROR(__xludf.DUMMYFUNCTION("""COMPUTED_VALUE"""),"Unidad 3: Desarrollando el pensamiento sistémico complejo")</f>
        <v>Unidad 3: Desarrollando el pensamiento sistémico complejo</v>
      </c>
      <c r="D40" s="61" t="str">
        <f>IFERROR(__xludf.DUMMYFUNCTION("""COMPUTED_VALUE"""),"Clasificación de sistemas")</f>
        <v>Clasificación de sistemas</v>
      </c>
      <c r="E40" s="61" t="str">
        <f>IFERROR(__xludf.DUMMYFUNCTION("""COMPUTED_VALUE"""),"Sistemas físicos diseñados")</f>
        <v>Sistemas físicos diseñados</v>
      </c>
      <c r="F40" s="71" t="str">
        <f>IFERROR(__xludf.DUMMYFUNCTION("""COMPUTED_VALUE"""),"Agosto")</f>
        <v>Agosto</v>
      </c>
      <c r="G40" s="71">
        <f>IFERROR(__xludf.DUMMYFUNCTION("""COMPUTED_VALUE"""),5.0)</f>
        <v>5</v>
      </c>
    </row>
    <row r="41">
      <c r="A41" s="71">
        <f>IFERROR(__xludf.DUMMYFUNCTION("""COMPUTED_VALUE"""),37.0)</f>
        <v>37</v>
      </c>
      <c r="B41" s="61" t="str">
        <f>IFERROR(__xludf.DUMMYFUNCTION("""COMPUTED_VALUE"""),"analiza las estructuras y dinámicas de sistemas simples y complejos mediante mapas DSRP, diagramas de ciclos causales y arquetipos sistémicos para identificar patrones de comportamiento y oportunidades de intervención sistémica ")</f>
        <v>analiza las estructuras y dinámicas de sistemas simples y complejos mediante mapas DSRP, diagramas de ciclos causales y arquetipos sistémicos para identificar patrones de comportamiento y oportunidades de intervención sistémica </v>
      </c>
      <c r="C41" s="71" t="str">
        <f>IFERROR(__xludf.DUMMYFUNCTION("""COMPUTED_VALUE"""),"Unidad 3: Desarrollando el pensamiento sistémico complejo")</f>
        <v>Unidad 3: Desarrollando el pensamiento sistémico complejo</v>
      </c>
      <c r="D41" s="61" t="str">
        <f>IFERROR(__xludf.DUMMYFUNCTION("""COMPUTED_VALUE"""),"Clasificación de sistemas")</f>
        <v>Clasificación de sistemas</v>
      </c>
      <c r="E41" s="61" t="str">
        <f>IFERROR(__xludf.DUMMYFUNCTION("""COMPUTED_VALUE"""),"Sistemas abstractos diseñados")</f>
        <v>Sistemas abstractos diseñados</v>
      </c>
      <c r="F41" s="71" t="str">
        <f>IFERROR(__xludf.DUMMYFUNCTION("""COMPUTED_VALUE"""),"Agosto")</f>
        <v>Agosto</v>
      </c>
      <c r="G41" s="71">
        <f>IFERROR(__xludf.DUMMYFUNCTION("""COMPUTED_VALUE"""),5.0)</f>
        <v>5</v>
      </c>
    </row>
    <row r="42">
      <c r="A42" s="71">
        <f>IFERROR(__xludf.DUMMYFUNCTION("""COMPUTED_VALUE"""),38.0)</f>
        <v>38</v>
      </c>
      <c r="B42" s="61" t="str">
        <f>IFERROR(__xludf.DUMMYFUNCTION("""COMPUTED_VALUE"""),"analiza las estructuras y dinámicas de sistemas simples y complejos mediante mapas DSRP, diagramas de ciclos causales y arquetipos sistémicos para identificar patrones de comportamiento y oportunidades de intervención sistémica ")</f>
        <v>analiza las estructuras y dinámicas de sistemas simples y complejos mediante mapas DSRP, diagramas de ciclos causales y arquetipos sistémicos para identificar patrones de comportamiento y oportunidades de intervención sistémica </v>
      </c>
      <c r="C42" s="71" t="str">
        <f>IFERROR(__xludf.DUMMYFUNCTION("""COMPUTED_VALUE"""),"Unidad 3: Desarrollando el pensamiento sistémico complejo")</f>
        <v>Unidad 3: Desarrollando el pensamiento sistémico complejo</v>
      </c>
      <c r="D42" s="61" t="str">
        <f>IFERROR(__xludf.DUMMYFUNCTION("""COMPUTED_VALUE"""),"Clasificación de sistemas")</f>
        <v>Clasificación de sistemas</v>
      </c>
      <c r="E42" s="61" t="str">
        <f>IFERROR(__xludf.DUMMYFUNCTION("""COMPUTED_VALUE"""),"Sistemas de actividad humana")</f>
        <v>Sistemas de actividad humana</v>
      </c>
      <c r="F42" s="71" t="str">
        <f>IFERROR(__xludf.DUMMYFUNCTION("""COMPUTED_VALUE"""),"Agosto")</f>
        <v>Agosto</v>
      </c>
      <c r="G42" s="71">
        <f>IFERROR(__xludf.DUMMYFUNCTION("""COMPUTED_VALUE"""),5.0)</f>
        <v>5</v>
      </c>
    </row>
    <row r="43">
      <c r="A43" s="71">
        <f>IFERROR(__xludf.DUMMYFUNCTION("""COMPUTED_VALUE"""),39.0)</f>
        <v>39</v>
      </c>
      <c r="B43" s="61" t="str">
        <f>IFERROR(__xludf.DUMMYFUNCTION("""COMPUTED_VALUE"""),"analiza las estructuras y dinámicas de sistemas simples y complejos mediante mapas DSRP, diagramas de ciclos causales y arquetipos sistémicos para identificar patrones de comportamiento y oportunidades de intervención sistémica ")</f>
        <v>analiza las estructuras y dinámicas de sistemas simples y complejos mediante mapas DSRP, diagramas de ciclos causales y arquetipos sistémicos para identificar patrones de comportamiento y oportunidades de intervención sistémica </v>
      </c>
      <c r="C43" s="71" t="str">
        <f>IFERROR(__xludf.DUMMYFUNCTION("""COMPUTED_VALUE"""),"Unidad 3: Desarrollando el pensamiento sistémico complejo")</f>
        <v>Unidad 3: Desarrollando el pensamiento sistémico complejo</v>
      </c>
      <c r="D43" s="61" t="str">
        <f>IFERROR(__xludf.DUMMYFUNCTION("""COMPUTED_VALUE"""),"Clasificación de sistemas")</f>
        <v>Clasificación de sistemas</v>
      </c>
      <c r="E43" s="61" t="str">
        <f>IFERROR(__xludf.DUMMYFUNCTION("""COMPUTED_VALUE"""),"Diferencias entre sistemas naturales y diseñados")</f>
        <v>Diferencias entre sistemas naturales y diseñados</v>
      </c>
      <c r="F43" s="71" t="str">
        <f>IFERROR(__xludf.DUMMYFUNCTION("""COMPUTED_VALUE"""),"Agosto")</f>
        <v>Agosto</v>
      </c>
      <c r="G43" s="71">
        <f>IFERROR(__xludf.DUMMYFUNCTION("""COMPUTED_VALUE"""),5.0)</f>
        <v>5</v>
      </c>
    </row>
    <row r="44">
      <c r="A44" s="71">
        <f>IFERROR(__xludf.DUMMYFUNCTION("""COMPUTED_VALUE"""),40.0)</f>
        <v>40</v>
      </c>
      <c r="B44" s="61" t="str">
        <f>IFERROR(__xludf.DUMMYFUNCTION("""COMPUTED_VALUE"""),"analiza las estructuras y dinámicas de sistemas simples y complejos mediante mapas DSRP, diagramas de ciclos causales y arquetipos sistémicos para identificar patrones de comportamiento y oportunidades de intervención sistémica ")</f>
        <v>analiza las estructuras y dinámicas de sistemas simples y complejos mediante mapas DSRP, diagramas de ciclos causales y arquetipos sistémicos para identificar patrones de comportamiento y oportunidades de intervención sistémica </v>
      </c>
      <c r="C44" s="71" t="str">
        <f>IFERROR(__xludf.DUMMYFUNCTION("""COMPUTED_VALUE"""),"Unidad 3: Desarrollando el pensamiento sistémico complejo")</f>
        <v>Unidad 3: Desarrollando el pensamiento sistémico complejo</v>
      </c>
      <c r="D44" s="61" t="str">
        <f>IFERROR(__xludf.DUMMYFUNCTION("""COMPUTED_VALUE"""),"Clasificación de sistemas")</f>
        <v>Clasificación de sistemas</v>
      </c>
      <c r="E44" s="61" t="str">
        <f>IFERROR(__xludf.DUMMYFUNCTION("""COMPUTED_VALUE"""),"Sistemas complejos adaptativos")</f>
        <v>Sistemas complejos adaptativos</v>
      </c>
      <c r="F44" s="71" t="str">
        <f>IFERROR(__xludf.DUMMYFUNCTION("""COMPUTED_VALUE"""),"Agosto")</f>
        <v>Agosto</v>
      </c>
      <c r="G44" s="71">
        <f>IFERROR(__xludf.DUMMYFUNCTION("""COMPUTED_VALUE"""),5.0)</f>
        <v>5</v>
      </c>
    </row>
    <row r="45">
      <c r="A45" s="71">
        <f>IFERROR(__xludf.DUMMYFUNCTION("""COMPUTED_VALUE"""),41.0)</f>
        <v>41</v>
      </c>
      <c r="B45" s="61" t="str">
        <f>IFERROR(__xludf.DUMMYFUNCTION("""COMPUTED_VALUE"""),"analiza las estructuras y dinámicas de sistemas simples y complejos mediante mapas DSRP, diagramas de ciclos causales y arquetipos sistémicos para identificar patrones de comportamiento y oportunidades de intervención sistémica ")</f>
        <v>analiza las estructuras y dinámicas de sistemas simples y complejos mediante mapas DSRP, diagramas de ciclos causales y arquetipos sistémicos para identificar patrones de comportamiento y oportunidades de intervención sistémica </v>
      </c>
      <c r="C45" s="71" t="str">
        <f>IFERROR(__xludf.DUMMYFUNCTION("""COMPUTED_VALUE"""),"Unidad 3: Desarrollando el pensamiento sistémico complejo")</f>
        <v>Unidad 3: Desarrollando el pensamiento sistémico complejo</v>
      </c>
      <c r="D45" s="61" t="str">
        <f>IFERROR(__xludf.DUMMYFUNCTION("""COMPUTED_VALUE"""),"Clasificación de sistemas")</f>
        <v>Clasificación de sistemas</v>
      </c>
      <c r="E45" s="61" t="str">
        <f>IFERROR(__xludf.DUMMYFUNCTION("""COMPUTED_VALUE"""),"Características de sistemas de actividad humana")</f>
        <v>Características de sistemas de actividad humana</v>
      </c>
      <c r="F45" s="71" t="str">
        <f>IFERROR(__xludf.DUMMYFUNCTION("""COMPUTED_VALUE"""),"Agosto")</f>
        <v>Agosto</v>
      </c>
      <c r="G45" s="71">
        <f>IFERROR(__xludf.DUMMYFUNCTION("""COMPUTED_VALUE"""),6.0)</f>
        <v>6</v>
      </c>
    </row>
    <row r="46">
      <c r="A46" s="71">
        <f>IFERROR(__xludf.DUMMYFUNCTION("""COMPUTED_VALUE"""),42.0)</f>
        <v>42</v>
      </c>
      <c r="B46" s="61" t="str">
        <f>IFERROR(__xludf.DUMMYFUNCTION("""COMPUTED_VALUE"""),"analiza las estructuras y dinámicas de sistemas simples y complejos mediante mapas DSRP, diagramas de ciclos causales y arquetipos sistémicos para identificar patrones de comportamiento y oportunidades de intervención sistémica ")</f>
        <v>analiza las estructuras y dinámicas de sistemas simples y complejos mediante mapas DSRP, diagramas de ciclos causales y arquetipos sistémicos para identificar patrones de comportamiento y oportunidades de intervención sistémica </v>
      </c>
      <c r="C46" s="71" t="str">
        <f>IFERROR(__xludf.DUMMYFUNCTION("""COMPUTED_VALUE"""),"Unidad 3: Desarrollando el pensamiento sistémico complejo")</f>
        <v>Unidad 3: Desarrollando el pensamiento sistémico complejo</v>
      </c>
      <c r="D46" s="61" t="str">
        <f>IFERROR(__xludf.DUMMYFUNCTION("""COMPUTED_VALUE"""),"Clasificación de sistemas")</f>
        <v>Clasificación de sistemas</v>
      </c>
      <c r="E46" s="61" t="str">
        <f>IFERROR(__xludf.DUMMYFUNCTION("""COMPUTED_VALUE"""),"Ejemplos de interacciones entre sistemas")</f>
        <v>Ejemplos de interacciones entre sistemas</v>
      </c>
      <c r="F46" s="71" t="str">
        <f>IFERROR(__xludf.DUMMYFUNCTION("""COMPUTED_VALUE"""),"Agosto")</f>
        <v>Agosto</v>
      </c>
      <c r="G46" s="71">
        <f>IFERROR(__xludf.DUMMYFUNCTION("""COMPUTED_VALUE"""),6.0)</f>
        <v>6</v>
      </c>
    </row>
    <row r="47">
      <c r="A47" s="71">
        <f>IFERROR(__xludf.DUMMYFUNCTION("""COMPUTED_VALUE"""),43.0)</f>
        <v>43</v>
      </c>
      <c r="B47" s="61" t="str">
        <f>IFERROR(__xludf.DUMMYFUNCTION("""COMPUTED_VALUE"""),"identifica los conceptos fundamentales de la teoría de sistemas y del pensamiento sistémico mediante la revisión de definiciones, clasificaciones y características básicas de los sistemas para reconocer los elementos esenciales en el análisis y modelación"&amp;" de sistemas ")</f>
        <v>identifica los conceptos fundamentales de la teoría de sistemas y del pensamiento sistémico mediante la revisión de definiciones, clasificaciones y características básicas de los sistemas para reconocer los elementos esenciales en el análisis y modelación de sistemas </v>
      </c>
      <c r="C47" s="71" t="str">
        <f>IFERROR(__xludf.DUMMYFUNCTION("""COMPUTED_VALUE"""),"Unidad 3: Desarrollando el pensamiento sistémico complejo")</f>
        <v>Unidad 3: Desarrollando el pensamiento sistémico complejo</v>
      </c>
      <c r="D47" s="61" t="str">
        <f>IFERROR(__xludf.DUMMYFUNCTION("""COMPUTED_VALUE"""),"Niveles de perspectiva")</f>
        <v>Niveles de perspectiva</v>
      </c>
      <c r="E47" s="61" t="str">
        <f>IFERROR(__xludf.DUMMYFUNCTION("""COMPUTED_VALUE"""),"Modelo del iceberg")</f>
        <v>Modelo del iceberg</v>
      </c>
      <c r="F47" s="71" t="str">
        <f>IFERROR(__xludf.DUMMYFUNCTION("""COMPUTED_VALUE"""),"Agosto")</f>
        <v>Agosto</v>
      </c>
      <c r="G47" s="71">
        <f>IFERROR(__xludf.DUMMYFUNCTION("""COMPUTED_VALUE"""),6.0)</f>
        <v>6</v>
      </c>
    </row>
    <row r="48">
      <c r="A48" s="71">
        <f>IFERROR(__xludf.DUMMYFUNCTION("""COMPUTED_VALUE"""),44.0)</f>
        <v>44</v>
      </c>
      <c r="B48" s="61" t="str">
        <f>IFERROR(__xludf.DUMMYFUNCTION("""COMPUTED_VALUE"""),"identifica los conceptos fundamentales de la teoría de sistemas y del pensamiento sistémico mediante la revisión de definiciones, clasificaciones y características básicas de los sistemas para reconocer los elementos esenciales en el análisis y modelación"&amp;" de sistemas ")</f>
        <v>identifica los conceptos fundamentales de la teoría de sistemas y del pensamiento sistémico mediante la revisión de definiciones, clasificaciones y características básicas de los sistemas para reconocer los elementos esenciales en el análisis y modelación de sistemas </v>
      </c>
      <c r="C48" s="71" t="str">
        <f>IFERROR(__xludf.DUMMYFUNCTION("""COMPUTED_VALUE"""),"Unidad 3: Desarrollando el pensamiento sistémico complejo")</f>
        <v>Unidad 3: Desarrollando el pensamiento sistémico complejo</v>
      </c>
      <c r="D48" s="61" t="str">
        <f>IFERROR(__xludf.DUMMYFUNCTION("""COMPUTED_VALUE"""),"Niveles de perspectiva")</f>
        <v>Niveles de perspectiva</v>
      </c>
      <c r="E48" s="61" t="str">
        <f>IFERROR(__xludf.DUMMYFUNCTION("""COMPUTED_VALUE"""),"Interpretación de niveles de percepción")</f>
        <v>Interpretación de niveles de percepción</v>
      </c>
      <c r="F48" s="71" t="str">
        <f>IFERROR(__xludf.DUMMYFUNCTION("""COMPUTED_VALUE"""),"Agosto")</f>
        <v>Agosto</v>
      </c>
      <c r="G48" s="71">
        <f>IFERROR(__xludf.DUMMYFUNCTION("""COMPUTED_VALUE"""),6.0)</f>
        <v>6</v>
      </c>
    </row>
    <row r="49">
      <c r="A49" s="71">
        <f>IFERROR(__xludf.DUMMYFUNCTION("""COMPUTED_VALUE"""),45.0)</f>
        <v>45</v>
      </c>
      <c r="B49" s="61" t="str">
        <f>IFERROR(__xludf.DUMMYFUNCTION("""COMPUTED_VALUE"""),"identifica los conceptos fundamentales de la teoría de sistemas y del pensamiento sistémico mediante la revisión de definiciones, clasificaciones y características básicas de los sistemas para reconocer los elementos esenciales en el análisis y modelación"&amp;" de sistemas ")</f>
        <v>identifica los conceptos fundamentales de la teoría de sistemas y del pensamiento sistémico mediante la revisión de definiciones, clasificaciones y características básicas de los sistemas para reconocer los elementos esenciales en el análisis y modelación de sistemas </v>
      </c>
      <c r="C49" s="71" t="str">
        <f>IFERROR(__xludf.DUMMYFUNCTION("""COMPUTED_VALUE"""),"Unidad 3: Desarrollando el pensamiento sistémico complejo")</f>
        <v>Unidad 3: Desarrollando el pensamiento sistémico complejo</v>
      </c>
      <c r="D49" s="61" t="str">
        <f>IFERROR(__xludf.DUMMYFUNCTION("""COMPUTED_VALUE"""),"Niveles de perspectiva")</f>
        <v>Niveles de perspectiva</v>
      </c>
      <c r="E49" s="61" t="str">
        <f>IFERROR(__xludf.DUMMYFUNCTION("""COMPUTED_VALUE"""),"Impacto de la percepción en el pensamiento sistémico")</f>
        <v>Impacto de la percepción en el pensamiento sistémico</v>
      </c>
      <c r="F49" s="71" t="str">
        <f>IFERROR(__xludf.DUMMYFUNCTION("""COMPUTED_VALUE"""),"Agosto")</f>
        <v>Agosto</v>
      </c>
      <c r="G49" s="71">
        <f>IFERROR(__xludf.DUMMYFUNCTION("""COMPUTED_VALUE"""),6.0)</f>
        <v>6</v>
      </c>
    </row>
    <row r="50">
      <c r="A50" s="71">
        <f>IFERROR(__xludf.DUMMYFUNCTION("""COMPUTED_VALUE"""),46.0)</f>
        <v>46</v>
      </c>
      <c r="B50" s="61" t="str">
        <f>IFERROR(__xludf.DUMMYFUNCTION("""COMPUTED_VALUE"""),"identifica los conceptos fundamentales de la teoría de sistemas y del pensamiento sistémico mediante la revisión de definiciones, clasificaciones y características básicas de los sistemas para reconocer los elementos esenciales en el análisis y modelación"&amp;" de sistemas ")</f>
        <v>identifica los conceptos fundamentales de la teoría de sistemas y del pensamiento sistémico mediante la revisión de definiciones, clasificaciones y características básicas de los sistemas para reconocer los elementos esenciales en el análisis y modelación de sistemas </v>
      </c>
      <c r="C50" s="71" t="str">
        <f>IFERROR(__xludf.DUMMYFUNCTION("""COMPUTED_VALUE"""),"Unidad 3: Desarrollando el pensamiento sistémico complejo")</f>
        <v>Unidad 3: Desarrollando el pensamiento sistémico complejo</v>
      </c>
      <c r="D50" s="61" t="str">
        <f>IFERROR(__xludf.DUMMYFUNCTION("""COMPUTED_VALUE"""),"Niveles de perspectiva")</f>
        <v>Niveles de perspectiva</v>
      </c>
      <c r="E50" s="61" t="str">
        <f>IFERROR(__xludf.DUMMYFUNCTION("""COMPUTED_VALUE"""),"Ejemplos de interpretación de sistemas")</f>
        <v>Ejemplos de interpretación de sistemas</v>
      </c>
      <c r="F50" s="71" t="str">
        <f>IFERROR(__xludf.DUMMYFUNCTION("""COMPUTED_VALUE"""),"Agosto")</f>
        <v>Agosto</v>
      </c>
      <c r="G50" s="71">
        <f>IFERROR(__xludf.DUMMYFUNCTION("""COMPUTED_VALUE"""),6.0)</f>
        <v>6</v>
      </c>
    </row>
    <row r="51">
      <c r="A51" s="71">
        <f>IFERROR(__xludf.DUMMYFUNCTION("""COMPUTED_VALUE"""),47.0)</f>
        <v>47</v>
      </c>
      <c r="B51" s="61" t="str">
        <f>IFERROR(__xludf.DUMMYFUNCTION("""COMPUTED_VALUE"""),"identifica los conceptos fundamentales de la teoría de sistemas y del pensamiento sistémico mediante la revisión de definiciones, clasificaciones y características básicas de los sistemas para reconocer los elementos esenciales en el análisis y modelación"&amp;" de sistemas ")</f>
        <v>identifica los conceptos fundamentales de la teoría de sistemas y del pensamiento sistémico mediante la revisión de definiciones, clasificaciones y características básicas de los sistemas para reconocer los elementos esenciales en el análisis y modelación de sistemas </v>
      </c>
      <c r="C51" s="71" t="str">
        <f>IFERROR(__xludf.DUMMYFUNCTION("""COMPUTED_VALUE"""),"Unidad 3: Desarrollando el pensamiento sistémico complejo")</f>
        <v>Unidad 3: Desarrollando el pensamiento sistémico complejo</v>
      </c>
      <c r="D51" s="61" t="str">
        <f>IFERROR(__xludf.DUMMYFUNCTION("""COMPUTED_VALUE"""),"Niveles de perspectiva")</f>
        <v>Niveles de perspectiva</v>
      </c>
      <c r="E51" s="61" t="str">
        <f>IFERROR(__xludf.DUMMYFUNCTION("""COMPUTED_VALUE"""),"Cambio de perspectiva en análisis sistémico")</f>
        <v>Cambio de perspectiva en análisis sistémico</v>
      </c>
      <c r="F51" s="71" t="str">
        <f>IFERROR(__xludf.DUMMYFUNCTION("""COMPUTED_VALUE"""),"Agosto")</f>
        <v>Agosto</v>
      </c>
      <c r="G51" s="71">
        <f>IFERROR(__xludf.DUMMYFUNCTION("""COMPUTED_VALUE"""),6.0)</f>
        <v>6</v>
      </c>
    </row>
    <row r="52">
      <c r="A52" s="71">
        <f>IFERROR(__xludf.DUMMYFUNCTION("""COMPUTED_VALUE"""),48.0)</f>
        <v>48</v>
      </c>
      <c r="B52" s="61" t="str">
        <f>IFERROR(__xludf.DUMMYFUNCTION("""COMPUTED_VALUE"""),"identifica los conceptos fundamentales de la teoría de sistemas y del pensamiento sistémico mediante la revisión de definiciones, clasificaciones y características básicas de los sistemas para reconocer los elementos esenciales en el análisis y modelación"&amp;" de sistemas ")</f>
        <v>identifica los conceptos fundamentales de la teoría de sistemas y del pensamiento sistémico mediante la revisión de definiciones, clasificaciones y características básicas de los sistemas para reconocer los elementos esenciales en el análisis y modelación de sistemas </v>
      </c>
      <c r="C52" s="71" t="str">
        <f>IFERROR(__xludf.DUMMYFUNCTION("""COMPUTED_VALUE"""),"Unidad 3: Desarrollando el pensamiento sistémico complejo")</f>
        <v>Unidad 3: Desarrollando el pensamiento sistémico complejo</v>
      </c>
      <c r="D52" s="61" t="str">
        <f>IFERROR(__xludf.DUMMYFUNCTION("""COMPUTED_VALUE"""),"Niveles de perspectiva")</f>
        <v>Niveles de perspectiva</v>
      </c>
      <c r="E52" s="61" t="str">
        <f>IFERROR(__xludf.DUMMYFUNCTION("""COMPUTED_VALUE"""),"Impacto del cambio de nivel de percepción")</f>
        <v>Impacto del cambio de nivel de percepción</v>
      </c>
      <c r="F52" s="71" t="str">
        <f>IFERROR(__xludf.DUMMYFUNCTION("""COMPUTED_VALUE"""),"Agosto")</f>
        <v>Agosto</v>
      </c>
      <c r="G52" s="71">
        <f>IFERROR(__xludf.DUMMYFUNCTION("""COMPUTED_VALUE"""),6.0)</f>
        <v>6</v>
      </c>
    </row>
    <row r="53">
      <c r="A53" s="71">
        <f>IFERROR(__xludf.DUMMYFUNCTION("""COMPUTED_VALUE"""),49.0)</f>
        <v>49</v>
      </c>
      <c r="B53" s="61" t="str">
        <f>IFERROR(__xludf.DUMMYFUNCTION("""COMPUTED_VALUE"""),"identifica los conceptos fundamentales de la teoría de sistemas y del pensamiento sistémico mediante la revisión de definiciones, clasificaciones y características básicas de los sistemas para reconocer los elementos esenciales en el análisis y modelación"&amp;" de sistemas ")</f>
        <v>identifica los conceptos fundamentales de la teoría de sistemas y del pensamiento sistémico mediante la revisión de definiciones, clasificaciones y características básicas de los sistemas para reconocer los elementos esenciales en el análisis y modelación de sistemas </v>
      </c>
      <c r="C53" s="71" t="str">
        <f>IFERROR(__xludf.DUMMYFUNCTION("""COMPUTED_VALUE"""),"Unidad 3: Desarrollando el pensamiento sistémico complejo")</f>
        <v>Unidad 3: Desarrollando el pensamiento sistémico complejo</v>
      </c>
      <c r="D53" s="61" t="str">
        <f>IFERROR(__xludf.DUMMYFUNCTION("""COMPUTED_VALUE"""),"Niveles de perspectiva")</f>
        <v>Niveles de perspectiva</v>
      </c>
      <c r="E53" s="61" t="str">
        <f>IFERROR(__xludf.DUMMYFUNCTION("""COMPUTED_VALUE"""),"Ejemplos de interacción entre niveles de perspectiva")</f>
        <v>Ejemplos de interacción entre niveles de perspectiva</v>
      </c>
      <c r="F53" s="71" t="str">
        <f>IFERROR(__xludf.DUMMYFUNCTION("""COMPUTED_VALUE"""),"Agosto")</f>
        <v>Agosto</v>
      </c>
      <c r="G53" s="71">
        <f>IFERROR(__xludf.DUMMYFUNCTION("""COMPUTED_VALUE"""),6.0)</f>
        <v>6</v>
      </c>
    </row>
    <row r="54">
      <c r="A54" s="71">
        <f>IFERROR(__xludf.DUMMYFUNCTION("""COMPUTED_VALUE"""),50.0)</f>
        <v>50</v>
      </c>
      <c r="B54" s="61" t="str">
        <f>IFERROR(__xludf.DUMMYFUNCTION("""COMPUTED_VALUE"""),"comprende los fundamentos conceptuales del pensamiento sistémico y la naturaleza de los sistemas de la realidad a través del estudio de teorías, modelos mentales y estructuras de retroalimentación para distinguir los sistemas naturales, físicos diseñados,"&amp;" abstractos diseñados y de actividad humana ")</f>
        <v>comprende los fundamentos conceptuales del pensamiento sistémico y la naturaleza de los sistemas de la realidad a través del estudio de teorías, modelos mentales y estructuras de retroalimentación para distinguir los sistemas naturales, físicos diseñados, abstractos diseñados y de actividad humana </v>
      </c>
      <c r="C54" s="71" t="str">
        <f>IFERROR(__xludf.DUMMYFUNCTION("""COMPUTED_VALUE"""),"Unidad 3: Desarrollando el pensamiento sistémico complejo")</f>
        <v>Unidad 3: Desarrollando el pensamiento sistémico complejo</v>
      </c>
      <c r="D54" s="61" t="str">
        <f>IFERROR(__xludf.DUMMYFUNCTION("""COMPUTED_VALUE"""),"Hábitos de un pensador sistémico")</f>
        <v>Hábitos de un pensador sistémico</v>
      </c>
      <c r="E54" s="61" t="str">
        <f>IFERROR(__xludf.DUMMYFUNCTION("""COMPUTED_VALUE"""),"Introducción a los hábitos de un pensador sistémico")</f>
        <v>Introducción a los hábitos de un pensador sistémico</v>
      </c>
      <c r="F54" s="71" t="str">
        <f>IFERROR(__xludf.DUMMYFUNCTION("""COMPUTED_VALUE"""),"Agosto")</f>
        <v>Agosto</v>
      </c>
      <c r="G54" s="71">
        <f>IFERROR(__xludf.DUMMYFUNCTION("""COMPUTED_VALUE"""),7.0)</f>
        <v>7</v>
      </c>
    </row>
    <row r="55">
      <c r="A55" s="71">
        <f>IFERROR(__xludf.DUMMYFUNCTION("""COMPUTED_VALUE"""),51.0)</f>
        <v>51</v>
      </c>
      <c r="B55" s="61" t="str">
        <f>IFERROR(__xludf.DUMMYFUNCTION("""COMPUTED_VALUE"""),"comprende los fundamentos conceptuales del pensamiento sistémico y la naturaleza de los sistemas de la realidad a través del estudio de teorías, modelos mentales y estructuras de retroalimentación para distinguir los sistemas naturales, físicos diseñados,"&amp;" abstractos diseñados y de actividad humana ")</f>
        <v>comprende los fundamentos conceptuales del pensamiento sistémico y la naturaleza de los sistemas de la realidad a través del estudio de teorías, modelos mentales y estructuras de retroalimentación para distinguir los sistemas naturales, físicos diseñados, abstractos diseñados y de actividad humana </v>
      </c>
      <c r="C55" s="71" t="str">
        <f>IFERROR(__xludf.DUMMYFUNCTION("""COMPUTED_VALUE"""),"Unidad 3: Desarrollando el pensamiento sistémico complejo")</f>
        <v>Unidad 3: Desarrollando el pensamiento sistémico complejo</v>
      </c>
      <c r="D55" s="61" t="str">
        <f>IFERROR(__xludf.DUMMYFUNCTION("""COMPUTED_VALUE"""),"Hábitos de un pensador sistémico")</f>
        <v>Hábitos de un pensador sistémico</v>
      </c>
      <c r="E55" s="61" t="str">
        <f>IFERROR(__xludf.DUMMYFUNCTION("""COMPUTED_VALUE"""),"Ejemplos de hábitos de pensamiento sistémico")</f>
        <v>Ejemplos de hábitos de pensamiento sistémico</v>
      </c>
      <c r="F55" s="71" t="str">
        <f>IFERROR(__xludf.DUMMYFUNCTION("""COMPUTED_VALUE"""),"Agosto")</f>
        <v>Agosto</v>
      </c>
      <c r="G55" s="71">
        <f>IFERROR(__xludf.DUMMYFUNCTION("""COMPUTED_VALUE"""),7.0)</f>
        <v>7</v>
      </c>
    </row>
    <row r="56">
      <c r="A56" s="71">
        <f>IFERROR(__xludf.DUMMYFUNCTION("""COMPUTED_VALUE"""),52.0)</f>
        <v>52</v>
      </c>
      <c r="B56" s="61" t="str">
        <f>IFERROR(__xludf.DUMMYFUNCTION("""COMPUTED_VALUE"""),"comprende los fundamentos conceptuales del pensamiento sistémico y la naturaleza de los sistemas de la realidad a través del estudio de teorías, modelos mentales y estructuras de retroalimentación para distinguir los sistemas naturales, físicos diseñados,"&amp;" abstractos diseñados y de actividad humana ")</f>
        <v>comprende los fundamentos conceptuales del pensamiento sistémico y la naturaleza de los sistemas de la realidad a través del estudio de teorías, modelos mentales y estructuras de retroalimentación para distinguir los sistemas naturales, físicos diseñados, abstractos diseñados y de actividad humana </v>
      </c>
      <c r="C56" s="71" t="str">
        <f>IFERROR(__xludf.DUMMYFUNCTION("""COMPUTED_VALUE"""),"Unidad 3: Desarrollando el pensamiento sistémico complejo")</f>
        <v>Unidad 3: Desarrollando el pensamiento sistémico complejo</v>
      </c>
      <c r="D56" s="61" t="str">
        <f>IFERROR(__xludf.DUMMYFUNCTION("""COMPUTED_VALUE"""),"Hábitos de un pensador sistémico")</f>
        <v>Hábitos de un pensador sistémico</v>
      </c>
      <c r="E56" s="61" t="str">
        <f>IFERROR(__xludf.DUMMYFUNCTION("""COMPUTED_VALUE"""),"Aplicación de hábitos en la vida diaria")</f>
        <v>Aplicación de hábitos en la vida diaria</v>
      </c>
      <c r="F56" s="71" t="str">
        <f>IFERROR(__xludf.DUMMYFUNCTION("""COMPUTED_VALUE"""),"Agosto")</f>
        <v>Agosto</v>
      </c>
      <c r="G56" s="71">
        <f>IFERROR(__xludf.DUMMYFUNCTION("""COMPUTED_VALUE"""),7.0)</f>
        <v>7</v>
      </c>
    </row>
    <row r="57">
      <c r="A57" s="71">
        <f>IFERROR(__xludf.DUMMYFUNCTION("""COMPUTED_VALUE"""),53.0)</f>
        <v>53</v>
      </c>
      <c r="B57" s="61" t="str">
        <f>IFERROR(__xludf.DUMMYFUNCTION("""COMPUTED_VALUE"""),"comprende los fundamentos conceptuales del pensamiento sistémico y la naturaleza de los sistemas de la realidad a través del estudio de teorías, modelos mentales y estructuras de retroalimentación para distinguir los sistemas naturales, físicos diseñados,"&amp;" abstractos diseñados y de actividad humana ")</f>
        <v>comprende los fundamentos conceptuales del pensamiento sistémico y la naturaleza de los sistemas de la realidad a través del estudio de teorías, modelos mentales y estructuras de retroalimentación para distinguir los sistemas naturales, físicos diseñados, abstractos diseñados y de actividad humana </v>
      </c>
      <c r="C57" s="71" t="str">
        <f>IFERROR(__xludf.DUMMYFUNCTION("""COMPUTED_VALUE"""),"Unidad 3: Desarrollando el pensamiento sistémico complejo")</f>
        <v>Unidad 3: Desarrollando el pensamiento sistémico complejo</v>
      </c>
      <c r="D57" s="61" t="str">
        <f>IFERROR(__xludf.DUMMYFUNCTION("""COMPUTED_VALUE"""),"Hábitos de un pensador sistémico")</f>
        <v>Hábitos de un pensador sistémico</v>
      </c>
      <c r="E57" s="61" t="str">
        <f>IFERROR(__xludf.DUMMYFUNCTION("""COMPUTED_VALUE"""),"Relación entre hábitos y toma de decisiones")</f>
        <v>Relación entre hábitos y toma de decisiones</v>
      </c>
      <c r="F57" s="71" t="str">
        <f>IFERROR(__xludf.DUMMYFUNCTION("""COMPUTED_VALUE"""),"Agosto")</f>
        <v>Agosto</v>
      </c>
      <c r="G57" s="71">
        <f>IFERROR(__xludf.DUMMYFUNCTION("""COMPUTED_VALUE"""),7.0)</f>
        <v>7</v>
      </c>
    </row>
    <row r="58">
      <c r="A58" s="71">
        <f>IFERROR(__xludf.DUMMYFUNCTION("""COMPUTED_VALUE"""),54.0)</f>
        <v>54</v>
      </c>
      <c r="B58" s="61" t="str">
        <f>IFERROR(__xludf.DUMMYFUNCTION("""COMPUTED_VALUE"""),"comprende los fundamentos conceptuales del pensamiento sistémico y la naturaleza de los sistemas de la realidad a través del estudio de teorías, modelos mentales y estructuras de retroalimentación para distinguir los sistemas naturales, físicos diseñados,"&amp;" abstractos diseñados y de actividad humana ")</f>
        <v>comprende los fundamentos conceptuales del pensamiento sistémico y la naturaleza de los sistemas de la realidad a través del estudio de teorías, modelos mentales y estructuras de retroalimentación para distinguir los sistemas naturales, físicos diseñados, abstractos diseñados y de actividad humana </v>
      </c>
      <c r="C58" s="71" t="str">
        <f>IFERROR(__xludf.DUMMYFUNCTION("""COMPUTED_VALUE"""),"Unidad 3: Desarrollando el pensamiento sistémico complejo")</f>
        <v>Unidad 3: Desarrollando el pensamiento sistémico complejo</v>
      </c>
      <c r="D58" s="61" t="str">
        <f>IFERROR(__xludf.DUMMYFUNCTION("""COMPUTED_VALUE"""),"Hábitos de un pensador sistémico")</f>
        <v>Hábitos de un pensador sistémico</v>
      </c>
      <c r="E58" s="61" t="str">
        <f>IFERROR(__xludf.DUMMYFUNCTION("""COMPUTED_VALUE"""),"Mejora de habilidades de pensamiento sistémico")</f>
        <v>Mejora de habilidades de pensamiento sistémico</v>
      </c>
      <c r="F58" s="71" t="str">
        <f>IFERROR(__xludf.DUMMYFUNCTION("""COMPUTED_VALUE"""),"Agosto")</f>
        <v>Agosto</v>
      </c>
      <c r="G58" s="71">
        <f>IFERROR(__xludf.DUMMYFUNCTION("""COMPUTED_VALUE"""),7.0)</f>
        <v>7</v>
      </c>
    </row>
    <row r="59">
      <c r="A59" s="71">
        <f>IFERROR(__xludf.DUMMYFUNCTION("""COMPUTED_VALUE"""),55.0)</f>
        <v>55</v>
      </c>
      <c r="B59" s="61" t="str">
        <f>IFERROR(__xludf.DUMMYFUNCTION("""COMPUTED_VALUE"""),"comprende los fundamentos conceptuales del pensamiento sistémico y la naturaleza de los sistemas de la realidad a través del estudio de teorías, modelos mentales y estructuras de retroalimentación para distinguir los sistemas naturales, físicos diseñados,"&amp;" abstractos diseñados y de actividad humana ")</f>
        <v>comprende los fundamentos conceptuales del pensamiento sistémico y la naturaleza de los sistemas de la realidad a través del estudio de teorías, modelos mentales y estructuras de retroalimentación para distinguir los sistemas naturales, físicos diseñados, abstractos diseñados y de actividad humana </v>
      </c>
      <c r="C59" s="71" t="str">
        <f>IFERROR(__xludf.DUMMYFUNCTION("""COMPUTED_VALUE"""),"Unidad 3: Desarrollando el pensamiento sistémico complejo")</f>
        <v>Unidad 3: Desarrollando el pensamiento sistémico complejo</v>
      </c>
      <c r="D59" s="61" t="str">
        <f>IFERROR(__xludf.DUMMYFUNCTION("""COMPUTED_VALUE"""),"Hábitos de un pensador sistémico")</f>
        <v>Hábitos de un pensador sistémico</v>
      </c>
      <c r="E59" s="61" t="str">
        <f>IFERROR(__xludf.DUMMYFUNCTION("""COMPUTED_VALUE"""),"Desarrollo de la perspectiva a largo plazo")</f>
        <v>Desarrollo de la perspectiva a largo plazo</v>
      </c>
      <c r="F59" s="71" t="str">
        <f>IFERROR(__xludf.DUMMYFUNCTION("""COMPUTED_VALUE"""),"Agosto")</f>
        <v>Agosto</v>
      </c>
      <c r="G59" s="71">
        <f>IFERROR(__xludf.DUMMYFUNCTION("""COMPUTED_VALUE"""),7.0)</f>
        <v>7</v>
      </c>
    </row>
    <row r="60">
      <c r="A60" s="71">
        <f>IFERROR(__xludf.DUMMYFUNCTION("""COMPUTED_VALUE"""),56.0)</f>
        <v>56</v>
      </c>
      <c r="B60" s="61" t="str">
        <f>IFERROR(__xludf.DUMMYFUNCTION("""COMPUTED_VALUE"""),"comprende los fundamentos conceptuales del pensamiento sistémico y la naturaleza de los sistemas de la realidad a través del estudio de teorías, modelos mentales y estructuras de retroalimentación para distinguir los sistemas naturales, físicos diseñados,"&amp;" abstractos diseñados y de actividad humana ")</f>
        <v>comprende los fundamentos conceptuales del pensamiento sistémico y la naturaleza de los sistemas de la realidad a través del estudio de teorías, modelos mentales y estructuras de retroalimentación para distinguir los sistemas naturales, físicos diseñados, abstractos diseñados y de actividad humana </v>
      </c>
      <c r="C60" s="71" t="str">
        <f>IFERROR(__xludf.DUMMYFUNCTION("""COMPUTED_VALUE"""),"Unidad 3: Desarrollando el pensamiento sistémico complejo")</f>
        <v>Unidad 3: Desarrollando el pensamiento sistémico complejo</v>
      </c>
      <c r="D60" s="61" t="str">
        <f>IFERROR(__xludf.DUMMYFUNCTION("""COMPUTED_VALUE"""),"Hábitos de un pensador sistémico")</f>
        <v>Hábitos de un pensador sistémico</v>
      </c>
      <c r="E60" s="61" t="str">
        <f>IFERROR(__xludf.DUMMYFUNCTION("""COMPUTED_VALUE"""),"Casos de estudio")</f>
        <v>Casos de estudio</v>
      </c>
      <c r="F60" s="71" t="str">
        <f>IFERROR(__xludf.DUMMYFUNCTION("""COMPUTED_VALUE"""),"Agosto")</f>
        <v>Agosto</v>
      </c>
      <c r="G60" s="71">
        <f>IFERROR(__xludf.DUMMYFUNCTION("""COMPUTED_VALUE"""),7.0)</f>
        <v>7</v>
      </c>
    </row>
    <row r="61">
      <c r="A61" s="71">
        <f>IFERROR(__xludf.DUMMYFUNCTION("""COMPUTED_VALUE"""),57.0)</f>
        <v>57</v>
      </c>
      <c r="B61" s="61" t="str">
        <f>IFERROR(__xludf.DUMMYFUNCTION("""COMPUTED_VALUE"""),"analiza las estructuras y dinámicas de sistemas simples y complejos mediante mapas DSRP, diagramas de ciclos causales y arquetipos sistémicos para identificar patrones de comportamiento y oportunidades de intervención sistémica ")</f>
        <v>analiza las estructuras y dinámicas de sistemas simples y complejos mediante mapas DSRP, diagramas de ciclos causales y arquetipos sistémicos para identificar patrones de comportamiento y oportunidades de intervención sistémica </v>
      </c>
      <c r="C61" s="71" t="str">
        <f>IFERROR(__xludf.DUMMYFUNCTION("""COMPUTED_VALUE"""),"Unidad 4: Modelación y simulación dinámica de sistemas")</f>
        <v>Unidad 4: Modelación y simulación dinámica de sistemas</v>
      </c>
      <c r="D61" s="61" t="str">
        <f>IFERROR(__xludf.DUMMYFUNCTION("""COMPUTED_VALUE"""),"Modelación de sistemas con mapas sistémicos")</f>
        <v>Modelación de sistemas con mapas sistémicos</v>
      </c>
      <c r="E61" s="61" t="str">
        <f>IFERROR(__xludf.DUMMYFUNCTION("""COMPUTED_VALUE"""),"Introducción a los mapas sistémicos")</f>
        <v>Introducción a los mapas sistémicos</v>
      </c>
      <c r="F61" s="71" t="str">
        <f>IFERROR(__xludf.DUMMYFUNCTION("""COMPUTED_VALUE"""),"Agosto")</f>
        <v>Agosto</v>
      </c>
      <c r="G61" s="71">
        <f>IFERROR(__xludf.DUMMYFUNCTION("""COMPUTED_VALUE"""),8.0)</f>
        <v>8</v>
      </c>
    </row>
    <row r="62">
      <c r="A62" s="71">
        <f>IFERROR(__xludf.DUMMYFUNCTION("""COMPUTED_VALUE"""),58.0)</f>
        <v>58</v>
      </c>
      <c r="B62" s="61" t="str">
        <f>IFERROR(__xludf.DUMMYFUNCTION("""COMPUTED_VALUE"""),"analiza las estructuras y dinámicas de sistemas simples y complejos mediante mapas DSRP, diagramas de ciclos causales y arquetipos sistémicos para identificar patrones de comportamiento y oportunidades de intervención sistémica ")</f>
        <v>analiza las estructuras y dinámicas de sistemas simples y complejos mediante mapas DSRP, diagramas de ciclos causales y arquetipos sistémicos para identificar patrones de comportamiento y oportunidades de intervención sistémica </v>
      </c>
      <c r="C62" s="71" t="str">
        <f>IFERROR(__xludf.DUMMYFUNCTION("""COMPUTED_VALUE"""),"Unidad 4: Modelación y simulación dinámica de sistemas")</f>
        <v>Unidad 4: Modelación y simulación dinámica de sistemas</v>
      </c>
      <c r="D62" s="61" t="str">
        <f>IFERROR(__xludf.DUMMYFUNCTION("""COMPUTED_VALUE"""),"Modelación de sistemas con mapas sistémicos")</f>
        <v>Modelación de sistemas con mapas sistémicos</v>
      </c>
      <c r="E62" s="61" t="str">
        <f>IFERROR(__xludf.DUMMYFUNCTION("""COMPUTED_VALUE"""),"Mapas DSRP")</f>
        <v>Mapas DSRP</v>
      </c>
      <c r="F62" s="71" t="str">
        <f>IFERROR(__xludf.DUMMYFUNCTION("""COMPUTED_VALUE"""),"Agosto")</f>
        <v>Agosto</v>
      </c>
      <c r="G62" s="71">
        <f>IFERROR(__xludf.DUMMYFUNCTION("""COMPUTED_VALUE"""),8.0)</f>
        <v>8</v>
      </c>
    </row>
    <row r="63">
      <c r="A63" s="71">
        <f>IFERROR(__xludf.DUMMYFUNCTION("""COMPUTED_VALUE"""),59.0)</f>
        <v>59</v>
      </c>
      <c r="B63" s="61" t="str">
        <f>IFERROR(__xludf.DUMMYFUNCTION("""COMPUTED_VALUE"""),"analiza las estructuras y dinámicas de sistemas simples y complejos mediante mapas DSRP, diagramas de ciclos causales y arquetipos sistémicos para identificar patrones de comportamiento y oportunidades de intervención sistémica ")</f>
        <v>analiza las estructuras y dinámicas de sistemas simples y complejos mediante mapas DSRP, diagramas de ciclos causales y arquetipos sistémicos para identificar patrones de comportamiento y oportunidades de intervención sistémica </v>
      </c>
      <c r="C63" s="71" t="str">
        <f>IFERROR(__xludf.DUMMYFUNCTION("""COMPUTED_VALUE"""),"Unidad 4: Modelación y simulación dinámica de sistemas")</f>
        <v>Unidad 4: Modelación y simulación dinámica de sistemas</v>
      </c>
      <c r="D63" s="61" t="str">
        <f>IFERROR(__xludf.DUMMYFUNCTION("""COMPUTED_VALUE"""),"Modelación de sistemas con mapas sistémicos")</f>
        <v>Modelación de sistemas con mapas sistémicos</v>
      </c>
      <c r="E63" s="61" t="str">
        <f>IFERROR(__xludf.DUMMYFUNCTION("""COMPUTED_VALUE"""),"Diagramas de causa y efecto")</f>
        <v>Diagramas de causa y efecto</v>
      </c>
      <c r="F63" s="71" t="str">
        <f>IFERROR(__xludf.DUMMYFUNCTION("""COMPUTED_VALUE"""),"Septiembre")</f>
        <v>Septiembre</v>
      </c>
      <c r="G63" s="71">
        <f>IFERROR(__xludf.DUMMYFUNCTION("""COMPUTED_VALUE"""),8.0)</f>
        <v>8</v>
      </c>
    </row>
    <row r="64">
      <c r="A64" s="71">
        <f>IFERROR(__xludf.DUMMYFUNCTION("""COMPUTED_VALUE"""),60.0)</f>
        <v>60</v>
      </c>
      <c r="B64" s="61" t="str">
        <f>IFERROR(__xludf.DUMMYFUNCTION("""COMPUTED_VALUE"""),"analiza las estructuras y dinámicas de sistemas simples y complejos mediante mapas DSRP, diagramas de ciclos causales y arquetipos sistémicos para identificar patrones de comportamiento y oportunidades de intervención sistémica ")</f>
        <v>analiza las estructuras y dinámicas de sistemas simples y complejos mediante mapas DSRP, diagramas de ciclos causales y arquetipos sistémicos para identificar patrones de comportamiento y oportunidades de intervención sistémica </v>
      </c>
      <c r="C64" s="71" t="str">
        <f>IFERROR(__xludf.DUMMYFUNCTION("""COMPUTED_VALUE"""),"Unidad 4: Modelación y simulación dinámica de sistemas")</f>
        <v>Unidad 4: Modelación y simulación dinámica de sistemas</v>
      </c>
      <c r="D64" s="61" t="str">
        <f>IFERROR(__xludf.DUMMYFUNCTION("""COMPUTED_VALUE"""),"Modelación de sistemas con mapas sistémicos")</f>
        <v>Modelación de sistemas con mapas sistémicos</v>
      </c>
      <c r="E64" s="61" t="str">
        <f>IFERROR(__xludf.DUMMYFUNCTION("""COMPUTED_VALUE"""),"Interdependencias sistémicas")</f>
        <v>Interdependencias sistémicas</v>
      </c>
      <c r="F64" s="71" t="str">
        <f>IFERROR(__xludf.DUMMYFUNCTION("""COMPUTED_VALUE"""),"Septiembre")</f>
        <v>Septiembre</v>
      </c>
      <c r="G64" s="71">
        <f>IFERROR(__xludf.DUMMYFUNCTION("""COMPUTED_VALUE"""),8.0)</f>
        <v>8</v>
      </c>
    </row>
    <row r="65">
      <c r="A65" s="71">
        <f>IFERROR(__xludf.DUMMYFUNCTION("""COMPUTED_VALUE"""),61.0)</f>
        <v>61</v>
      </c>
      <c r="B65" s="61" t="str">
        <f>IFERROR(__xludf.DUMMYFUNCTION("""COMPUTED_VALUE"""),"analiza las estructuras y dinámicas de sistemas simples y complejos mediante mapas DSRP, diagramas de ciclos causales y arquetipos sistémicos para identificar patrones de comportamiento y oportunidades de intervención sistémica ")</f>
        <v>analiza las estructuras y dinámicas de sistemas simples y complejos mediante mapas DSRP, diagramas de ciclos causales y arquetipos sistémicos para identificar patrones de comportamiento y oportunidades de intervención sistémica </v>
      </c>
      <c r="C65" s="71" t="str">
        <f>IFERROR(__xludf.DUMMYFUNCTION("""COMPUTED_VALUE"""),"Unidad 4: Modelación y simulación dinámica de sistemas")</f>
        <v>Unidad 4: Modelación y simulación dinámica de sistemas</v>
      </c>
      <c r="D65" s="61" t="str">
        <f>IFERROR(__xludf.DUMMYFUNCTION("""COMPUTED_VALUE"""),"Modelación de sistemas con mapas sistémicos")</f>
        <v>Modelación de sistemas con mapas sistémicos</v>
      </c>
      <c r="E65" s="61" t="str">
        <f>IFERROR(__xludf.DUMMYFUNCTION("""COMPUTED_VALUE"""),"Comportamientos circulares en sistemas")</f>
        <v>Comportamientos circulares en sistemas</v>
      </c>
      <c r="F65" s="71" t="str">
        <f>IFERROR(__xludf.DUMMYFUNCTION("""COMPUTED_VALUE"""),"Septiembre")</f>
        <v>Septiembre</v>
      </c>
      <c r="G65" s="71">
        <f>IFERROR(__xludf.DUMMYFUNCTION("""COMPUTED_VALUE"""),8.0)</f>
        <v>8</v>
      </c>
    </row>
    <row r="66">
      <c r="A66" s="71">
        <f>IFERROR(__xludf.DUMMYFUNCTION("""COMPUTED_VALUE"""),62.0)</f>
        <v>62</v>
      </c>
      <c r="B66" s="61" t="str">
        <f>IFERROR(__xludf.DUMMYFUNCTION("""COMPUTED_VALUE"""),"analiza las estructuras y dinámicas de sistemas simples y complejos mediante mapas DSRP, diagramas de ciclos causales y arquetipos sistémicos para identificar patrones de comportamiento y oportunidades de intervención sistémica ")</f>
        <v>analiza las estructuras y dinámicas de sistemas simples y complejos mediante mapas DSRP, diagramas de ciclos causales y arquetipos sistémicos para identificar patrones de comportamiento y oportunidades de intervención sistémica </v>
      </c>
      <c r="C66" s="71" t="str">
        <f>IFERROR(__xludf.DUMMYFUNCTION("""COMPUTED_VALUE"""),"Unidad 4: Modelación y simulación dinámica de sistemas")</f>
        <v>Unidad 4: Modelación y simulación dinámica de sistemas</v>
      </c>
      <c r="D66" s="61" t="str">
        <f>IFERROR(__xludf.DUMMYFUNCTION("""COMPUTED_VALUE"""),"Modelación de sistemas con mapas sistémicos")</f>
        <v>Modelación de sistemas con mapas sistémicos</v>
      </c>
      <c r="E66" s="61" t="str">
        <f>IFERROR(__xludf.DUMMYFUNCTION("""COMPUTED_VALUE"""),"Ejemplos de interdependencias sistémicas")</f>
        <v>Ejemplos de interdependencias sistémicas</v>
      </c>
      <c r="F66" s="71" t="str">
        <f>IFERROR(__xludf.DUMMYFUNCTION("""COMPUTED_VALUE"""),"Septiembre")</f>
        <v>Septiembre</v>
      </c>
      <c r="G66" s="71">
        <f>IFERROR(__xludf.DUMMYFUNCTION("""COMPUTED_VALUE"""),8.0)</f>
        <v>8</v>
      </c>
    </row>
    <row r="67">
      <c r="A67" s="71">
        <f>IFERROR(__xludf.DUMMYFUNCTION("""COMPUTED_VALUE"""),63.0)</f>
        <v>63</v>
      </c>
      <c r="B67" s="61" t="str">
        <f>IFERROR(__xludf.DUMMYFUNCTION("""COMPUTED_VALUE"""),"analiza las estructuras y dinámicas de sistemas simples y complejos mediante mapas DSRP, diagramas de ciclos causales y arquetipos sistémicos para identificar patrones de comportamiento y oportunidades de intervención sistémica ")</f>
        <v>analiza las estructuras y dinámicas de sistemas simples y complejos mediante mapas DSRP, diagramas de ciclos causales y arquetipos sistémicos para identificar patrones de comportamiento y oportunidades de intervención sistémica </v>
      </c>
      <c r="C67" s="71" t="str">
        <f>IFERROR(__xludf.DUMMYFUNCTION("""COMPUTED_VALUE"""),"Unidad 4: Modelación y simulación dinámica de sistemas")</f>
        <v>Unidad 4: Modelación y simulación dinámica de sistemas</v>
      </c>
      <c r="D67" s="61" t="str">
        <f>IFERROR(__xludf.DUMMYFUNCTION("""COMPUTED_VALUE"""),"Modelación de sistemas con mapas sistémicos")</f>
        <v>Modelación de sistemas con mapas sistémicos</v>
      </c>
      <c r="E67" s="61" t="str">
        <f>IFERROR(__xludf.DUMMYFUNCTION("""COMPUTED_VALUE"""),"Introducción a la retroalimentación")</f>
        <v>Introducción a la retroalimentación</v>
      </c>
      <c r="F67" s="71" t="str">
        <f>IFERROR(__xludf.DUMMYFUNCTION("""COMPUTED_VALUE"""),"Septiembre")</f>
        <v>Septiembre</v>
      </c>
      <c r="G67" s="71">
        <f>IFERROR(__xludf.DUMMYFUNCTION("""COMPUTED_VALUE"""),8.0)</f>
        <v>8</v>
      </c>
    </row>
    <row r="68">
      <c r="A68" s="71">
        <f>IFERROR(__xludf.DUMMYFUNCTION("""COMPUTED_VALUE"""),64.0)</f>
        <v>64</v>
      </c>
      <c r="B68" s="61" t="str">
        <f>IFERROR(__xludf.DUMMYFUNCTION("""COMPUTED_VALUE"""),"analiza las estructuras y dinámicas de sistemas simples y complejos mediante mapas DSRP, diagramas de ciclos causales y arquetipos sistémicos para identificar patrones de comportamiento y oportunidades de intervención sistémica ")</f>
        <v>analiza las estructuras y dinámicas de sistemas simples y complejos mediante mapas DSRP, diagramas de ciclos causales y arquetipos sistémicos para identificar patrones de comportamiento y oportunidades de intervención sistémica </v>
      </c>
      <c r="C68" s="71" t="str">
        <f>IFERROR(__xludf.DUMMYFUNCTION("""COMPUTED_VALUE"""),"Unidad 4: Modelación y simulación dinámica de sistemas")</f>
        <v>Unidad 4: Modelación y simulación dinámica de sistemas</v>
      </c>
      <c r="D68" s="61" t="str">
        <f>IFERROR(__xludf.DUMMYFUNCTION("""COMPUTED_VALUE"""),"Estructuras circulares de retroalimentación")</f>
        <v>Estructuras circulares de retroalimentación</v>
      </c>
      <c r="E68" s="61" t="str">
        <f>IFERROR(__xludf.DUMMYFUNCTION("""COMPUTED_VALUE"""),"Retroalimentación de compensación y refuerzo")</f>
        <v>Retroalimentación de compensación y refuerzo</v>
      </c>
      <c r="F68" s="71" t="str">
        <f>IFERROR(__xludf.DUMMYFUNCTION("""COMPUTED_VALUE"""),"Septiembre")</f>
        <v>Septiembre</v>
      </c>
      <c r="G68" s="71">
        <f>IFERROR(__xludf.DUMMYFUNCTION("""COMPUTED_VALUE"""),8.0)</f>
        <v>8</v>
      </c>
    </row>
    <row r="69">
      <c r="A69" s="71">
        <f>IFERROR(__xludf.DUMMYFUNCTION("""COMPUTED_VALUE"""),65.0)</f>
        <v>65</v>
      </c>
      <c r="B69" s="61" t="str">
        <f>IFERROR(__xludf.DUMMYFUNCTION("""COMPUTED_VALUE"""),"analiza las estructuras y dinámicas de sistemas simples y complejos mediante mapas DSRP, diagramas de ciclos causales y arquetipos sistémicos para identificar patrones de comportamiento y oportunidades de intervención sistémica ")</f>
        <v>analiza las estructuras y dinámicas de sistemas simples y complejos mediante mapas DSRP, diagramas de ciclos causales y arquetipos sistémicos para identificar patrones de comportamiento y oportunidades de intervención sistémica </v>
      </c>
      <c r="C69" s="71" t="str">
        <f>IFERROR(__xludf.DUMMYFUNCTION("""COMPUTED_VALUE"""),"Unidad 4: Modelación y simulación dinámica de sistemas")</f>
        <v>Unidad 4: Modelación y simulación dinámica de sistemas</v>
      </c>
      <c r="D69" s="61" t="str">
        <f>IFERROR(__xludf.DUMMYFUNCTION("""COMPUTED_VALUE"""),"Estructuras circulares de retroalimentación")</f>
        <v>Estructuras circulares de retroalimentación</v>
      </c>
      <c r="E69" s="61" t="str">
        <f>IFERROR(__xludf.DUMMYFUNCTION("""COMPUTED_VALUE"""),"Ejemplos de retroalimentación en sistemas")</f>
        <v>Ejemplos de retroalimentación en sistemas</v>
      </c>
      <c r="F69" s="71" t="str">
        <f>IFERROR(__xludf.DUMMYFUNCTION("""COMPUTED_VALUE"""),"Septiembre")</f>
        <v>Septiembre</v>
      </c>
      <c r="G69" s="71">
        <f>IFERROR(__xludf.DUMMYFUNCTION("""COMPUTED_VALUE"""),9.0)</f>
        <v>9</v>
      </c>
    </row>
    <row r="70">
      <c r="A70" s="71">
        <f>IFERROR(__xludf.DUMMYFUNCTION("""COMPUTED_VALUE"""),66.0)</f>
        <v>66</v>
      </c>
      <c r="B70" s="61" t="str">
        <f>IFERROR(__xludf.DUMMYFUNCTION("""COMPUTED_VALUE"""),"analiza las estructuras y dinámicas de sistemas simples y complejos mediante mapas DSRP, diagramas de ciclos causales y arquetipos sistémicos para identificar patrones de comportamiento y oportunidades de intervención sistémica ")</f>
        <v>analiza las estructuras y dinámicas de sistemas simples y complejos mediante mapas DSRP, diagramas de ciclos causales y arquetipos sistémicos para identificar patrones de comportamiento y oportunidades de intervención sistémica </v>
      </c>
      <c r="C70" s="71" t="str">
        <f>IFERROR(__xludf.DUMMYFUNCTION("""COMPUTED_VALUE"""),"Unidad 4: Modelación y simulación dinámica de sistemas")</f>
        <v>Unidad 4: Modelación y simulación dinámica de sistemas</v>
      </c>
      <c r="D70" s="61" t="str">
        <f>IFERROR(__xludf.DUMMYFUNCTION("""COMPUTED_VALUE"""),"Estructuras circulares de retroalimentación")</f>
        <v>Estructuras circulares de retroalimentación</v>
      </c>
      <c r="E70" s="61" t="str">
        <f>IFERROR(__xludf.DUMMYFUNCTION("""COMPUTED_VALUE"""),"Impacto de la retroalimentación en el comportamiento de sistemas")</f>
        <v>Impacto de la retroalimentación en el comportamiento de sistemas</v>
      </c>
      <c r="F70" s="71" t="str">
        <f>IFERROR(__xludf.DUMMYFUNCTION("""COMPUTED_VALUE"""),"Septiembre")</f>
        <v>Septiembre</v>
      </c>
      <c r="G70" s="71">
        <f>IFERROR(__xludf.DUMMYFUNCTION("""COMPUTED_VALUE"""),9.0)</f>
        <v>9</v>
      </c>
    </row>
    <row r="71">
      <c r="A71" s="71">
        <f>IFERROR(__xludf.DUMMYFUNCTION("""COMPUTED_VALUE"""),67.0)</f>
        <v>67</v>
      </c>
      <c r="B71" s="61" t="str">
        <f>IFERROR(__xludf.DUMMYFUNCTION("""COMPUTED_VALUE"""),"analiza las estructuras y dinámicas de sistemas simples y complejos mediante mapas DSRP, diagramas de ciclos causales y arquetipos sistémicos para identificar patrones de comportamiento y oportunidades de intervención sistémica ")</f>
        <v>analiza las estructuras y dinámicas de sistemas simples y complejos mediante mapas DSRP, diagramas de ciclos causales y arquetipos sistémicos para identificar patrones de comportamiento y oportunidades de intervención sistémica </v>
      </c>
      <c r="C71" s="71" t="str">
        <f>IFERROR(__xludf.DUMMYFUNCTION("""COMPUTED_VALUE"""),"Unidad 4: Modelación y simulación dinámica de sistemas")</f>
        <v>Unidad 4: Modelación y simulación dinámica de sistemas</v>
      </c>
      <c r="D71" s="61" t="str">
        <f>IFERROR(__xludf.DUMMYFUNCTION("""COMPUTED_VALUE"""),"Estructuras circulares de retroalimentación")</f>
        <v>Estructuras circulares de retroalimentación</v>
      </c>
      <c r="E71" s="61" t="str">
        <f>IFERROR(__xludf.DUMMYFUNCTION("""COMPUTED_VALUE"""),"Retroalimentación y toma de decisiones")</f>
        <v>Retroalimentación y toma de decisiones</v>
      </c>
      <c r="F71" s="71" t="str">
        <f>IFERROR(__xludf.DUMMYFUNCTION("""COMPUTED_VALUE"""),"Septiembre")</f>
        <v>Septiembre</v>
      </c>
      <c r="G71" s="71">
        <f>IFERROR(__xludf.DUMMYFUNCTION("""COMPUTED_VALUE"""),9.0)</f>
        <v>9</v>
      </c>
    </row>
    <row r="72">
      <c r="A72" s="71">
        <f>IFERROR(__xludf.DUMMYFUNCTION("""COMPUTED_VALUE"""),68.0)</f>
        <v>68</v>
      </c>
      <c r="B72" s="61" t="str">
        <f>IFERROR(__xludf.DUMMYFUNCTION("""COMPUTED_VALUE"""),"analiza las estructuras y dinámicas de sistemas simples y complejos mediante mapas DSRP, diagramas de ciclos causales y arquetipos sistémicos para identificar patrones de comportamiento y oportunidades de intervención sistémica ")</f>
        <v>analiza las estructuras y dinámicas de sistemas simples y complejos mediante mapas DSRP, diagramas de ciclos causales y arquetipos sistémicos para identificar patrones de comportamiento y oportunidades de intervención sistémica </v>
      </c>
      <c r="C72" s="71" t="str">
        <f>IFERROR(__xludf.DUMMYFUNCTION("""COMPUTED_VALUE"""),"Unidad 4: Modelación y simulación dinámica de sistemas")</f>
        <v>Unidad 4: Modelación y simulación dinámica de sistemas</v>
      </c>
      <c r="D72" s="61" t="str">
        <f>IFERROR(__xludf.DUMMYFUNCTION("""COMPUTED_VALUE"""),"Estructuras circulares de retroalimentación")</f>
        <v>Estructuras circulares de retroalimentación</v>
      </c>
      <c r="E72" s="61" t="str">
        <f>IFERROR(__xludf.DUMMYFUNCTION("""COMPUTED_VALUE"""),"Acumulaciones y tasas de cambio ")</f>
        <v>Acumulaciones y tasas de cambio </v>
      </c>
      <c r="F72" s="71" t="str">
        <f>IFERROR(__xludf.DUMMYFUNCTION("""COMPUTED_VALUE"""),"Septiembre")</f>
        <v>Septiembre</v>
      </c>
      <c r="G72" s="71">
        <f>IFERROR(__xludf.DUMMYFUNCTION("""COMPUTED_VALUE"""),9.0)</f>
        <v>9</v>
      </c>
    </row>
    <row r="73">
      <c r="A73" s="71">
        <f>IFERROR(__xludf.DUMMYFUNCTION("""COMPUTED_VALUE"""),69.0)</f>
        <v>69</v>
      </c>
      <c r="B73" s="61" t="str">
        <f>IFERROR(__xludf.DUMMYFUNCTION("""COMPUTED_VALUE"""),"analiza las estructuras y dinámicas de sistemas simples y complejos mediante mapas DSRP, diagramas de ciclos causales y arquetipos sistémicos para identificar patrones de comportamiento y oportunidades de intervención sistémica ")</f>
        <v>analiza las estructuras y dinámicas de sistemas simples y complejos mediante mapas DSRP, diagramas de ciclos causales y arquetipos sistémicos para identificar patrones de comportamiento y oportunidades de intervención sistémica </v>
      </c>
      <c r="C73" s="71" t="str">
        <f>IFERROR(__xludf.DUMMYFUNCTION("""COMPUTED_VALUE"""),"Unidad 4: Modelación y simulación dinámica de sistemas")</f>
        <v>Unidad 4: Modelación y simulación dinámica de sistemas</v>
      </c>
      <c r="D73" s="61" t="str">
        <f>IFERROR(__xludf.DUMMYFUNCTION("""COMPUTED_VALUE"""),"Estructuras circulares de retroalimentación")</f>
        <v>Estructuras circulares de retroalimentación</v>
      </c>
      <c r="E73" s="61" t="str">
        <f>IFERROR(__xludf.DUMMYFUNCTION("""COMPUTED_VALUE"""),"Diagramas de ciclos causales a flujos y niveles")</f>
        <v>Diagramas de ciclos causales a flujos y niveles</v>
      </c>
      <c r="F73" s="71" t="str">
        <f>IFERROR(__xludf.DUMMYFUNCTION("""COMPUTED_VALUE"""),"Septiembre")</f>
        <v>Septiembre</v>
      </c>
      <c r="G73" s="71">
        <f>IFERROR(__xludf.DUMMYFUNCTION("""COMPUTED_VALUE"""),9.0)</f>
        <v>9</v>
      </c>
    </row>
    <row r="74">
      <c r="A74" s="71">
        <f>IFERROR(__xludf.DUMMYFUNCTION("""COMPUTED_VALUE"""),70.0)</f>
        <v>70</v>
      </c>
      <c r="B74" s="61" t="str">
        <f>IFERROR(__xludf.DUMMYFUNCTION("""COMPUTED_VALUE"""),"analiza las estructuras y dinámicas de sistemas simples y complejos mediante mapas DSRP, diagramas de ciclos causales y arquetipos sistémicos para identificar patrones de comportamiento y oportunidades de intervención sistémica ")</f>
        <v>analiza las estructuras y dinámicas de sistemas simples y complejos mediante mapas DSRP, diagramas de ciclos causales y arquetipos sistémicos para identificar patrones de comportamiento y oportunidades de intervención sistémica </v>
      </c>
      <c r="C74" s="71" t="str">
        <f>IFERROR(__xludf.DUMMYFUNCTION("""COMPUTED_VALUE"""),"Unidad 4: Modelación y simulación dinámica de sistemas")</f>
        <v>Unidad 4: Modelación y simulación dinámica de sistemas</v>
      </c>
      <c r="D74" s="61" t="str">
        <f>IFERROR(__xludf.DUMMYFUNCTION("""COMPUTED_VALUE"""),"Estructuras circulares de retroalimentación")</f>
        <v>Estructuras circulares de retroalimentación</v>
      </c>
      <c r="E74" s="61" t="str">
        <f>IFERROR(__xludf.DUMMYFUNCTION("""COMPUTED_VALUE"""),"Ejemplos de ciclos causales")</f>
        <v>Ejemplos de ciclos causales</v>
      </c>
      <c r="F74" s="71" t="str">
        <f>IFERROR(__xludf.DUMMYFUNCTION("""COMPUTED_VALUE"""),"Septiembre")</f>
        <v>Septiembre</v>
      </c>
      <c r="G74" s="71">
        <f>IFERROR(__xludf.DUMMYFUNCTION("""COMPUTED_VALUE"""),9.0)</f>
        <v>9</v>
      </c>
    </row>
    <row r="75">
      <c r="A75" s="71">
        <f>IFERROR(__xludf.DUMMYFUNCTION("""COMPUTED_VALUE"""),71.0)</f>
        <v>71</v>
      </c>
      <c r="B75" s="61" t="str">
        <f>IFERROR(__xludf.DUMMYFUNCTION("""COMPUTED_VALUE"""),"analiza las estructuras y dinámicas de sistemas simples y complejos mediante mapas DSRP, diagramas de ciclos causales y arquetipos sistémicos para identificar patrones de comportamiento y oportunidades de intervención sistémica ")</f>
        <v>analiza las estructuras y dinámicas de sistemas simples y complejos mediante mapas DSRP, diagramas de ciclos causales y arquetipos sistémicos para identificar patrones de comportamiento y oportunidades de intervención sistémica </v>
      </c>
      <c r="C75" s="71" t="str">
        <f>IFERROR(__xludf.DUMMYFUNCTION("""COMPUTED_VALUE"""),"Unidad 4: Modelación y simulación dinámica de sistemas")</f>
        <v>Unidad 4: Modelación y simulación dinámica de sistemas</v>
      </c>
      <c r="D75" s="61" t="str">
        <f>IFERROR(__xludf.DUMMYFUNCTION("""COMPUTED_VALUE"""),"Simulación con VENSIM")</f>
        <v>Simulación con VENSIM</v>
      </c>
      <c r="E75" s="61" t="str">
        <f>IFERROR(__xludf.DUMMYFUNCTION("""COMPUTED_VALUE"""),"Introducción a VENSIM")</f>
        <v>Introducción a VENSIM</v>
      </c>
      <c r="F75" s="71" t="str">
        <f>IFERROR(__xludf.DUMMYFUNCTION("""COMPUTED_VALUE"""),"Septiembre")</f>
        <v>Septiembre</v>
      </c>
      <c r="G75" s="71">
        <f>IFERROR(__xludf.DUMMYFUNCTION("""COMPUTED_VALUE"""),9.0)</f>
        <v>9</v>
      </c>
    </row>
    <row r="76">
      <c r="A76" s="71">
        <f>IFERROR(__xludf.DUMMYFUNCTION("""COMPUTED_VALUE"""),72.0)</f>
        <v>72</v>
      </c>
      <c r="B76" s="61" t="str">
        <f>IFERROR(__xludf.DUMMYFUNCTION("""COMPUTED_VALUE"""),"aplica los conceptos fundamentales de la teoría general de sistemas y el pensamiento sistémico utilizando ejercicios de modelación, simulaciones dinámicas y estudio de hábitos del pensador sistémico en la construcción de soluciones a problemas de baja y m"&amp;"oderada complejidad ")</f>
        <v>aplica los conceptos fundamentales de la teoría general de sistemas y el pensamiento sistémico utilizando ejercicios de modelación, simulaciones dinámicas y estudio de hábitos del pensador sistémico en la construcción de soluciones a problemas de baja y moderada complejidad </v>
      </c>
      <c r="C76" s="71" t="str">
        <f>IFERROR(__xludf.DUMMYFUNCTION("""COMPUTED_VALUE"""),"Unidad 4: Modelación y simulación dinámica de sistemas")</f>
        <v>Unidad 4: Modelación y simulación dinámica de sistemas</v>
      </c>
      <c r="D76" s="61" t="str">
        <f>IFERROR(__xludf.DUMMYFUNCTION("""COMPUTED_VALUE"""),"Simulación con VENSIM")</f>
        <v>Simulación con VENSIM</v>
      </c>
      <c r="E76" s="61" t="str">
        <f>IFERROR(__xludf.DUMMYFUNCTION("""COMPUTED_VALUE"""),"Ejemplos de simulaciones en VENSIM")</f>
        <v>Ejemplos de simulaciones en VENSIM</v>
      </c>
      <c r="F76" s="71" t="str">
        <f>IFERROR(__xludf.DUMMYFUNCTION("""COMPUTED_VALUE"""),"Septiembre")</f>
        <v>Septiembre</v>
      </c>
      <c r="G76" s="71">
        <f>IFERROR(__xludf.DUMMYFUNCTION("""COMPUTED_VALUE"""),9.0)</f>
        <v>9</v>
      </c>
    </row>
    <row r="77">
      <c r="A77" s="71">
        <f>IFERROR(__xludf.DUMMYFUNCTION("""COMPUTED_VALUE"""),73.0)</f>
        <v>73</v>
      </c>
      <c r="B77" s="61" t="str">
        <f>IFERROR(__xludf.DUMMYFUNCTION("""COMPUTED_VALUE"""),"aplica los conceptos fundamentales de la teoría general de sistemas y el pensamiento sistémico utilizando ejercicios de modelación, simulaciones dinámicas y estudio de hábitos del pensador sistémico en la construcción de soluciones a problemas de baja y m"&amp;"oderada complejidad ")</f>
        <v>aplica los conceptos fundamentales de la teoría general de sistemas y el pensamiento sistémico utilizando ejercicios de modelación, simulaciones dinámicas y estudio de hábitos del pensador sistémico en la construcción de soluciones a problemas de baja y moderada complejidad </v>
      </c>
      <c r="C77" s="71" t="str">
        <f>IFERROR(__xludf.DUMMYFUNCTION("""COMPUTED_VALUE"""),"Unidad 4: Modelación y simulación dinámica de sistemas")</f>
        <v>Unidad 4: Modelación y simulación dinámica de sistemas</v>
      </c>
      <c r="D77" s="61" t="str">
        <f>IFERROR(__xludf.DUMMYFUNCTION("""COMPUTED_VALUE"""),"Simulación con VENSIM")</f>
        <v>Simulación con VENSIM</v>
      </c>
      <c r="E77" s="61" t="str">
        <f>IFERROR(__xludf.DUMMYFUNCTION("""COMPUTED_VALUE"""),"Análisis de resultados de simulaciones")</f>
        <v>Análisis de resultados de simulaciones</v>
      </c>
      <c r="F77" s="71" t="str">
        <f>IFERROR(__xludf.DUMMYFUNCTION("""COMPUTED_VALUE"""),"Septiembre")</f>
        <v>Septiembre</v>
      </c>
      <c r="G77" s="71">
        <f>IFERROR(__xludf.DUMMYFUNCTION("""COMPUTED_VALUE"""),10.0)</f>
        <v>10</v>
      </c>
    </row>
    <row r="78">
      <c r="A78" s="71">
        <f>IFERROR(__xludf.DUMMYFUNCTION("""COMPUTED_VALUE"""),74.0)</f>
        <v>74</v>
      </c>
      <c r="B78" s="61" t="str">
        <f>IFERROR(__xludf.DUMMYFUNCTION("""COMPUTED_VALUE"""),"aplica los conceptos fundamentales de la teoría general de sistemas y el pensamiento sistémico utilizando ejercicios de modelación, simulaciones dinámicas y estudio de hábitos del pensador sistémico en la construcción de soluciones a problemas de baja y m"&amp;"oderada complejidad ")</f>
        <v>aplica los conceptos fundamentales de la teoría general de sistemas y el pensamiento sistémico utilizando ejercicios de modelación, simulaciones dinámicas y estudio de hábitos del pensador sistémico en la construcción de soluciones a problemas de baja y moderada complejidad </v>
      </c>
      <c r="C78" s="71" t="str">
        <f>IFERROR(__xludf.DUMMYFUNCTION("""COMPUTED_VALUE"""),"Unidad 4: Modelación y simulación dinámica de sistemas")</f>
        <v>Unidad 4: Modelación y simulación dinámica de sistemas</v>
      </c>
      <c r="D78" s="61" t="str">
        <f>IFERROR(__xludf.DUMMYFUNCTION("""COMPUTED_VALUE"""),"Simulación con VENSIM")</f>
        <v>Simulación con VENSIM</v>
      </c>
      <c r="E78" s="61" t="str">
        <f>IFERROR(__xludf.DUMMYFUNCTION("""COMPUTED_VALUE"""),"Simulación de sistemas complejos")</f>
        <v>Simulación de sistemas complejos</v>
      </c>
      <c r="F78" s="71" t="str">
        <f>IFERROR(__xludf.DUMMYFUNCTION("""COMPUTED_VALUE"""),"Septiembre")</f>
        <v>Septiembre</v>
      </c>
      <c r="G78" s="71">
        <f>IFERROR(__xludf.DUMMYFUNCTION("""COMPUTED_VALUE"""),10.0)</f>
        <v>10</v>
      </c>
    </row>
    <row r="79">
      <c r="A79" s="71">
        <f>IFERROR(__xludf.DUMMYFUNCTION("""COMPUTED_VALUE"""),75.0)</f>
        <v>75</v>
      </c>
      <c r="B79" s="61" t="str">
        <f>IFERROR(__xludf.DUMMYFUNCTION("""COMPUTED_VALUE"""),"aplica los conceptos fundamentales de la teoría general de sistemas y el pensamiento sistémico utilizando ejercicios de modelación, simulaciones dinámicas y estudio de hábitos del pensador sistémico en la construcción de soluciones a problemas de baja y m"&amp;"oderada complejidad ")</f>
        <v>aplica los conceptos fundamentales de la teoría general de sistemas y el pensamiento sistémico utilizando ejercicios de modelación, simulaciones dinámicas y estudio de hábitos del pensador sistémico en la construcción de soluciones a problemas de baja y moderada complejidad </v>
      </c>
      <c r="C79" s="71" t="str">
        <f>IFERROR(__xludf.DUMMYFUNCTION("""COMPUTED_VALUE"""),"Unidad 4: Modelación y simulación dinámica de sistemas")</f>
        <v>Unidad 4: Modelación y simulación dinámica de sistemas</v>
      </c>
      <c r="D79" s="61" t="str">
        <f>IFERROR(__xludf.DUMMYFUNCTION("""COMPUTED_VALUE"""),"Simulación con VENSIM")</f>
        <v>Simulación con VENSIM</v>
      </c>
      <c r="E79" s="61" t="str">
        <f>IFERROR(__xludf.DUMMYFUNCTION("""COMPUTED_VALUE"""),"Impacto de los cambios en variables")</f>
        <v>Impacto de los cambios en variables</v>
      </c>
      <c r="F79" s="71" t="str">
        <f>IFERROR(__xludf.DUMMYFUNCTION("""COMPUTED_VALUE"""),"Septiembre")</f>
        <v>Septiembre</v>
      </c>
      <c r="G79" s="71">
        <f>IFERROR(__xludf.DUMMYFUNCTION("""COMPUTED_VALUE"""),10.0)</f>
        <v>10</v>
      </c>
    </row>
    <row r="80">
      <c r="A80" s="71">
        <f>IFERROR(__xludf.DUMMYFUNCTION("""COMPUTED_VALUE"""),76.0)</f>
        <v>76</v>
      </c>
      <c r="B80" s="61" t="str">
        <f>IFERROR(__xludf.DUMMYFUNCTION("""COMPUTED_VALUE"""),"aplica los conceptos fundamentales de la teoría general de sistemas y el pensamiento sistémico utilizando ejercicios de modelación, simulaciones dinámicas y estudio de hábitos del pensador sistémico en la construcción de soluciones a problemas de baja y m"&amp;"oderada complejidad ")</f>
        <v>aplica los conceptos fundamentales de la teoría general de sistemas y el pensamiento sistémico utilizando ejercicios de modelación, simulaciones dinámicas y estudio de hábitos del pensador sistémico en la construcción de soluciones a problemas de baja y moderada complejidad </v>
      </c>
      <c r="C80" s="71" t="str">
        <f>IFERROR(__xludf.DUMMYFUNCTION("""COMPUTED_VALUE"""),"Unidad 4: Modelación y simulación dinámica de sistemas")</f>
        <v>Unidad 4: Modelación y simulación dinámica de sistemas</v>
      </c>
      <c r="D80" s="61" t="str">
        <f>IFERROR(__xludf.DUMMYFUNCTION("""COMPUTED_VALUE"""),"Simulación con VENSIM")</f>
        <v>Simulación con VENSIM</v>
      </c>
      <c r="E80" s="61" t="str">
        <f>IFERROR(__xludf.DUMMYFUNCTION("""COMPUTED_VALUE"""),"Integración de VENSIM en la toma de decisiones")</f>
        <v>Integración de VENSIM en la toma de decisiones</v>
      </c>
      <c r="F80" s="71" t="str">
        <f>IFERROR(__xludf.DUMMYFUNCTION("""COMPUTED_VALUE"""),"Septiembre")</f>
        <v>Septiembre</v>
      </c>
      <c r="G80" s="71">
        <f>IFERROR(__xludf.DUMMYFUNCTION("""COMPUTED_VALUE"""),10.0)</f>
        <v>10</v>
      </c>
    </row>
    <row r="81">
      <c r="A81" s="71">
        <f>IFERROR(__xludf.DUMMYFUNCTION("""COMPUTED_VALUE"""),77.0)</f>
        <v>77</v>
      </c>
      <c r="B81" s="61" t="str">
        <f>IFERROR(__xludf.DUMMYFUNCTION("""COMPUTED_VALUE"""),"aplica los conceptos fundamentales de la teoría general de sistemas y el pensamiento sistémico utilizando ejercicios de modelación, simulaciones dinámicas y estudio de hábitos del pensador sistémico en la construcción de soluciones a problemas de baja y m"&amp;"oderada complejidad ")</f>
        <v>aplica los conceptos fundamentales de la teoría general de sistemas y el pensamiento sistémico utilizando ejercicios de modelación, simulaciones dinámicas y estudio de hábitos del pensador sistémico en la construcción de soluciones a problemas de baja y moderada complejidad </v>
      </c>
      <c r="C81" s="71" t="str">
        <f>IFERROR(__xludf.DUMMYFUNCTION("""COMPUTED_VALUE"""),"Unidad 4: Modelación y simulación dinámica de sistemas")</f>
        <v>Unidad 4: Modelación y simulación dinámica de sistemas</v>
      </c>
      <c r="D81" s="61" t="str">
        <f>IFERROR(__xludf.DUMMYFUNCTION("""COMPUTED_VALUE"""),"Simulación con VENSIM")</f>
        <v>Simulación con VENSIM</v>
      </c>
      <c r="E81" s="61" t="str">
        <f>IFERROR(__xludf.DUMMYFUNCTION("""COMPUTED_VALUE"""),"Ejemplos prácticos con simulaciones")</f>
        <v>Ejemplos prácticos con simulaciones</v>
      </c>
      <c r="F81" s="71" t="str">
        <f>IFERROR(__xludf.DUMMYFUNCTION("""COMPUTED_VALUE"""),"Septiembre")</f>
        <v>Septiembre</v>
      </c>
      <c r="G81" s="71">
        <f>IFERROR(__xludf.DUMMYFUNCTION("""COMPUTED_VALUE"""),10.0)</f>
        <v>10</v>
      </c>
    </row>
    <row r="82">
      <c r="A82" s="71">
        <f>IFERROR(__xludf.DUMMYFUNCTION("""COMPUTED_VALUE"""),78.0)</f>
        <v>78</v>
      </c>
      <c r="B82" s="61" t="str">
        <f>IFERROR(__xludf.DUMMYFUNCTION("""COMPUTED_VALUE"""),"analiza las estructuras y dinámicas de sistemas simples y complejos mediante mapas DSRP, diagramas de ciclos causales y arquetipos sistémicos para identificar patrones de comportamiento y oportunidades de intervención sistémica ")</f>
        <v>analiza las estructuras y dinámicas de sistemas simples y complejos mediante mapas DSRP, diagramas de ciclos causales y arquetipos sistémicos para identificar patrones de comportamiento y oportunidades de intervención sistémica </v>
      </c>
      <c r="C82" s="71" t="str">
        <f>IFERROR(__xludf.DUMMYFUNCTION("""COMPUTED_VALUE"""),"Unidad 5: Toma de decisiones sistémicas")</f>
        <v>Unidad 5: Toma de decisiones sistémicas</v>
      </c>
      <c r="D82" s="61" t="str">
        <f>IFERROR(__xludf.DUMMYFUNCTION("""COMPUTED_VALUE"""),"Patrones y tendencias en sistemas")</f>
        <v>Patrones y tendencias en sistemas</v>
      </c>
      <c r="E82" s="61" t="str">
        <f>IFERROR(__xludf.DUMMYFUNCTION("""COMPUTED_VALUE"""),"Identificación de patrones sistémicos")</f>
        <v>Identificación de patrones sistémicos</v>
      </c>
      <c r="F82" s="71" t="str">
        <f>IFERROR(__xludf.DUMMYFUNCTION("""COMPUTED_VALUE"""),"Septiembre")</f>
        <v>Septiembre</v>
      </c>
      <c r="G82" s="71">
        <f>IFERROR(__xludf.DUMMYFUNCTION("""COMPUTED_VALUE"""),10.0)</f>
        <v>10</v>
      </c>
    </row>
    <row r="83">
      <c r="A83" s="71">
        <f>IFERROR(__xludf.DUMMYFUNCTION("""COMPUTED_VALUE"""),79.0)</f>
        <v>79</v>
      </c>
      <c r="B83" s="61" t="str">
        <f>IFERROR(__xludf.DUMMYFUNCTION("""COMPUTED_VALUE"""),"analiza las estructuras y dinámicas de sistemas simples y complejos mediante mapas DSRP, diagramas de ciclos causales y arquetipos sistémicos para identificar patrones de comportamiento y oportunidades de intervención sistémica ")</f>
        <v>analiza las estructuras y dinámicas de sistemas simples y complejos mediante mapas DSRP, diagramas de ciclos causales y arquetipos sistémicos para identificar patrones de comportamiento y oportunidades de intervención sistémica </v>
      </c>
      <c r="C83" s="71" t="str">
        <f>IFERROR(__xludf.DUMMYFUNCTION("""COMPUTED_VALUE"""),"Unidad 5: Toma de decisiones sistémicas")</f>
        <v>Unidad 5: Toma de decisiones sistémicas</v>
      </c>
      <c r="D83" s="61" t="str">
        <f>IFERROR(__xludf.DUMMYFUNCTION("""COMPUTED_VALUE"""),"Patrones y tendencias en sistemas")</f>
        <v>Patrones y tendencias en sistemas</v>
      </c>
      <c r="E83" s="61" t="str">
        <f>IFERROR(__xludf.DUMMYFUNCTION("""COMPUTED_VALUE"""),"Ejemplos de patrones y tendencias en sistemas")</f>
        <v>Ejemplos de patrones y tendencias en sistemas</v>
      </c>
      <c r="F83" s="71" t="str">
        <f>IFERROR(__xludf.DUMMYFUNCTION("""COMPUTED_VALUE"""),"Septiembre")</f>
        <v>Septiembre</v>
      </c>
      <c r="G83" s="71">
        <f>IFERROR(__xludf.DUMMYFUNCTION("""COMPUTED_VALUE"""),10.0)</f>
        <v>10</v>
      </c>
    </row>
    <row r="84">
      <c r="A84" s="71">
        <f>IFERROR(__xludf.DUMMYFUNCTION("""COMPUTED_VALUE"""),80.0)</f>
        <v>80</v>
      </c>
      <c r="B84" s="61" t="str">
        <f>IFERROR(__xludf.DUMMYFUNCTION("""COMPUTED_VALUE"""),"analiza las estructuras y dinámicas de sistemas simples y complejos mediante mapas DSRP, diagramas de ciclos causales y arquetipos sistémicos para identificar patrones de comportamiento y oportunidades de intervención sistémica ")</f>
        <v>analiza las estructuras y dinámicas de sistemas simples y complejos mediante mapas DSRP, diagramas de ciclos causales y arquetipos sistémicos para identificar patrones de comportamiento y oportunidades de intervención sistémica </v>
      </c>
      <c r="C84" s="71" t="str">
        <f>IFERROR(__xludf.DUMMYFUNCTION("""COMPUTED_VALUE"""),"Unidad 5: Toma de decisiones sistémicas")</f>
        <v>Unidad 5: Toma de decisiones sistémicas</v>
      </c>
      <c r="D84" s="61" t="str">
        <f>IFERROR(__xludf.DUMMYFUNCTION("""COMPUTED_VALUE"""),"Patrones y tendencias en sistemas")</f>
        <v>Patrones y tendencias en sistemas</v>
      </c>
      <c r="E84" s="61" t="str">
        <f>IFERROR(__xludf.DUMMYFUNCTION("""COMPUTED_VALUE"""),"Predicción de comportamientos en sistemas")</f>
        <v>Predicción de comportamientos en sistemas</v>
      </c>
      <c r="F84" s="71" t="str">
        <f>IFERROR(__xludf.DUMMYFUNCTION("""COMPUTED_VALUE"""),"Septiembre")</f>
        <v>Septiembre</v>
      </c>
      <c r="G84" s="71">
        <f>IFERROR(__xludf.DUMMYFUNCTION("""COMPUTED_VALUE"""),10.0)</f>
        <v>10</v>
      </c>
    </row>
    <row r="85">
      <c r="A85" s="71">
        <f>IFERROR(__xludf.DUMMYFUNCTION("""COMPUTED_VALUE"""),81.0)</f>
        <v>81</v>
      </c>
      <c r="B85" s="61" t="str">
        <f>IFERROR(__xludf.DUMMYFUNCTION("""COMPUTED_VALUE"""),"analiza las estructuras y dinámicas de sistemas simples y complejos mediante mapas DSRP, diagramas de ciclos causales y arquetipos sistémicos para identificar patrones de comportamiento y oportunidades de intervención sistémica ")</f>
        <v>analiza las estructuras y dinámicas de sistemas simples y complejos mediante mapas DSRP, diagramas de ciclos causales y arquetipos sistémicos para identificar patrones de comportamiento y oportunidades de intervención sistémica </v>
      </c>
      <c r="C85" s="71" t="str">
        <f>IFERROR(__xludf.DUMMYFUNCTION("""COMPUTED_VALUE"""),"Unidad 5: Toma de decisiones sistémicas")</f>
        <v>Unidad 5: Toma de decisiones sistémicas</v>
      </c>
      <c r="D85" s="61" t="str">
        <f>IFERROR(__xludf.DUMMYFUNCTION("""COMPUTED_VALUE"""),"Patrones y tendencias en sistemas")</f>
        <v>Patrones y tendencias en sistemas</v>
      </c>
      <c r="E85" s="61" t="str">
        <f>IFERROR(__xludf.DUMMYFUNCTION("""COMPUTED_VALUE"""),"Impacto de patrones en toma de decisiones")</f>
        <v>Impacto de patrones en toma de decisiones</v>
      </c>
      <c r="F85" s="71" t="str">
        <f>IFERROR(__xludf.DUMMYFUNCTION("""COMPUTED_VALUE"""),"Septiembre")</f>
        <v>Septiembre</v>
      </c>
      <c r="G85" s="71">
        <f>IFERROR(__xludf.DUMMYFUNCTION("""COMPUTED_VALUE"""),11.0)</f>
        <v>11</v>
      </c>
    </row>
    <row r="86">
      <c r="A86" s="71">
        <f>IFERROR(__xludf.DUMMYFUNCTION("""COMPUTED_VALUE"""),82.0)</f>
        <v>82</v>
      </c>
      <c r="B86" s="61" t="str">
        <f>IFERROR(__xludf.DUMMYFUNCTION("""COMPUTED_VALUE"""),"analiza las estructuras y dinámicas de sistemas simples y complejos mediante mapas DSRP, diagramas de ciclos causales y arquetipos sistémicos para identificar patrones de comportamiento y oportunidades de intervención sistémica ")</f>
        <v>analiza las estructuras y dinámicas de sistemas simples y complejos mediante mapas DSRP, diagramas de ciclos causales y arquetipos sistémicos para identificar patrones de comportamiento y oportunidades de intervención sistémica </v>
      </c>
      <c r="C86" s="71" t="str">
        <f>IFERROR(__xludf.DUMMYFUNCTION("""COMPUTED_VALUE"""),"Unidad 5: Toma de decisiones sistémicas")</f>
        <v>Unidad 5: Toma de decisiones sistémicas</v>
      </c>
      <c r="D86" s="61" t="str">
        <f>IFERROR(__xludf.DUMMYFUNCTION("""COMPUTED_VALUE"""),"Patrones y tendencias en sistemas")</f>
        <v>Patrones y tendencias en sistemas</v>
      </c>
      <c r="E86" s="61" t="str">
        <f>IFERROR(__xludf.DUMMYFUNCTION("""COMPUTED_VALUE"""),"Ejemplos de arquetipos sistémicos comunes")</f>
        <v>Ejemplos de arquetipos sistémicos comunes</v>
      </c>
      <c r="F86" s="71" t="str">
        <f>IFERROR(__xludf.DUMMYFUNCTION("""COMPUTED_VALUE"""),"Septiembre")</f>
        <v>Septiembre</v>
      </c>
      <c r="G86" s="71">
        <f>IFERROR(__xludf.DUMMYFUNCTION("""COMPUTED_VALUE"""),11.0)</f>
        <v>11</v>
      </c>
    </row>
    <row r="87">
      <c r="A87" s="71">
        <f>IFERROR(__xludf.DUMMYFUNCTION("""COMPUTED_VALUE"""),83.0)</f>
        <v>83</v>
      </c>
      <c r="B87" s="61" t="str">
        <f>IFERROR(__xludf.DUMMYFUNCTION("""COMPUTED_VALUE"""),"analiza las estructuras y dinámicas de sistemas simples y complejos mediante mapas DSRP, diagramas de ciclos causales y arquetipos sistémicos para identificar patrones de comportamiento y oportunidades de intervención sistémica ")</f>
        <v>analiza las estructuras y dinámicas de sistemas simples y complejos mediante mapas DSRP, diagramas de ciclos causales y arquetipos sistémicos para identificar patrones de comportamiento y oportunidades de intervención sistémica </v>
      </c>
      <c r="C87" s="71" t="str">
        <f>IFERROR(__xludf.DUMMYFUNCTION("""COMPUTED_VALUE"""),"Unidad 5: Toma de decisiones sistémicas")</f>
        <v>Unidad 5: Toma de decisiones sistémicas</v>
      </c>
      <c r="D87" s="61" t="str">
        <f>IFERROR(__xludf.DUMMYFUNCTION("""COMPUTED_VALUE"""),"Patrones y tendencias en sistemas")</f>
        <v>Patrones y tendencias en sistemas</v>
      </c>
      <c r="E87" s="61" t="str">
        <f>IFERROR(__xludf.DUMMYFUNCTION("""COMPUTED_VALUE"""),"Arquetipos y resolución de problemas sistémicos")</f>
        <v>Arquetipos y resolución de problemas sistémicos</v>
      </c>
      <c r="F87" s="71" t="str">
        <f>IFERROR(__xludf.DUMMYFUNCTION("""COMPUTED_VALUE"""),"Octubre")</f>
        <v>Octubre</v>
      </c>
      <c r="G87" s="71">
        <f>IFERROR(__xludf.DUMMYFUNCTION("""COMPUTED_VALUE"""),11.0)</f>
        <v>11</v>
      </c>
    </row>
    <row r="88">
      <c r="A88" s="71">
        <f>IFERROR(__xludf.DUMMYFUNCTION("""COMPUTED_VALUE"""),84.0)</f>
        <v>84</v>
      </c>
      <c r="B88" s="61" t="str">
        <f>IFERROR(__xludf.DUMMYFUNCTION("""COMPUTED_VALUE"""),"aplica los conceptos fundamentales de la teoría general de sistemas y el pensamiento sistémico utilizando ejercicios de modelación, simulaciones dinámicas y estudio de hábitos del pensador sistémico en la construcción de soluciones a problemas de baja y m"&amp;"oderada complejidad ")</f>
        <v>aplica los conceptos fundamentales de la teoría general de sistemas y el pensamiento sistémico utilizando ejercicios de modelación, simulaciones dinámicas y estudio de hábitos del pensador sistémico en la construcción de soluciones a problemas de baja y moderada complejidad </v>
      </c>
      <c r="C88" s="71" t="str">
        <f>IFERROR(__xludf.DUMMYFUNCTION("""COMPUTED_VALUE"""),"Unidad 5: Toma de decisiones sistémicas")</f>
        <v>Unidad 5: Toma de decisiones sistémicas</v>
      </c>
      <c r="D88" s="61" t="str">
        <f>IFERROR(__xludf.DUMMYFUNCTION("""COMPUTED_VALUE"""),"Toma de decisiones sistémicas")</f>
        <v>Toma de decisiones sistémicas</v>
      </c>
      <c r="E88" s="61" t="str">
        <f>IFERROR(__xludf.DUMMYFUNCTION("""COMPUTED_VALUE"""),"Uso de VENSIM para la toma de decisiones")</f>
        <v>Uso de VENSIM para la toma de decisiones</v>
      </c>
      <c r="F88" s="71" t="str">
        <f>IFERROR(__xludf.DUMMYFUNCTION("""COMPUTED_VALUE"""),"Octubre")</f>
        <v>Octubre</v>
      </c>
      <c r="G88" s="71">
        <f>IFERROR(__xludf.DUMMYFUNCTION("""COMPUTED_VALUE"""),11.0)</f>
        <v>11</v>
      </c>
    </row>
    <row r="89">
      <c r="A89" s="71">
        <f>IFERROR(__xludf.DUMMYFUNCTION("""COMPUTED_VALUE"""),85.0)</f>
        <v>85</v>
      </c>
      <c r="B89" s="61" t="str">
        <f>IFERROR(__xludf.DUMMYFUNCTION("""COMPUTED_VALUE"""),"aplica los conceptos fundamentales de la teoría general de sistemas y el pensamiento sistémico utilizando ejercicios de modelación, simulaciones dinámicas y estudio de hábitos del pensador sistémico en la construcción de soluciones a problemas de baja y m"&amp;"oderada complejidad ")</f>
        <v>aplica los conceptos fundamentales de la teoría general de sistemas y el pensamiento sistémico utilizando ejercicios de modelación, simulaciones dinámicas y estudio de hábitos del pensador sistémico en la construcción de soluciones a problemas de baja y moderada complejidad </v>
      </c>
      <c r="C89" s="71" t="str">
        <f>IFERROR(__xludf.DUMMYFUNCTION("""COMPUTED_VALUE"""),"Unidad 5: Toma de decisiones sistémicas")</f>
        <v>Unidad 5: Toma de decisiones sistémicas</v>
      </c>
      <c r="D89" s="61" t="str">
        <f>IFERROR(__xludf.DUMMYFUNCTION("""COMPUTED_VALUE"""),"Toma de decisiones sistémicas")</f>
        <v>Toma de decisiones sistémicas</v>
      </c>
      <c r="E89" s="61" t="str">
        <f>IFERROR(__xludf.DUMMYFUNCTION("""COMPUTED_VALUE"""),"Desarrollo de estrategias de toma de decisiones")</f>
        <v>Desarrollo de estrategias de toma de decisiones</v>
      </c>
      <c r="F89" s="71" t="str">
        <f>IFERROR(__xludf.DUMMYFUNCTION("""COMPUTED_VALUE"""),"Octubre")</f>
        <v>Octubre</v>
      </c>
      <c r="G89" s="71">
        <f>IFERROR(__xludf.DUMMYFUNCTION("""COMPUTED_VALUE"""),11.0)</f>
        <v>11</v>
      </c>
    </row>
    <row r="90">
      <c r="A90" s="71">
        <f>IFERROR(__xludf.DUMMYFUNCTION("""COMPUTED_VALUE"""),86.0)</f>
        <v>86</v>
      </c>
      <c r="B90" s="61" t="str">
        <f>IFERROR(__xludf.DUMMYFUNCTION("""COMPUTED_VALUE"""),"aplica los conceptos fundamentales de la teoría general de sistemas y el pensamiento sistémico utilizando ejercicios de modelación, simulaciones dinámicas y estudio de hábitos del pensador sistémico en la construcción de soluciones a problemas de baja y m"&amp;"oderada complejidad ")</f>
        <v>aplica los conceptos fundamentales de la teoría general de sistemas y el pensamiento sistémico utilizando ejercicios de modelación, simulaciones dinámicas y estudio de hábitos del pensador sistémico en la construcción de soluciones a problemas de baja y moderada complejidad </v>
      </c>
      <c r="C90" s="71" t="str">
        <f>IFERROR(__xludf.DUMMYFUNCTION("""COMPUTED_VALUE"""),"Unidad 5: Toma de decisiones sistémicas")</f>
        <v>Unidad 5: Toma de decisiones sistémicas</v>
      </c>
      <c r="D90" s="61" t="str">
        <f>IFERROR(__xludf.DUMMYFUNCTION("""COMPUTED_VALUE"""),"Toma de decisiones sistémicas")</f>
        <v>Toma de decisiones sistémicas</v>
      </c>
      <c r="E90" s="61" t="str">
        <f>IFERROR(__xludf.DUMMYFUNCTION("""COMPUTED_VALUE"""),"Análisis de ejemplos reales")</f>
        <v>Análisis de ejemplos reales</v>
      </c>
      <c r="F90" s="71" t="str">
        <f>IFERROR(__xludf.DUMMYFUNCTION("""COMPUTED_VALUE"""),"Octubre")</f>
        <v>Octubre</v>
      </c>
      <c r="G90" s="71">
        <f>IFERROR(__xludf.DUMMYFUNCTION("""COMPUTED_VALUE"""),11.0)</f>
        <v>11</v>
      </c>
    </row>
    <row r="91">
      <c r="A91" s="71">
        <f>IFERROR(__xludf.DUMMYFUNCTION("""COMPUTED_VALUE"""),87.0)</f>
        <v>87</v>
      </c>
      <c r="B91" s="61" t="str">
        <f>IFERROR(__xludf.DUMMYFUNCTION("""COMPUTED_VALUE"""),"aplica los conceptos fundamentales de la teoría general de sistemas y el pensamiento sistémico utilizando ejercicios de modelación, simulaciones dinámicas y estudio de hábitos del pensador sistémico en la construcción de soluciones a problemas de baja y m"&amp;"oderada complejidad ")</f>
        <v>aplica los conceptos fundamentales de la teoría general de sistemas y el pensamiento sistémico utilizando ejercicios de modelación, simulaciones dinámicas y estudio de hábitos del pensador sistémico en la construcción de soluciones a problemas de baja y moderada complejidad </v>
      </c>
      <c r="C91" s="71" t="str">
        <f>IFERROR(__xludf.DUMMYFUNCTION("""COMPUTED_VALUE"""),"Unidad 5: Toma de decisiones sistémicas")</f>
        <v>Unidad 5: Toma de decisiones sistémicas</v>
      </c>
      <c r="D91" s="61" t="str">
        <f>IFERROR(__xludf.DUMMYFUNCTION("""COMPUTED_VALUE"""),"Toma de decisiones sistémicas")</f>
        <v>Toma de decisiones sistémicas</v>
      </c>
      <c r="E91" s="61" t="str">
        <f>IFERROR(__xludf.DUMMYFUNCTION("""COMPUTED_VALUE"""),"Hábitos para análisis de información sistémica")</f>
        <v>Hábitos para análisis de información sistémica</v>
      </c>
      <c r="F91" s="71" t="str">
        <f>IFERROR(__xludf.DUMMYFUNCTION("""COMPUTED_VALUE"""),"Octubre")</f>
        <v>Octubre</v>
      </c>
      <c r="G91" s="71">
        <f>IFERROR(__xludf.DUMMYFUNCTION("""COMPUTED_VALUE"""),11.0)</f>
        <v>11</v>
      </c>
    </row>
    <row r="92">
      <c r="A92" s="71">
        <f>IFERROR(__xludf.DUMMYFUNCTION("""COMPUTED_VALUE"""),88.0)</f>
        <v>88</v>
      </c>
      <c r="B92" s="61" t="str">
        <f>IFERROR(__xludf.DUMMYFUNCTION("""COMPUTED_VALUE"""),"aplica los conceptos fundamentales de la teoría general de sistemas y el pensamiento sistémico utilizando ejercicios de modelación, simulaciones dinámicas y estudio de hábitos del pensador sistémico en la construcción de soluciones a problemas de baja y m"&amp;"oderada complejidad ")</f>
        <v>aplica los conceptos fundamentales de la teoría general de sistemas y el pensamiento sistémico utilizando ejercicios de modelación, simulaciones dinámicas y estudio de hábitos del pensador sistémico en la construcción de soluciones a problemas de baja y moderada complejidad </v>
      </c>
      <c r="C92" s="71" t="str">
        <f>IFERROR(__xludf.DUMMYFUNCTION("""COMPUTED_VALUE"""),"Unidad 5: Toma de decisiones sistémicas")</f>
        <v>Unidad 5: Toma de decisiones sistémicas</v>
      </c>
      <c r="D92" s="61" t="str">
        <f>IFERROR(__xludf.DUMMYFUNCTION("""COMPUTED_VALUE"""),"Toma de decisiones sistémicas")</f>
        <v>Toma de decisiones sistémicas</v>
      </c>
      <c r="E92" s="61" t="str">
        <f>IFERROR(__xludf.DUMMYFUNCTION("""COMPUTED_VALUE"""),"Resolución de problemas con enfoque sistémico")</f>
        <v>Resolución de problemas con enfoque sistémico</v>
      </c>
      <c r="F92" s="71" t="str">
        <f>IFERROR(__xludf.DUMMYFUNCTION("""COMPUTED_VALUE"""),"Octubre")</f>
        <v>Octubre</v>
      </c>
      <c r="G92" s="71">
        <f>IFERROR(__xludf.DUMMYFUNCTION("""COMPUTED_VALUE"""),11.0)</f>
        <v>11</v>
      </c>
    </row>
    <row r="93">
      <c r="A93" s="71">
        <f>IFERROR(__xludf.DUMMYFUNCTION("""COMPUTED_VALUE"""),89.0)</f>
        <v>89</v>
      </c>
      <c r="B93" s="61" t="str">
        <f>IFERROR(__xludf.DUMMYFUNCTION("""COMPUTED_VALUE"""),"aplica los conceptos fundamentales de la teoría general de sistemas y el pensamiento sistémico utilizando ejercicios de modelación, simulaciones dinámicas y estudio de hábitos del pensador sistémico en la construcción de soluciones a problemas de baja y m"&amp;"oderada complejidad ")</f>
        <v>aplica los conceptos fundamentales de la teoría general de sistemas y el pensamiento sistémico utilizando ejercicios de modelación, simulaciones dinámicas y estudio de hábitos del pensador sistémico en la construcción de soluciones a problemas de baja y moderada complejidad </v>
      </c>
      <c r="C93" s="71" t="str">
        <f>IFERROR(__xludf.DUMMYFUNCTION("""COMPUTED_VALUE"""),"Unidad 5: Toma de decisiones sistémicas")</f>
        <v>Unidad 5: Toma de decisiones sistémicas</v>
      </c>
      <c r="D93" s="61" t="str">
        <f>IFERROR(__xludf.DUMMYFUNCTION("""COMPUTED_VALUE"""),"Toma de decisiones sistémicas")</f>
        <v>Toma de decisiones sistémicas</v>
      </c>
      <c r="E93" s="61" t="str">
        <f>IFERROR(__xludf.DUMMYFUNCTION("""COMPUTED_VALUE"""),"Impacto de la retroalimentación en decisiones")</f>
        <v>Impacto de la retroalimentación en decisiones</v>
      </c>
      <c r="F93" s="71" t="str">
        <f>IFERROR(__xludf.DUMMYFUNCTION("""COMPUTED_VALUE"""),"Octubre")</f>
        <v>Octubre</v>
      </c>
      <c r="G93" s="71">
        <f>IFERROR(__xludf.DUMMYFUNCTION("""COMPUTED_VALUE"""),11.0)</f>
        <v>11</v>
      </c>
    </row>
    <row r="94">
      <c r="A94" s="71"/>
      <c r="B94" s="61"/>
      <c r="C94" s="71"/>
      <c r="D94" s="61"/>
      <c r="E94" s="61"/>
      <c r="F94" s="71"/>
      <c r="G94" s="71"/>
    </row>
    <row r="95">
      <c r="A95" s="71"/>
      <c r="B95" s="61"/>
      <c r="C95" s="71"/>
      <c r="D95" s="61"/>
      <c r="E95" s="61"/>
      <c r="F95" s="71"/>
      <c r="G95" s="71"/>
    </row>
    <row r="96">
      <c r="A96" s="71"/>
      <c r="B96" s="61"/>
      <c r="C96" s="71"/>
      <c r="D96" s="61"/>
      <c r="E96" s="61"/>
      <c r="F96" s="71"/>
      <c r="G96" s="71"/>
    </row>
    <row r="97">
      <c r="A97" s="71"/>
      <c r="B97" s="61"/>
      <c r="C97" s="71"/>
      <c r="D97" s="61"/>
      <c r="E97" s="61"/>
      <c r="F97" s="71"/>
      <c r="G97" s="71"/>
    </row>
    <row r="98">
      <c r="A98" s="71"/>
      <c r="B98" s="61"/>
      <c r="C98" s="71"/>
      <c r="D98" s="61"/>
      <c r="E98" s="61"/>
      <c r="F98" s="71"/>
      <c r="G98" s="71"/>
    </row>
    <row r="99">
      <c r="A99" s="71"/>
      <c r="B99" s="61"/>
      <c r="C99" s="71"/>
      <c r="D99" s="61"/>
      <c r="E99" s="61"/>
      <c r="F99" s="71"/>
      <c r="G99" s="71"/>
    </row>
    <row r="100">
      <c r="A100" s="71"/>
      <c r="B100" s="61"/>
      <c r="C100" s="71"/>
      <c r="D100" s="61"/>
      <c r="E100" s="61"/>
      <c r="F100" s="71"/>
      <c r="G100" s="71"/>
    </row>
    <row r="101">
      <c r="A101" s="71"/>
      <c r="B101" s="61"/>
      <c r="C101" s="71"/>
      <c r="D101" s="61"/>
      <c r="E101" s="61"/>
      <c r="F101" s="71"/>
      <c r="G101" s="71"/>
    </row>
    <row r="102">
      <c r="A102" s="71"/>
      <c r="B102" s="61"/>
      <c r="C102" s="71"/>
      <c r="D102" s="61"/>
      <c r="E102" s="61"/>
      <c r="F102" s="71"/>
      <c r="G102" s="71"/>
    </row>
    <row r="103">
      <c r="A103" s="71"/>
      <c r="B103" s="61"/>
      <c r="C103" s="71"/>
      <c r="D103" s="61"/>
      <c r="E103" s="61"/>
      <c r="F103" s="71"/>
      <c r="G103" s="71"/>
    </row>
    <row r="104">
      <c r="A104" s="71"/>
      <c r="B104" s="61"/>
      <c r="C104" s="71"/>
      <c r="D104" s="61"/>
      <c r="E104" s="61"/>
      <c r="F104" s="71"/>
      <c r="G104" s="71"/>
    </row>
    <row r="105">
      <c r="A105" s="71"/>
      <c r="B105" s="61"/>
      <c r="C105" s="71"/>
      <c r="D105" s="61"/>
      <c r="E105" s="61"/>
      <c r="F105" s="71"/>
      <c r="G105" s="71"/>
    </row>
    <row r="106">
      <c r="A106" s="71"/>
      <c r="B106" s="61"/>
      <c r="C106" s="71"/>
      <c r="D106" s="61"/>
      <c r="E106" s="61"/>
      <c r="F106" s="71"/>
      <c r="G106" s="71"/>
    </row>
    <row r="107">
      <c r="A107" s="71"/>
      <c r="B107" s="61"/>
      <c r="C107" s="71"/>
      <c r="D107" s="61"/>
      <c r="E107" s="61"/>
      <c r="F107" s="71"/>
      <c r="G107" s="71"/>
    </row>
    <row r="108">
      <c r="A108" s="71"/>
      <c r="B108" s="61"/>
      <c r="C108" s="71"/>
      <c r="D108" s="61"/>
      <c r="E108" s="61"/>
      <c r="F108" s="71"/>
      <c r="G108" s="71"/>
    </row>
    <row r="109">
      <c r="A109" s="71"/>
      <c r="B109" s="61"/>
      <c r="C109" s="71"/>
      <c r="D109" s="61"/>
      <c r="E109" s="61"/>
      <c r="F109" s="71"/>
      <c r="G109" s="71"/>
    </row>
    <row r="110">
      <c r="A110" s="71"/>
      <c r="B110" s="61"/>
      <c r="C110" s="71"/>
      <c r="D110" s="61"/>
      <c r="E110" s="61"/>
      <c r="F110" s="71"/>
      <c r="G110" s="71"/>
    </row>
    <row r="111">
      <c r="A111" s="71"/>
      <c r="B111" s="61"/>
      <c r="C111" s="71"/>
      <c r="D111" s="61"/>
      <c r="E111" s="61"/>
      <c r="F111" s="71"/>
      <c r="G111" s="71"/>
    </row>
    <row r="112">
      <c r="A112" s="71"/>
      <c r="B112" s="61"/>
      <c r="C112" s="71"/>
      <c r="D112" s="61"/>
      <c r="E112" s="61"/>
      <c r="F112" s="71"/>
      <c r="G112" s="71"/>
    </row>
    <row r="113">
      <c r="A113" s="71"/>
      <c r="B113" s="61"/>
      <c r="C113" s="71"/>
      <c r="D113" s="61"/>
      <c r="E113" s="61"/>
      <c r="F113" s="71"/>
      <c r="G113" s="71"/>
    </row>
    <row r="114">
      <c r="A114" s="71"/>
      <c r="B114" s="61"/>
      <c r="C114" s="71"/>
      <c r="D114" s="61"/>
      <c r="E114" s="61"/>
      <c r="F114" s="71"/>
      <c r="G114" s="71"/>
    </row>
    <row r="115">
      <c r="A115" s="71"/>
      <c r="B115" s="61"/>
      <c r="C115" s="71"/>
      <c r="D115" s="61"/>
      <c r="E115" s="61"/>
      <c r="F115" s="71"/>
      <c r="G115" s="71"/>
    </row>
    <row r="116">
      <c r="A116" s="71"/>
      <c r="B116" s="61"/>
      <c r="C116" s="71"/>
      <c r="D116" s="61"/>
      <c r="E116" s="61"/>
      <c r="F116" s="71"/>
      <c r="G116" s="71"/>
    </row>
    <row r="117">
      <c r="A117" s="71"/>
      <c r="B117" s="61"/>
      <c r="C117" s="71"/>
      <c r="D117" s="61"/>
      <c r="E117" s="61"/>
      <c r="F117" s="71"/>
      <c r="G117" s="71"/>
    </row>
    <row r="118">
      <c r="A118" s="71"/>
      <c r="B118" s="61"/>
      <c r="C118" s="71"/>
      <c r="D118" s="61"/>
      <c r="E118" s="61"/>
      <c r="F118" s="71"/>
      <c r="G118" s="71"/>
    </row>
    <row r="119">
      <c r="A119" s="71"/>
      <c r="B119" s="61"/>
      <c r="C119" s="71"/>
      <c r="D119" s="61"/>
      <c r="E119" s="61"/>
      <c r="F119" s="71"/>
      <c r="G119" s="71"/>
    </row>
    <row r="120">
      <c r="A120" s="71"/>
      <c r="B120" s="61"/>
      <c r="C120" s="71"/>
      <c r="D120" s="61"/>
      <c r="E120" s="61"/>
      <c r="F120" s="71"/>
      <c r="G120" s="71"/>
    </row>
    <row r="121">
      <c r="A121" s="71"/>
      <c r="B121" s="61"/>
      <c r="C121" s="71"/>
      <c r="D121" s="61"/>
      <c r="E121" s="61"/>
      <c r="F121" s="71"/>
      <c r="G121" s="71"/>
    </row>
    <row r="122">
      <c r="A122" s="71"/>
      <c r="B122" s="61"/>
      <c r="C122" s="71"/>
      <c r="D122" s="61"/>
      <c r="E122" s="61"/>
      <c r="F122" s="71"/>
      <c r="G122" s="71"/>
    </row>
    <row r="123">
      <c r="A123" s="71"/>
      <c r="B123" s="61"/>
      <c r="C123" s="71"/>
      <c r="D123" s="61"/>
      <c r="E123" s="61"/>
      <c r="F123" s="71"/>
      <c r="G123" s="71"/>
    </row>
    <row r="124">
      <c r="A124" s="71"/>
      <c r="B124" s="61"/>
      <c r="C124" s="71"/>
      <c r="D124" s="61"/>
      <c r="E124" s="61"/>
      <c r="F124" s="71"/>
      <c r="G124" s="71"/>
    </row>
    <row r="125">
      <c r="A125" s="71"/>
      <c r="B125" s="61"/>
      <c r="C125" s="71"/>
      <c r="D125" s="61"/>
      <c r="E125" s="61"/>
      <c r="F125" s="71"/>
      <c r="G125" s="71"/>
    </row>
    <row r="126">
      <c r="A126" s="71"/>
      <c r="B126" s="61"/>
      <c r="C126" s="71"/>
      <c r="D126" s="61"/>
      <c r="E126" s="61"/>
      <c r="F126" s="71"/>
      <c r="G126" s="71"/>
    </row>
    <row r="127">
      <c r="A127" s="71"/>
      <c r="B127" s="61"/>
      <c r="C127" s="71"/>
      <c r="D127" s="61"/>
      <c r="E127" s="61"/>
      <c r="F127" s="71"/>
      <c r="G127" s="71"/>
    </row>
    <row r="128">
      <c r="A128" s="71"/>
      <c r="B128" s="61"/>
      <c r="C128" s="71"/>
      <c r="D128" s="61"/>
      <c r="E128" s="61"/>
      <c r="F128" s="71"/>
      <c r="G128" s="71"/>
    </row>
    <row r="129">
      <c r="A129" s="71"/>
      <c r="B129" s="61"/>
      <c r="C129" s="71"/>
      <c r="D129" s="61"/>
      <c r="E129" s="61"/>
      <c r="F129" s="71"/>
      <c r="G129" s="71"/>
    </row>
    <row r="130">
      <c r="A130" s="71"/>
      <c r="B130" s="61"/>
      <c r="C130" s="71"/>
      <c r="D130" s="61"/>
      <c r="E130" s="61"/>
      <c r="F130" s="71"/>
      <c r="G130" s="71"/>
    </row>
    <row r="131">
      <c r="A131" s="71"/>
      <c r="B131" s="61"/>
      <c r="C131" s="71"/>
      <c r="D131" s="61"/>
      <c r="E131" s="61"/>
      <c r="F131" s="71"/>
      <c r="G131" s="71"/>
    </row>
    <row r="132">
      <c r="A132" s="71"/>
      <c r="B132" s="61"/>
      <c r="C132" s="71"/>
      <c r="D132" s="61"/>
      <c r="E132" s="61"/>
      <c r="F132" s="71"/>
      <c r="G132" s="71"/>
    </row>
    <row r="133">
      <c r="A133" s="71"/>
      <c r="B133" s="61"/>
      <c r="C133" s="71"/>
      <c r="D133" s="61"/>
      <c r="E133" s="61"/>
      <c r="F133" s="71"/>
      <c r="G133" s="71"/>
    </row>
    <row r="134">
      <c r="A134" s="71"/>
      <c r="B134" s="61"/>
      <c r="C134" s="71"/>
      <c r="D134" s="61"/>
      <c r="E134" s="61"/>
      <c r="F134" s="71"/>
      <c r="G134" s="71"/>
    </row>
    <row r="135">
      <c r="A135" s="71"/>
      <c r="B135" s="61"/>
      <c r="C135" s="71"/>
      <c r="D135" s="61"/>
      <c r="E135" s="61"/>
      <c r="F135" s="71"/>
      <c r="G135" s="71"/>
    </row>
    <row r="136">
      <c r="A136" s="71"/>
      <c r="B136" s="61"/>
      <c r="C136" s="71"/>
      <c r="D136" s="61"/>
      <c r="E136" s="61"/>
      <c r="F136" s="71"/>
      <c r="G136" s="71"/>
    </row>
    <row r="137">
      <c r="A137" s="71"/>
      <c r="B137" s="61"/>
      <c r="C137" s="71"/>
      <c r="D137" s="61"/>
      <c r="E137" s="61"/>
      <c r="F137" s="71"/>
      <c r="G137" s="71"/>
    </row>
    <row r="138">
      <c r="A138" s="71"/>
      <c r="B138" s="61"/>
      <c r="C138" s="71"/>
      <c r="D138" s="61"/>
      <c r="E138" s="61"/>
      <c r="F138" s="71"/>
      <c r="G138" s="71"/>
    </row>
    <row r="139">
      <c r="A139" s="71"/>
      <c r="B139" s="61"/>
      <c r="C139" s="71"/>
      <c r="D139" s="61"/>
      <c r="E139" s="61"/>
      <c r="F139" s="71"/>
      <c r="G139" s="71"/>
    </row>
    <row r="140">
      <c r="A140" s="71"/>
      <c r="B140" s="61"/>
      <c r="C140" s="71"/>
      <c r="D140" s="61"/>
      <c r="E140" s="61"/>
      <c r="F140" s="71"/>
      <c r="G140" s="71"/>
    </row>
    <row r="141">
      <c r="A141" s="71"/>
      <c r="B141" s="61"/>
      <c r="C141" s="71"/>
      <c r="D141" s="61"/>
      <c r="E141" s="61"/>
      <c r="F141" s="71"/>
      <c r="G141" s="71"/>
    </row>
    <row r="142">
      <c r="A142" s="71"/>
      <c r="B142" s="61"/>
      <c r="C142" s="71"/>
      <c r="D142" s="61"/>
      <c r="E142" s="61"/>
      <c r="F142" s="71"/>
      <c r="G142" s="71"/>
    </row>
    <row r="143">
      <c r="A143" s="71"/>
      <c r="B143" s="61"/>
      <c r="C143" s="71"/>
      <c r="D143" s="61"/>
      <c r="E143" s="61"/>
      <c r="F143" s="71"/>
      <c r="G143" s="71"/>
    </row>
    <row r="144">
      <c r="A144" s="71"/>
      <c r="B144" s="61"/>
      <c r="C144" s="71"/>
      <c r="D144" s="61"/>
      <c r="E144" s="61"/>
      <c r="F144" s="71"/>
      <c r="G144" s="71"/>
    </row>
    <row r="145">
      <c r="A145" s="71"/>
      <c r="B145" s="61"/>
      <c r="C145" s="71"/>
      <c r="D145" s="61"/>
      <c r="E145" s="61"/>
      <c r="F145" s="71"/>
      <c r="G145" s="71"/>
    </row>
    <row r="146">
      <c r="A146" s="71"/>
      <c r="B146" s="61"/>
      <c r="C146" s="71"/>
      <c r="D146" s="61"/>
      <c r="E146" s="61"/>
      <c r="F146" s="71"/>
      <c r="G146" s="71"/>
    </row>
    <row r="147">
      <c r="A147" s="71"/>
      <c r="B147" s="61"/>
      <c r="C147" s="71"/>
      <c r="D147" s="61"/>
      <c r="E147" s="61"/>
      <c r="F147" s="71"/>
      <c r="G147" s="71"/>
    </row>
    <row r="148">
      <c r="A148" s="71"/>
      <c r="B148" s="61"/>
      <c r="C148" s="71"/>
      <c r="D148" s="61"/>
      <c r="E148" s="61"/>
      <c r="F148" s="71"/>
      <c r="G148" s="71"/>
    </row>
    <row r="149">
      <c r="A149" s="71"/>
      <c r="B149" s="61"/>
      <c r="C149" s="71"/>
      <c r="D149" s="61"/>
      <c r="E149" s="61"/>
      <c r="F149" s="71"/>
      <c r="G149" s="71"/>
    </row>
    <row r="150">
      <c r="A150" s="71"/>
      <c r="B150" s="61"/>
      <c r="C150" s="71"/>
      <c r="D150" s="61"/>
      <c r="E150" s="61"/>
      <c r="F150" s="71"/>
      <c r="G150" s="71"/>
    </row>
    <row r="151">
      <c r="A151" s="71"/>
      <c r="B151" s="61"/>
      <c r="C151" s="71"/>
      <c r="D151" s="61"/>
      <c r="E151" s="61"/>
      <c r="F151" s="71"/>
      <c r="G151" s="71"/>
    </row>
    <row r="152">
      <c r="A152" s="71"/>
      <c r="B152" s="61"/>
      <c r="C152" s="71"/>
      <c r="D152" s="61"/>
      <c r="E152" s="61"/>
      <c r="F152" s="71"/>
      <c r="G152" s="71"/>
    </row>
    <row r="153">
      <c r="A153" s="71"/>
      <c r="B153" s="61"/>
      <c r="C153" s="71"/>
      <c r="D153" s="61"/>
      <c r="E153" s="61"/>
      <c r="F153" s="71"/>
      <c r="G153" s="71"/>
    </row>
    <row r="154">
      <c r="A154" s="71"/>
      <c r="B154" s="61"/>
      <c r="C154" s="71"/>
      <c r="D154" s="61"/>
      <c r="E154" s="61"/>
      <c r="F154" s="71"/>
      <c r="G154" s="71"/>
    </row>
    <row r="155">
      <c r="A155" s="71"/>
      <c r="B155" s="61"/>
      <c r="C155" s="71"/>
      <c r="D155" s="61"/>
      <c r="E155" s="61"/>
      <c r="F155" s="71"/>
      <c r="G155" s="71"/>
    </row>
    <row r="156">
      <c r="A156" s="71"/>
      <c r="B156" s="61"/>
      <c r="C156" s="71"/>
      <c r="D156" s="61"/>
      <c r="E156" s="61"/>
      <c r="F156" s="71"/>
      <c r="G156" s="71"/>
    </row>
    <row r="157">
      <c r="A157" s="71"/>
      <c r="B157" s="61"/>
      <c r="C157" s="71"/>
      <c r="D157" s="61"/>
      <c r="E157" s="61"/>
      <c r="F157" s="71"/>
      <c r="G157" s="71"/>
    </row>
    <row r="158">
      <c r="A158" s="71"/>
      <c r="B158" s="61"/>
      <c r="C158" s="71"/>
      <c r="D158" s="61"/>
      <c r="E158" s="61"/>
      <c r="F158" s="71"/>
      <c r="G158" s="71"/>
    </row>
    <row r="159">
      <c r="A159" s="71"/>
      <c r="B159" s="61"/>
      <c r="C159" s="71"/>
      <c r="D159" s="61"/>
      <c r="E159" s="61"/>
      <c r="F159" s="71"/>
      <c r="G159" s="71"/>
    </row>
    <row r="160">
      <c r="A160" s="71"/>
      <c r="B160" s="61"/>
      <c r="C160" s="71"/>
      <c r="D160" s="61"/>
      <c r="E160" s="61"/>
      <c r="F160" s="71"/>
      <c r="G160" s="71"/>
    </row>
    <row r="161">
      <c r="A161" s="71"/>
      <c r="B161" s="61"/>
      <c r="C161" s="71"/>
      <c r="D161" s="61"/>
      <c r="E161" s="61"/>
      <c r="F161" s="71"/>
      <c r="G161" s="71"/>
    </row>
    <row r="162">
      <c r="A162" s="71"/>
      <c r="B162" s="61"/>
      <c r="C162" s="71"/>
      <c r="D162" s="61"/>
      <c r="E162" s="61"/>
      <c r="F162" s="71"/>
      <c r="G162" s="71"/>
    </row>
    <row r="163">
      <c r="A163" s="71"/>
      <c r="B163" s="61"/>
      <c r="C163" s="71"/>
      <c r="D163" s="61"/>
      <c r="E163" s="61"/>
      <c r="F163" s="71"/>
      <c r="G163" s="71"/>
    </row>
    <row r="164">
      <c r="A164" s="71"/>
      <c r="B164" s="61"/>
      <c r="C164" s="71"/>
      <c r="D164" s="61"/>
      <c r="E164" s="61"/>
      <c r="F164" s="71"/>
      <c r="G164" s="71"/>
    </row>
    <row r="165">
      <c r="A165" s="71"/>
      <c r="B165" s="61"/>
      <c r="C165" s="71"/>
      <c r="D165" s="61"/>
      <c r="E165" s="61"/>
      <c r="F165" s="71"/>
      <c r="G165" s="71"/>
    </row>
    <row r="166">
      <c r="A166" s="71"/>
      <c r="B166" s="61"/>
      <c r="C166" s="71"/>
      <c r="D166" s="61"/>
      <c r="E166" s="61"/>
      <c r="F166" s="71"/>
      <c r="G166" s="71"/>
    </row>
    <row r="167">
      <c r="A167" s="71"/>
      <c r="B167" s="61"/>
      <c r="C167" s="71"/>
      <c r="D167" s="61"/>
      <c r="E167" s="61"/>
      <c r="F167" s="71"/>
      <c r="G167" s="71"/>
    </row>
    <row r="168">
      <c r="A168" s="71"/>
      <c r="B168" s="61"/>
      <c r="C168" s="71"/>
      <c r="D168" s="61"/>
      <c r="E168" s="61"/>
      <c r="F168" s="71"/>
      <c r="G168" s="71"/>
    </row>
    <row r="169">
      <c r="A169" s="71"/>
      <c r="B169" s="61"/>
      <c r="C169" s="71"/>
      <c r="D169" s="61"/>
      <c r="E169" s="61"/>
      <c r="F169" s="71"/>
      <c r="G169" s="71"/>
    </row>
    <row r="170">
      <c r="A170" s="71"/>
      <c r="B170" s="61"/>
      <c r="C170" s="71"/>
      <c r="D170" s="61"/>
      <c r="E170" s="61"/>
      <c r="F170" s="71"/>
      <c r="G170" s="71"/>
    </row>
    <row r="171">
      <c r="A171" s="71"/>
      <c r="B171" s="61"/>
      <c r="C171" s="71"/>
      <c r="D171" s="61"/>
      <c r="E171" s="61"/>
      <c r="F171" s="71"/>
      <c r="G171" s="71"/>
    </row>
    <row r="172">
      <c r="A172" s="71"/>
      <c r="B172" s="61"/>
      <c r="C172" s="71"/>
      <c r="D172" s="61"/>
      <c r="E172" s="61"/>
      <c r="F172" s="71"/>
      <c r="G172" s="71"/>
    </row>
    <row r="173">
      <c r="A173" s="71"/>
      <c r="B173" s="61"/>
      <c r="C173" s="71"/>
      <c r="D173" s="61"/>
      <c r="E173" s="61"/>
      <c r="F173" s="71"/>
      <c r="G173" s="71"/>
    </row>
    <row r="174">
      <c r="A174" s="71"/>
      <c r="B174" s="61"/>
      <c r="C174" s="71"/>
      <c r="D174" s="61"/>
      <c r="E174" s="61"/>
      <c r="F174" s="71"/>
      <c r="G174" s="71"/>
    </row>
    <row r="175">
      <c r="A175" s="71"/>
      <c r="B175" s="61"/>
      <c r="C175" s="71"/>
      <c r="D175" s="61"/>
      <c r="E175" s="61"/>
      <c r="F175" s="71"/>
      <c r="G175" s="71"/>
    </row>
    <row r="176">
      <c r="A176" s="71"/>
      <c r="B176" s="61"/>
      <c r="C176" s="71"/>
      <c r="D176" s="61"/>
      <c r="E176" s="61"/>
      <c r="F176" s="71"/>
      <c r="G176" s="71"/>
    </row>
    <row r="177">
      <c r="A177" s="71"/>
      <c r="B177" s="61"/>
      <c r="C177" s="71"/>
      <c r="D177" s="61"/>
      <c r="E177" s="61"/>
      <c r="F177" s="71"/>
      <c r="G177" s="71"/>
    </row>
    <row r="178">
      <c r="A178" s="71"/>
      <c r="B178" s="61"/>
      <c r="C178" s="71"/>
      <c r="D178" s="61"/>
      <c r="E178" s="61"/>
      <c r="F178" s="71"/>
      <c r="G178" s="71"/>
    </row>
    <row r="179">
      <c r="A179" s="71"/>
      <c r="B179" s="61"/>
      <c r="C179" s="71"/>
      <c r="D179" s="61"/>
      <c r="E179" s="61"/>
      <c r="F179" s="71"/>
      <c r="G179" s="71"/>
    </row>
    <row r="180">
      <c r="A180" s="71"/>
      <c r="B180" s="61"/>
      <c r="C180" s="71"/>
      <c r="D180" s="61"/>
      <c r="E180" s="61"/>
      <c r="F180" s="71"/>
      <c r="G180" s="71"/>
    </row>
    <row r="181">
      <c r="A181" s="71"/>
      <c r="B181" s="61"/>
      <c r="C181" s="71"/>
      <c r="D181" s="61"/>
      <c r="E181" s="61"/>
      <c r="F181" s="71"/>
      <c r="G181" s="71"/>
    </row>
    <row r="182">
      <c r="A182" s="71"/>
      <c r="B182" s="61"/>
      <c r="C182" s="71"/>
      <c r="D182" s="61"/>
      <c r="E182" s="61"/>
      <c r="F182" s="71"/>
      <c r="G182" s="71"/>
    </row>
    <row r="183">
      <c r="A183" s="71"/>
      <c r="B183" s="61"/>
      <c r="C183" s="71"/>
      <c r="D183" s="61"/>
      <c r="E183" s="61"/>
      <c r="F183" s="71"/>
      <c r="G183" s="71"/>
    </row>
    <row r="184">
      <c r="A184" s="71"/>
      <c r="B184" s="61"/>
      <c r="C184" s="71"/>
      <c r="D184" s="61"/>
      <c r="E184" s="61"/>
      <c r="F184" s="71"/>
      <c r="G184" s="71"/>
    </row>
    <row r="185">
      <c r="A185" s="71"/>
      <c r="B185" s="61"/>
      <c r="C185" s="71"/>
      <c r="D185" s="61"/>
      <c r="E185" s="61"/>
      <c r="F185" s="71"/>
      <c r="G185" s="71"/>
    </row>
    <row r="186">
      <c r="A186" s="71"/>
      <c r="B186" s="61"/>
      <c r="C186" s="71"/>
      <c r="D186" s="61"/>
      <c r="E186" s="61"/>
      <c r="F186" s="71"/>
      <c r="G186" s="71"/>
    </row>
    <row r="187">
      <c r="A187" s="71"/>
      <c r="B187" s="61"/>
      <c r="C187" s="71"/>
      <c r="D187" s="61"/>
      <c r="E187" s="61"/>
      <c r="F187" s="71"/>
      <c r="G187" s="71"/>
    </row>
    <row r="188">
      <c r="A188" s="71"/>
      <c r="B188" s="61"/>
      <c r="C188" s="71"/>
      <c r="D188" s="61"/>
      <c r="E188" s="61"/>
      <c r="F188" s="71"/>
      <c r="G188" s="71"/>
    </row>
    <row r="189">
      <c r="A189" s="71"/>
      <c r="B189" s="61"/>
      <c r="C189" s="71"/>
      <c r="D189" s="61"/>
      <c r="E189" s="61"/>
      <c r="F189" s="71"/>
      <c r="G189" s="71"/>
    </row>
    <row r="190">
      <c r="A190" s="71"/>
      <c r="B190" s="61"/>
      <c r="C190" s="71"/>
      <c r="D190" s="61"/>
      <c r="E190" s="61"/>
      <c r="F190" s="71"/>
      <c r="G190" s="71"/>
    </row>
    <row r="191">
      <c r="A191" s="71"/>
      <c r="B191" s="61"/>
      <c r="C191" s="71"/>
      <c r="D191" s="61"/>
      <c r="E191" s="61"/>
      <c r="F191" s="71"/>
      <c r="G191" s="71"/>
    </row>
    <row r="192">
      <c r="A192" s="71"/>
      <c r="B192" s="61"/>
      <c r="C192" s="71"/>
      <c r="D192" s="61"/>
      <c r="E192" s="61"/>
      <c r="F192" s="71"/>
      <c r="G192" s="71"/>
    </row>
    <row r="193">
      <c r="A193" s="71"/>
      <c r="B193" s="61"/>
      <c r="C193" s="71"/>
      <c r="D193" s="61"/>
      <c r="E193" s="61"/>
      <c r="F193" s="71"/>
      <c r="G193" s="71"/>
    </row>
    <row r="194">
      <c r="A194" s="71"/>
      <c r="B194" s="61"/>
      <c r="C194" s="71"/>
      <c r="D194" s="61"/>
      <c r="E194" s="61"/>
      <c r="F194" s="71"/>
      <c r="G194" s="71"/>
    </row>
    <row r="195">
      <c r="A195" s="71"/>
      <c r="B195" s="61"/>
      <c r="C195" s="71"/>
      <c r="D195" s="61"/>
      <c r="E195" s="61"/>
      <c r="F195" s="71"/>
      <c r="G195" s="71"/>
    </row>
    <row r="196">
      <c r="A196" s="71"/>
      <c r="B196" s="61"/>
      <c r="C196" s="71"/>
      <c r="D196" s="61"/>
      <c r="E196" s="61"/>
      <c r="F196" s="71"/>
      <c r="G196" s="71"/>
    </row>
    <row r="197">
      <c r="A197" s="71"/>
      <c r="B197" s="61"/>
      <c r="C197" s="71"/>
      <c r="D197" s="61"/>
      <c r="E197" s="61"/>
      <c r="F197" s="71"/>
      <c r="G197" s="71"/>
    </row>
    <row r="198">
      <c r="A198" s="71"/>
      <c r="B198" s="61"/>
      <c r="C198" s="71"/>
      <c r="D198" s="61"/>
      <c r="E198" s="61"/>
      <c r="F198" s="71"/>
      <c r="G198" s="71"/>
    </row>
    <row r="199">
      <c r="A199" s="71"/>
      <c r="B199" s="61"/>
      <c r="C199" s="71"/>
      <c r="D199" s="61"/>
      <c r="E199" s="61"/>
      <c r="F199" s="71"/>
      <c r="G199" s="71"/>
    </row>
    <row r="200">
      <c r="A200" s="71"/>
      <c r="B200" s="61"/>
      <c r="C200" s="71"/>
      <c r="D200" s="61"/>
      <c r="E200" s="61"/>
      <c r="F200" s="71"/>
      <c r="G200" s="71"/>
    </row>
    <row r="201">
      <c r="A201" s="71"/>
      <c r="B201" s="61"/>
      <c r="C201" s="71"/>
      <c r="D201" s="61"/>
      <c r="E201" s="61"/>
      <c r="F201" s="71"/>
      <c r="G201" s="71"/>
    </row>
    <row r="202">
      <c r="A202" s="71"/>
      <c r="B202" s="61"/>
      <c r="C202" s="71"/>
      <c r="D202" s="61"/>
      <c r="E202" s="61"/>
      <c r="F202" s="71"/>
      <c r="G202" s="71"/>
    </row>
    <row r="203">
      <c r="A203" s="71"/>
      <c r="B203" s="61"/>
      <c r="C203" s="71"/>
      <c r="D203" s="61"/>
      <c r="E203" s="61"/>
      <c r="F203" s="71"/>
      <c r="G203" s="71"/>
    </row>
    <row r="204">
      <c r="A204" s="71"/>
      <c r="B204" s="61"/>
      <c r="C204" s="71"/>
      <c r="D204" s="61"/>
      <c r="E204" s="61"/>
      <c r="F204" s="71"/>
      <c r="G204" s="71"/>
    </row>
    <row r="205">
      <c r="A205" s="71"/>
      <c r="B205" s="61"/>
      <c r="C205" s="71"/>
      <c r="D205" s="61"/>
      <c r="E205" s="61"/>
      <c r="F205" s="71"/>
      <c r="G205" s="71"/>
    </row>
    <row r="206">
      <c r="A206" s="71"/>
      <c r="B206" s="61"/>
      <c r="C206" s="71"/>
      <c r="D206" s="61"/>
      <c r="E206" s="61"/>
      <c r="F206" s="71"/>
      <c r="G206" s="71"/>
    </row>
    <row r="207">
      <c r="A207" s="71"/>
      <c r="B207" s="61"/>
      <c r="C207" s="71"/>
      <c r="D207" s="61"/>
      <c r="E207" s="61"/>
      <c r="F207" s="71"/>
      <c r="G207" s="71"/>
    </row>
    <row r="208">
      <c r="A208" s="71"/>
      <c r="B208" s="61"/>
      <c r="C208" s="71"/>
      <c r="D208" s="61"/>
      <c r="E208" s="61"/>
      <c r="F208" s="71"/>
      <c r="G208" s="71"/>
    </row>
    <row r="209">
      <c r="A209" s="71"/>
      <c r="B209" s="61"/>
      <c r="C209" s="71"/>
      <c r="D209" s="61"/>
      <c r="E209" s="61"/>
      <c r="F209" s="71"/>
      <c r="G209" s="71"/>
    </row>
    <row r="210">
      <c r="A210" s="71"/>
      <c r="B210" s="61"/>
      <c r="C210" s="71"/>
      <c r="D210" s="61"/>
      <c r="E210" s="61"/>
      <c r="F210" s="71"/>
      <c r="G210" s="71"/>
    </row>
    <row r="211">
      <c r="A211" s="71"/>
      <c r="B211" s="61"/>
      <c r="C211" s="71"/>
      <c r="D211" s="61"/>
      <c r="E211" s="61"/>
      <c r="F211" s="71"/>
      <c r="G211" s="71"/>
    </row>
    <row r="212">
      <c r="A212" s="71"/>
      <c r="B212" s="61"/>
      <c r="C212" s="71"/>
      <c r="D212" s="61"/>
      <c r="E212" s="61"/>
      <c r="F212" s="71"/>
      <c r="G212" s="71"/>
    </row>
    <row r="213">
      <c r="A213" s="71"/>
      <c r="B213" s="61"/>
      <c r="C213" s="71"/>
      <c r="D213" s="61"/>
      <c r="E213" s="61"/>
      <c r="F213" s="71"/>
      <c r="G213" s="71"/>
    </row>
    <row r="214">
      <c r="A214" s="71"/>
      <c r="B214" s="61"/>
      <c r="C214" s="71"/>
      <c r="D214" s="61"/>
      <c r="E214" s="61"/>
      <c r="F214" s="71"/>
      <c r="G214" s="71"/>
    </row>
    <row r="215">
      <c r="A215" s="71"/>
      <c r="B215" s="61"/>
      <c r="C215" s="71"/>
      <c r="D215" s="61"/>
      <c r="E215" s="61"/>
      <c r="F215" s="71"/>
      <c r="G215" s="71"/>
    </row>
    <row r="216">
      <c r="A216" s="71"/>
      <c r="B216" s="61"/>
      <c r="C216" s="71"/>
      <c r="D216" s="61"/>
      <c r="E216" s="61"/>
      <c r="F216" s="71"/>
      <c r="G216" s="71"/>
    </row>
    <row r="217">
      <c r="A217" s="71"/>
      <c r="B217" s="61"/>
      <c r="C217" s="71"/>
      <c r="D217" s="61"/>
      <c r="E217" s="61"/>
      <c r="F217" s="71"/>
      <c r="G217" s="71"/>
    </row>
    <row r="218">
      <c r="A218" s="71"/>
      <c r="B218" s="61"/>
      <c r="C218" s="71"/>
      <c r="D218" s="61"/>
      <c r="E218" s="61"/>
      <c r="F218" s="71"/>
      <c r="G218" s="71"/>
    </row>
    <row r="219">
      <c r="A219" s="71"/>
      <c r="B219" s="61"/>
      <c r="C219" s="71"/>
      <c r="D219" s="61"/>
      <c r="E219" s="61"/>
      <c r="F219" s="71"/>
      <c r="G219" s="71"/>
    </row>
    <row r="220">
      <c r="A220" s="71"/>
      <c r="B220" s="61"/>
      <c r="C220" s="71"/>
      <c r="D220" s="61"/>
      <c r="E220" s="61"/>
      <c r="F220" s="71"/>
      <c r="G220" s="71"/>
    </row>
    <row r="221">
      <c r="A221" s="71"/>
      <c r="B221" s="61"/>
      <c r="C221" s="71"/>
      <c r="D221" s="61"/>
      <c r="E221" s="61"/>
      <c r="F221" s="71"/>
      <c r="G221" s="71"/>
    </row>
    <row r="222">
      <c r="A222" s="71"/>
      <c r="B222" s="61"/>
      <c r="C222" s="71"/>
      <c r="D222" s="61"/>
      <c r="E222" s="61"/>
      <c r="F222" s="71"/>
      <c r="G222" s="71"/>
    </row>
    <row r="223">
      <c r="A223" s="71"/>
      <c r="B223" s="61"/>
      <c r="C223" s="71"/>
      <c r="D223" s="61"/>
      <c r="E223" s="61"/>
      <c r="F223" s="71"/>
      <c r="G223" s="71"/>
    </row>
    <row r="224">
      <c r="A224" s="71"/>
      <c r="B224" s="61"/>
      <c r="C224" s="71"/>
      <c r="D224" s="61"/>
      <c r="E224" s="61"/>
      <c r="F224" s="71"/>
      <c r="G224" s="71"/>
    </row>
    <row r="225">
      <c r="A225" s="71"/>
      <c r="B225" s="61"/>
      <c r="C225" s="71"/>
      <c r="D225" s="61"/>
      <c r="E225" s="61"/>
      <c r="F225" s="71"/>
      <c r="G225" s="71"/>
    </row>
    <row r="226">
      <c r="A226" s="71"/>
      <c r="B226" s="61"/>
      <c r="C226" s="71"/>
      <c r="D226" s="61"/>
      <c r="E226" s="61"/>
      <c r="F226" s="71"/>
      <c r="G226" s="71"/>
    </row>
    <row r="227">
      <c r="A227" s="71"/>
      <c r="B227" s="61"/>
      <c r="C227" s="71"/>
      <c r="D227" s="61"/>
      <c r="E227" s="61"/>
      <c r="F227" s="71"/>
      <c r="G227" s="71"/>
    </row>
    <row r="228">
      <c r="A228" s="71"/>
      <c r="B228" s="61"/>
      <c r="C228" s="71"/>
      <c r="D228" s="61"/>
      <c r="E228" s="61"/>
      <c r="F228" s="71"/>
      <c r="G228" s="71"/>
    </row>
    <row r="229">
      <c r="A229" s="71"/>
      <c r="B229" s="61"/>
      <c r="C229" s="71"/>
      <c r="D229" s="61"/>
      <c r="E229" s="61"/>
      <c r="F229" s="71"/>
      <c r="G229" s="71"/>
    </row>
    <row r="230">
      <c r="A230" s="71"/>
      <c r="B230" s="61"/>
      <c r="C230" s="71"/>
      <c r="D230" s="61"/>
      <c r="E230" s="61"/>
      <c r="F230" s="71"/>
      <c r="G230" s="71"/>
    </row>
    <row r="231">
      <c r="A231" s="71"/>
      <c r="B231" s="61"/>
      <c r="C231" s="71"/>
      <c r="D231" s="61"/>
      <c r="E231" s="61"/>
      <c r="F231" s="71"/>
      <c r="G231" s="71"/>
    </row>
    <row r="232">
      <c r="A232" s="71"/>
      <c r="B232" s="61"/>
      <c r="C232" s="71"/>
      <c r="D232" s="61"/>
      <c r="E232" s="61"/>
      <c r="F232" s="71"/>
      <c r="G232" s="71"/>
    </row>
    <row r="233">
      <c r="A233" s="71"/>
      <c r="B233" s="61"/>
      <c r="C233" s="71"/>
      <c r="D233" s="61"/>
      <c r="E233" s="61"/>
      <c r="F233" s="71"/>
      <c r="G233" s="71"/>
    </row>
    <row r="234">
      <c r="A234" s="71"/>
      <c r="B234" s="61"/>
      <c r="C234" s="71"/>
      <c r="D234" s="61"/>
      <c r="E234" s="61"/>
      <c r="F234" s="71"/>
      <c r="G234" s="71"/>
    </row>
    <row r="235">
      <c r="A235" s="71"/>
      <c r="B235" s="61"/>
      <c r="C235" s="71"/>
      <c r="D235" s="61"/>
      <c r="E235" s="61"/>
      <c r="F235" s="71"/>
      <c r="G235" s="71"/>
    </row>
    <row r="236">
      <c r="A236" s="71"/>
      <c r="B236" s="61"/>
      <c r="C236" s="71"/>
      <c r="D236" s="61"/>
      <c r="E236" s="61"/>
      <c r="F236" s="71"/>
      <c r="G236" s="71"/>
    </row>
    <row r="237">
      <c r="A237" s="71"/>
      <c r="B237" s="61"/>
      <c r="C237" s="71"/>
      <c r="D237" s="61"/>
      <c r="E237" s="61"/>
      <c r="F237" s="71"/>
      <c r="G237" s="71"/>
    </row>
    <row r="238">
      <c r="A238" s="71"/>
      <c r="B238" s="61"/>
      <c r="C238" s="71"/>
      <c r="D238" s="61"/>
      <c r="E238" s="61"/>
      <c r="F238" s="71"/>
      <c r="G238" s="71"/>
    </row>
    <row r="239">
      <c r="A239" s="71"/>
      <c r="B239" s="61"/>
      <c r="C239" s="71"/>
      <c r="D239" s="61"/>
      <c r="E239" s="61"/>
      <c r="F239" s="71"/>
      <c r="G239" s="71"/>
    </row>
    <row r="240">
      <c r="A240" s="71"/>
      <c r="B240" s="61"/>
      <c r="C240" s="71"/>
      <c r="D240" s="61"/>
      <c r="E240" s="61"/>
      <c r="F240" s="71"/>
      <c r="G240" s="71"/>
    </row>
    <row r="241">
      <c r="A241" s="71"/>
      <c r="B241" s="61"/>
      <c r="C241" s="71"/>
      <c r="D241" s="61"/>
      <c r="E241" s="61"/>
      <c r="F241" s="71"/>
      <c r="G241" s="71"/>
    </row>
    <row r="242">
      <c r="A242" s="71"/>
      <c r="B242" s="61"/>
      <c r="C242" s="71"/>
      <c r="D242" s="61"/>
      <c r="E242" s="61"/>
      <c r="F242" s="71"/>
      <c r="G242" s="71"/>
    </row>
    <row r="243">
      <c r="A243" s="71"/>
      <c r="B243" s="61"/>
      <c r="C243" s="71"/>
      <c r="D243" s="61"/>
      <c r="E243" s="61"/>
      <c r="F243" s="71"/>
      <c r="G243" s="71"/>
    </row>
    <row r="244">
      <c r="A244" s="71"/>
      <c r="B244" s="61"/>
      <c r="C244" s="71"/>
      <c r="D244" s="61"/>
      <c r="E244" s="61"/>
      <c r="F244" s="71"/>
      <c r="G244" s="71"/>
    </row>
    <row r="245">
      <c r="A245" s="71"/>
      <c r="B245" s="61"/>
      <c r="C245" s="71"/>
      <c r="D245" s="61"/>
      <c r="E245" s="61"/>
      <c r="F245" s="71"/>
      <c r="G245" s="71"/>
    </row>
    <row r="246">
      <c r="A246" s="71"/>
      <c r="B246" s="61"/>
      <c r="C246" s="71"/>
      <c r="D246" s="61"/>
      <c r="E246" s="61"/>
      <c r="F246" s="71"/>
      <c r="G246" s="71"/>
    </row>
    <row r="247">
      <c r="A247" s="71"/>
      <c r="B247" s="61"/>
      <c r="C247" s="71"/>
      <c r="D247" s="61"/>
      <c r="E247" s="61"/>
      <c r="F247" s="71"/>
      <c r="G247" s="71"/>
    </row>
    <row r="248">
      <c r="A248" s="71"/>
      <c r="B248" s="61"/>
      <c r="C248" s="71"/>
      <c r="D248" s="61"/>
      <c r="E248" s="61"/>
      <c r="F248" s="71"/>
      <c r="G248" s="71"/>
    </row>
    <row r="249">
      <c r="A249" s="71"/>
      <c r="B249" s="61"/>
      <c r="C249" s="71"/>
      <c r="D249" s="61"/>
      <c r="E249" s="61"/>
      <c r="F249" s="71"/>
      <c r="G249" s="71"/>
    </row>
    <row r="250">
      <c r="A250" s="71"/>
      <c r="B250" s="61"/>
      <c r="C250" s="71"/>
      <c r="D250" s="61"/>
      <c r="E250" s="61"/>
      <c r="F250" s="71"/>
      <c r="G250" s="71"/>
    </row>
    <row r="251">
      <c r="A251" s="71"/>
      <c r="B251" s="61"/>
      <c r="C251" s="71"/>
      <c r="D251" s="61"/>
      <c r="E251" s="61"/>
      <c r="F251" s="71"/>
      <c r="G251" s="71"/>
    </row>
    <row r="252">
      <c r="A252" s="71"/>
      <c r="B252" s="61"/>
      <c r="C252" s="71"/>
      <c r="D252" s="61"/>
      <c r="E252" s="61"/>
      <c r="F252" s="71"/>
      <c r="G252" s="71"/>
    </row>
    <row r="253">
      <c r="A253" s="71"/>
      <c r="B253" s="61"/>
      <c r="C253" s="71"/>
      <c r="D253" s="61"/>
      <c r="E253" s="61"/>
      <c r="F253" s="71"/>
      <c r="G253" s="71"/>
    </row>
    <row r="254">
      <c r="A254" s="71"/>
      <c r="B254" s="61"/>
      <c r="C254" s="71"/>
      <c r="D254" s="61"/>
      <c r="E254" s="61"/>
      <c r="F254" s="71"/>
      <c r="G254" s="71"/>
    </row>
    <row r="255">
      <c r="A255" s="71"/>
      <c r="B255" s="61"/>
      <c r="C255" s="71"/>
      <c r="D255" s="61"/>
      <c r="E255" s="61"/>
      <c r="F255" s="71"/>
      <c r="G255" s="71"/>
    </row>
    <row r="256">
      <c r="A256" s="71"/>
      <c r="B256" s="61"/>
      <c r="C256" s="71"/>
      <c r="D256" s="61"/>
      <c r="E256" s="61"/>
      <c r="F256" s="71"/>
      <c r="G256" s="71"/>
    </row>
    <row r="257">
      <c r="A257" s="71"/>
      <c r="B257" s="61"/>
      <c r="C257" s="71"/>
      <c r="D257" s="61"/>
      <c r="E257" s="61"/>
      <c r="F257" s="71"/>
      <c r="G257" s="71"/>
    </row>
    <row r="258">
      <c r="A258" s="71"/>
      <c r="B258" s="61"/>
      <c r="C258" s="71"/>
      <c r="D258" s="61"/>
      <c r="E258" s="61"/>
      <c r="F258" s="71"/>
      <c r="G258" s="71"/>
    </row>
    <row r="259">
      <c r="A259" s="71"/>
      <c r="B259" s="61"/>
      <c r="C259" s="71"/>
      <c r="D259" s="61"/>
      <c r="E259" s="61"/>
      <c r="F259" s="71"/>
      <c r="G259" s="71"/>
    </row>
    <row r="260">
      <c r="A260" s="71"/>
      <c r="B260" s="61"/>
      <c r="C260" s="71"/>
      <c r="D260" s="61"/>
      <c r="E260" s="61"/>
      <c r="F260" s="71"/>
      <c r="G260" s="71"/>
    </row>
    <row r="261">
      <c r="A261" s="71"/>
      <c r="B261" s="61"/>
      <c r="C261" s="71"/>
      <c r="D261" s="61"/>
      <c r="E261" s="61"/>
      <c r="F261" s="71"/>
      <c r="G261" s="71"/>
    </row>
    <row r="262">
      <c r="A262" s="71"/>
      <c r="B262" s="61"/>
      <c r="C262" s="71"/>
      <c r="D262" s="61"/>
      <c r="E262" s="61"/>
      <c r="F262" s="71"/>
      <c r="G262" s="71"/>
    </row>
    <row r="263">
      <c r="A263" s="71"/>
      <c r="B263" s="61"/>
      <c r="C263" s="71"/>
      <c r="D263" s="61"/>
      <c r="E263" s="61"/>
      <c r="F263" s="71"/>
      <c r="G263" s="71"/>
    </row>
    <row r="264">
      <c r="A264" s="71"/>
      <c r="B264" s="61"/>
      <c r="C264" s="71"/>
      <c r="D264" s="61"/>
      <c r="E264" s="61"/>
      <c r="F264" s="71"/>
      <c r="G264" s="71"/>
    </row>
    <row r="265">
      <c r="A265" s="71"/>
      <c r="B265" s="61"/>
      <c r="C265" s="71"/>
      <c r="D265" s="61"/>
      <c r="E265" s="61"/>
      <c r="F265" s="71"/>
      <c r="G265" s="71"/>
    </row>
    <row r="266">
      <c r="A266" s="71"/>
      <c r="B266" s="61"/>
      <c r="C266" s="71"/>
      <c r="D266" s="61"/>
      <c r="E266" s="61"/>
      <c r="F266" s="71"/>
      <c r="G266" s="71"/>
    </row>
    <row r="267">
      <c r="A267" s="71"/>
      <c r="B267" s="61"/>
      <c r="C267" s="71"/>
      <c r="D267" s="61"/>
      <c r="E267" s="61"/>
      <c r="F267" s="71"/>
      <c r="G267" s="71"/>
    </row>
    <row r="268">
      <c r="A268" s="71"/>
      <c r="B268" s="61"/>
      <c r="C268" s="71"/>
      <c r="D268" s="61"/>
      <c r="E268" s="61"/>
      <c r="F268" s="71"/>
      <c r="G268" s="71"/>
    </row>
    <row r="269">
      <c r="A269" s="71"/>
      <c r="B269" s="61"/>
      <c r="C269" s="71"/>
      <c r="D269" s="61"/>
      <c r="E269" s="61"/>
      <c r="F269" s="71"/>
      <c r="G269" s="71"/>
    </row>
    <row r="270">
      <c r="A270" s="71"/>
      <c r="B270" s="61"/>
      <c r="C270" s="71"/>
      <c r="D270" s="61"/>
      <c r="E270" s="61"/>
      <c r="F270" s="71"/>
      <c r="G270" s="71"/>
    </row>
    <row r="271">
      <c r="A271" s="71"/>
      <c r="B271" s="61"/>
      <c r="C271" s="71"/>
      <c r="D271" s="61"/>
      <c r="E271" s="61"/>
      <c r="F271" s="71"/>
      <c r="G271" s="71"/>
    </row>
    <row r="272">
      <c r="A272" s="71"/>
      <c r="B272" s="61"/>
      <c r="C272" s="71"/>
      <c r="D272" s="61"/>
      <c r="E272" s="61"/>
      <c r="F272" s="71"/>
      <c r="G272" s="71"/>
    </row>
    <row r="273">
      <c r="A273" s="71"/>
      <c r="B273" s="61"/>
      <c r="C273" s="71"/>
      <c r="D273" s="61"/>
      <c r="E273" s="61"/>
      <c r="F273" s="71"/>
      <c r="G273" s="71"/>
    </row>
    <row r="274">
      <c r="A274" s="71"/>
      <c r="B274" s="61"/>
      <c r="C274" s="71"/>
      <c r="D274" s="61"/>
      <c r="E274" s="61"/>
      <c r="F274" s="71"/>
      <c r="G274" s="71"/>
    </row>
    <row r="275">
      <c r="A275" s="71"/>
      <c r="B275" s="61"/>
      <c r="C275" s="71"/>
      <c r="D275" s="61"/>
      <c r="E275" s="61"/>
      <c r="F275" s="71"/>
      <c r="G275" s="71"/>
    </row>
    <row r="276">
      <c r="A276" s="71"/>
      <c r="B276" s="61"/>
      <c r="C276" s="71"/>
      <c r="D276" s="61"/>
      <c r="E276" s="61"/>
      <c r="F276" s="71"/>
      <c r="G276" s="71"/>
    </row>
    <row r="277">
      <c r="A277" s="71"/>
      <c r="B277" s="61"/>
      <c r="C277" s="71"/>
      <c r="D277" s="61"/>
      <c r="E277" s="61"/>
      <c r="F277" s="71"/>
      <c r="G277" s="71"/>
    </row>
    <row r="278">
      <c r="A278" s="71"/>
      <c r="B278" s="61"/>
      <c r="C278" s="71"/>
      <c r="D278" s="61"/>
      <c r="E278" s="61"/>
      <c r="F278" s="71"/>
      <c r="G278" s="71"/>
    </row>
    <row r="279">
      <c r="A279" s="71"/>
      <c r="B279" s="61"/>
      <c r="C279" s="71"/>
      <c r="D279" s="61"/>
      <c r="E279" s="61"/>
      <c r="F279" s="71"/>
      <c r="G279" s="71"/>
    </row>
    <row r="280">
      <c r="A280" s="71"/>
      <c r="B280" s="61"/>
      <c r="C280" s="71"/>
      <c r="D280" s="61"/>
      <c r="E280" s="61"/>
      <c r="F280" s="71"/>
      <c r="G280" s="71"/>
    </row>
    <row r="281">
      <c r="A281" s="71"/>
      <c r="B281" s="61"/>
      <c r="C281" s="71"/>
      <c r="D281" s="61"/>
      <c r="E281" s="61"/>
      <c r="F281" s="71"/>
      <c r="G281" s="71"/>
    </row>
    <row r="282">
      <c r="A282" s="71"/>
      <c r="B282" s="61"/>
      <c r="C282" s="71"/>
      <c r="D282" s="61"/>
      <c r="E282" s="61"/>
      <c r="F282" s="71"/>
      <c r="G282" s="71"/>
    </row>
    <row r="283">
      <c r="A283" s="71"/>
      <c r="B283" s="61"/>
      <c r="C283" s="71"/>
      <c r="D283" s="61"/>
      <c r="E283" s="61"/>
      <c r="F283" s="71"/>
      <c r="G283" s="71"/>
    </row>
    <row r="284">
      <c r="A284" s="71"/>
      <c r="B284" s="61"/>
      <c r="C284" s="71"/>
      <c r="D284" s="61"/>
      <c r="E284" s="61"/>
      <c r="F284" s="71"/>
      <c r="G284" s="71"/>
    </row>
    <row r="285">
      <c r="A285" s="71"/>
      <c r="B285" s="61"/>
      <c r="C285" s="71"/>
      <c r="D285" s="61"/>
      <c r="E285" s="61"/>
      <c r="F285" s="71"/>
      <c r="G285" s="71"/>
    </row>
    <row r="286">
      <c r="A286" s="71"/>
      <c r="B286" s="61"/>
      <c r="C286" s="71"/>
      <c r="D286" s="61"/>
      <c r="E286" s="61"/>
      <c r="F286" s="71"/>
      <c r="G286" s="71"/>
    </row>
    <row r="287">
      <c r="A287" s="71"/>
      <c r="B287" s="61"/>
      <c r="C287" s="71"/>
      <c r="D287" s="61"/>
      <c r="E287" s="61"/>
      <c r="F287" s="71"/>
      <c r="G287" s="71"/>
    </row>
    <row r="288">
      <c r="A288" s="71"/>
      <c r="B288" s="61"/>
      <c r="C288" s="71"/>
      <c r="D288" s="61"/>
      <c r="E288" s="61"/>
      <c r="F288" s="71"/>
      <c r="G288" s="71"/>
    </row>
    <row r="289">
      <c r="A289" s="71"/>
      <c r="B289" s="61"/>
      <c r="C289" s="71"/>
      <c r="D289" s="61"/>
      <c r="E289" s="61"/>
      <c r="F289" s="71"/>
      <c r="G289" s="71"/>
    </row>
    <row r="290">
      <c r="A290" s="71"/>
      <c r="B290" s="61"/>
      <c r="C290" s="71"/>
      <c r="D290" s="61"/>
      <c r="E290" s="61"/>
      <c r="F290" s="71"/>
      <c r="G290" s="71"/>
    </row>
    <row r="291">
      <c r="A291" s="71"/>
      <c r="B291" s="61"/>
      <c r="C291" s="71"/>
      <c r="D291" s="61"/>
      <c r="E291" s="61"/>
      <c r="F291" s="71"/>
      <c r="G291" s="71"/>
    </row>
    <row r="292">
      <c r="A292" s="71"/>
      <c r="B292" s="61"/>
      <c r="C292" s="71"/>
      <c r="D292" s="61"/>
      <c r="E292" s="61"/>
      <c r="F292" s="71"/>
      <c r="G292" s="71"/>
    </row>
    <row r="293">
      <c r="A293" s="71"/>
      <c r="B293" s="61"/>
      <c r="C293" s="71"/>
      <c r="D293" s="61"/>
      <c r="E293" s="61"/>
      <c r="F293" s="71"/>
      <c r="G293" s="71"/>
    </row>
    <row r="294">
      <c r="A294" s="71"/>
      <c r="B294" s="61"/>
      <c r="C294" s="71"/>
      <c r="D294" s="61"/>
      <c r="E294" s="61"/>
      <c r="F294" s="71"/>
      <c r="G294" s="71"/>
    </row>
    <row r="295">
      <c r="A295" s="71"/>
      <c r="B295" s="61"/>
      <c r="C295" s="71"/>
      <c r="D295" s="61"/>
      <c r="E295" s="61"/>
      <c r="F295" s="71"/>
      <c r="G295" s="71"/>
    </row>
    <row r="296">
      <c r="A296" s="71"/>
      <c r="B296" s="61"/>
      <c r="C296" s="71"/>
      <c r="D296" s="61"/>
      <c r="E296" s="61"/>
      <c r="F296" s="71"/>
      <c r="G296" s="71"/>
    </row>
    <row r="297">
      <c r="A297" s="71"/>
      <c r="B297" s="61"/>
      <c r="C297" s="71"/>
      <c r="D297" s="61"/>
      <c r="E297" s="61"/>
      <c r="F297" s="71"/>
      <c r="G297" s="71"/>
    </row>
    <row r="298">
      <c r="A298" s="71"/>
      <c r="B298" s="61"/>
      <c r="C298" s="71"/>
      <c r="D298" s="61"/>
      <c r="E298" s="61"/>
      <c r="F298" s="71"/>
      <c r="G298" s="71"/>
    </row>
    <row r="299">
      <c r="A299" s="71"/>
      <c r="B299" s="61"/>
      <c r="C299" s="71"/>
      <c r="D299" s="61"/>
      <c r="E299" s="61"/>
      <c r="F299" s="71"/>
      <c r="G299" s="71"/>
    </row>
    <row r="300">
      <c r="A300" s="71"/>
      <c r="B300" s="61"/>
      <c r="C300" s="71"/>
      <c r="D300" s="61"/>
      <c r="E300" s="61"/>
      <c r="F300" s="71"/>
      <c r="G300" s="71"/>
    </row>
    <row r="301">
      <c r="A301" s="71"/>
      <c r="B301" s="61"/>
      <c r="C301" s="71"/>
      <c r="D301" s="61"/>
      <c r="E301" s="61"/>
      <c r="F301" s="71"/>
      <c r="G301" s="71"/>
    </row>
    <row r="302">
      <c r="A302" s="71"/>
      <c r="B302" s="61"/>
      <c r="C302" s="71"/>
      <c r="D302" s="61"/>
      <c r="E302" s="61"/>
      <c r="F302" s="71"/>
      <c r="G302" s="71"/>
    </row>
    <row r="303">
      <c r="A303" s="71"/>
      <c r="B303" s="61"/>
      <c r="C303" s="71"/>
      <c r="D303" s="61"/>
      <c r="E303" s="61"/>
      <c r="F303" s="71"/>
      <c r="G303" s="71"/>
    </row>
    <row r="304">
      <c r="A304" s="71"/>
      <c r="B304" s="61"/>
      <c r="C304" s="71"/>
      <c r="D304" s="61"/>
      <c r="E304" s="61"/>
      <c r="F304" s="71"/>
      <c r="G304" s="71"/>
    </row>
    <row r="305">
      <c r="A305" s="71"/>
      <c r="B305" s="61"/>
      <c r="C305" s="71"/>
      <c r="D305" s="61"/>
      <c r="E305" s="61"/>
      <c r="F305" s="71"/>
      <c r="G305" s="71"/>
    </row>
    <row r="306">
      <c r="A306" s="71"/>
      <c r="B306" s="61"/>
      <c r="C306" s="71"/>
      <c r="D306" s="61"/>
      <c r="E306" s="61"/>
      <c r="F306" s="71"/>
      <c r="G306" s="71"/>
    </row>
    <row r="307">
      <c r="A307" s="71"/>
      <c r="B307" s="61"/>
      <c r="C307" s="71"/>
      <c r="D307" s="61"/>
      <c r="E307" s="61"/>
      <c r="F307" s="71"/>
      <c r="G307" s="71"/>
    </row>
    <row r="308">
      <c r="A308" s="71"/>
      <c r="B308" s="61"/>
      <c r="C308" s="71"/>
      <c r="D308" s="61"/>
      <c r="E308" s="61"/>
      <c r="F308" s="71"/>
      <c r="G308" s="71"/>
    </row>
    <row r="309">
      <c r="A309" s="71"/>
      <c r="B309" s="61"/>
      <c r="C309" s="71"/>
      <c r="D309" s="61"/>
      <c r="E309" s="61"/>
      <c r="F309" s="71"/>
      <c r="G309" s="71"/>
    </row>
    <row r="310">
      <c r="A310" s="71"/>
      <c r="B310" s="61"/>
      <c r="C310" s="71"/>
      <c r="D310" s="61"/>
      <c r="E310" s="61"/>
      <c r="F310" s="71"/>
      <c r="G310" s="71"/>
    </row>
    <row r="311">
      <c r="A311" s="71"/>
      <c r="B311" s="61"/>
      <c r="C311" s="71"/>
      <c r="D311" s="61"/>
      <c r="E311" s="61"/>
      <c r="F311" s="71"/>
      <c r="G311" s="71"/>
    </row>
    <row r="312">
      <c r="A312" s="71"/>
      <c r="B312" s="61"/>
      <c r="C312" s="71"/>
      <c r="D312" s="61"/>
      <c r="E312" s="61"/>
      <c r="F312" s="71"/>
      <c r="G312" s="71"/>
    </row>
    <row r="313">
      <c r="A313" s="71"/>
      <c r="B313" s="61"/>
      <c r="C313" s="71"/>
      <c r="D313" s="61"/>
      <c r="E313" s="61"/>
      <c r="F313" s="71"/>
      <c r="G313" s="71"/>
    </row>
    <row r="314">
      <c r="A314" s="71"/>
      <c r="B314" s="61"/>
      <c r="C314" s="71"/>
      <c r="D314" s="61"/>
      <c r="E314" s="61"/>
      <c r="F314" s="71"/>
      <c r="G314" s="71"/>
    </row>
    <row r="315">
      <c r="A315" s="71"/>
      <c r="B315" s="61"/>
      <c r="C315" s="71"/>
      <c r="D315" s="61"/>
      <c r="E315" s="61"/>
      <c r="F315" s="71"/>
      <c r="G315" s="71"/>
    </row>
    <row r="316">
      <c r="A316" s="71"/>
      <c r="B316" s="61"/>
      <c r="C316" s="71"/>
      <c r="D316" s="61"/>
      <c r="E316" s="61"/>
      <c r="F316" s="71"/>
      <c r="G316" s="71"/>
    </row>
    <row r="317">
      <c r="A317" s="71"/>
      <c r="B317" s="61"/>
      <c r="C317" s="71"/>
      <c r="D317" s="61"/>
      <c r="E317" s="61"/>
      <c r="F317" s="71"/>
      <c r="G317" s="71"/>
    </row>
    <row r="318">
      <c r="A318" s="71"/>
      <c r="B318" s="61"/>
      <c r="C318" s="71"/>
      <c r="D318" s="61"/>
      <c r="E318" s="61"/>
      <c r="F318" s="71"/>
      <c r="G318" s="71"/>
    </row>
    <row r="319">
      <c r="A319" s="71"/>
      <c r="B319" s="61"/>
      <c r="C319" s="71"/>
      <c r="D319" s="61"/>
      <c r="E319" s="61"/>
      <c r="F319" s="71"/>
      <c r="G319" s="71"/>
    </row>
    <row r="320">
      <c r="A320" s="71"/>
      <c r="B320" s="61"/>
      <c r="C320" s="71"/>
      <c r="D320" s="61"/>
      <c r="E320" s="61"/>
      <c r="F320" s="71"/>
      <c r="G320" s="71"/>
    </row>
    <row r="321">
      <c r="A321" s="71"/>
      <c r="B321" s="61"/>
      <c r="C321" s="71"/>
      <c r="D321" s="61"/>
      <c r="E321" s="61"/>
      <c r="F321" s="71"/>
      <c r="G321" s="71"/>
    </row>
    <row r="322">
      <c r="A322" s="71"/>
      <c r="B322" s="61"/>
      <c r="C322" s="71"/>
      <c r="D322" s="61"/>
      <c r="E322" s="61"/>
      <c r="F322" s="71"/>
      <c r="G322" s="71"/>
    </row>
    <row r="323">
      <c r="A323" s="71"/>
      <c r="B323" s="61"/>
      <c r="C323" s="71"/>
      <c r="D323" s="61"/>
      <c r="E323" s="61"/>
      <c r="F323" s="71"/>
      <c r="G323" s="71"/>
    </row>
    <row r="324">
      <c r="A324" s="71"/>
      <c r="B324" s="61"/>
      <c r="C324" s="71"/>
      <c r="D324" s="61"/>
      <c r="E324" s="61"/>
      <c r="F324" s="71"/>
      <c r="G324" s="71"/>
    </row>
    <row r="325">
      <c r="A325" s="71"/>
      <c r="B325" s="61"/>
      <c r="C325" s="71"/>
      <c r="D325" s="61"/>
      <c r="E325" s="61"/>
      <c r="F325" s="71"/>
      <c r="G325" s="71"/>
    </row>
    <row r="326">
      <c r="A326" s="71"/>
      <c r="B326" s="61"/>
      <c r="C326" s="71"/>
      <c r="D326" s="61"/>
      <c r="E326" s="61"/>
      <c r="F326" s="71"/>
      <c r="G326" s="71"/>
    </row>
    <row r="327">
      <c r="A327" s="71"/>
      <c r="B327" s="61"/>
      <c r="C327" s="71"/>
      <c r="D327" s="61"/>
      <c r="E327" s="61"/>
      <c r="F327" s="71"/>
      <c r="G327" s="71"/>
    </row>
    <row r="328">
      <c r="A328" s="71"/>
      <c r="B328" s="61"/>
      <c r="C328" s="71"/>
      <c r="D328" s="61"/>
      <c r="E328" s="61"/>
      <c r="F328" s="71"/>
      <c r="G328" s="71"/>
    </row>
    <row r="329">
      <c r="A329" s="71"/>
      <c r="B329" s="61"/>
      <c r="C329" s="71"/>
      <c r="D329" s="61"/>
      <c r="E329" s="61"/>
      <c r="F329" s="71"/>
      <c r="G329" s="71"/>
    </row>
    <row r="330">
      <c r="A330" s="71"/>
      <c r="B330" s="61"/>
      <c r="C330" s="71"/>
      <c r="D330" s="61"/>
      <c r="E330" s="61"/>
      <c r="F330" s="71"/>
      <c r="G330" s="71"/>
    </row>
    <row r="331">
      <c r="A331" s="71"/>
      <c r="B331" s="61"/>
      <c r="C331" s="71"/>
      <c r="D331" s="61"/>
      <c r="E331" s="61"/>
      <c r="F331" s="71"/>
      <c r="G331" s="71"/>
    </row>
    <row r="332">
      <c r="A332" s="71"/>
      <c r="B332" s="61"/>
      <c r="C332" s="71"/>
      <c r="D332" s="61"/>
      <c r="E332" s="61"/>
      <c r="F332" s="71"/>
      <c r="G332" s="71"/>
    </row>
    <row r="333">
      <c r="A333" s="71"/>
      <c r="B333" s="61"/>
      <c r="C333" s="71"/>
      <c r="D333" s="61"/>
      <c r="E333" s="61"/>
      <c r="F333" s="71"/>
      <c r="G333" s="71"/>
    </row>
    <row r="334">
      <c r="A334" s="71"/>
      <c r="B334" s="61"/>
      <c r="C334" s="71"/>
      <c r="D334" s="61"/>
      <c r="E334" s="61"/>
      <c r="F334" s="71"/>
      <c r="G334" s="71"/>
    </row>
    <row r="335">
      <c r="A335" s="71"/>
      <c r="B335" s="61"/>
      <c r="C335" s="71"/>
      <c r="D335" s="61"/>
      <c r="E335" s="61"/>
      <c r="F335" s="71"/>
      <c r="G335" s="71"/>
    </row>
    <row r="336">
      <c r="A336" s="71"/>
      <c r="B336" s="61"/>
      <c r="C336" s="71"/>
      <c r="D336" s="61"/>
      <c r="E336" s="61"/>
      <c r="F336" s="71"/>
      <c r="G336" s="71"/>
    </row>
    <row r="337">
      <c r="A337" s="71"/>
      <c r="B337" s="61"/>
      <c r="C337" s="71"/>
      <c r="D337" s="61"/>
      <c r="E337" s="61"/>
      <c r="F337" s="71"/>
      <c r="G337" s="71"/>
    </row>
    <row r="338">
      <c r="A338" s="71"/>
      <c r="B338" s="61"/>
      <c r="C338" s="71"/>
      <c r="D338" s="61"/>
      <c r="E338" s="61"/>
      <c r="F338" s="71"/>
      <c r="G338" s="71"/>
    </row>
    <row r="339">
      <c r="A339" s="71"/>
      <c r="B339" s="61"/>
      <c r="C339" s="71"/>
      <c r="D339" s="61"/>
      <c r="E339" s="61"/>
      <c r="F339" s="71"/>
      <c r="G339" s="71"/>
    </row>
    <row r="340">
      <c r="A340" s="71"/>
      <c r="B340" s="61"/>
      <c r="C340" s="71"/>
      <c r="D340" s="61"/>
      <c r="E340" s="61"/>
      <c r="F340" s="71"/>
      <c r="G340" s="71"/>
    </row>
    <row r="341">
      <c r="A341" s="71"/>
      <c r="B341" s="61"/>
      <c r="C341" s="71"/>
      <c r="D341" s="61"/>
      <c r="E341" s="61"/>
      <c r="F341" s="71"/>
      <c r="G341" s="71"/>
    </row>
    <row r="342">
      <c r="A342" s="71"/>
      <c r="B342" s="61"/>
      <c r="C342" s="71"/>
      <c r="D342" s="61"/>
      <c r="E342" s="61"/>
      <c r="F342" s="71"/>
      <c r="G342" s="71"/>
    </row>
    <row r="343">
      <c r="A343" s="71"/>
      <c r="B343" s="61"/>
      <c r="C343" s="71"/>
      <c r="D343" s="61"/>
      <c r="E343" s="61"/>
      <c r="F343" s="71"/>
      <c r="G343" s="71"/>
    </row>
    <row r="344">
      <c r="A344" s="71"/>
      <c r="B344" s="61"/>
      <c r="C344" s="71"/>
      <c r="D344" s="61"/>
      <c r="E344" s="61"/>
      <c r="F344" s="71"/>
      <c r="G344" s="71"/>
    </row>
    <row r="345">
      <c r="A345" s="71"/>
      <c r="B345" s="61"/>
      <c r="C345" s="71"/>
      <c r="D345" s="61"/>
      <c r="E345" s="61"/>
      <c r="F345" s="71"/>
      <c r="G345" s="71"/>
    </row>
    <row r="346">
      <c r="A346" s="71"/>
      <c r="B346" s="61"/>
      <c r="C346" s="71"/>
      <c r="D346" s="61"/>
      <c r="E346" s="61"/>
      <c r="F346" s="71"/>
      <c r="G346" s="71"/>
    </row>
    <row r="347">
      <c r="A347" s="71"/>
      <c r="B347" s="61"/>
      <c r="C347" s="71"/>
      <c r="D347" s="61"/>
      <c r="E347" s="61"/>
      <c r="F347" s="71"/>
      <c r="G347" s="71"/>
    </row>
    <row r="348">
      <c r="A348" s="71"/>
      <c r="B348" s="61"/>
      <c r="C348" s="71"/>
      <c r="D348" s="61"/>
      <c r="E348" s="61"/>
      <c r="F348" s="71"/>
      <c r="G348" s="71"/>
    </row>
    <row r="349">
      <c r="A349" s="71"/>
      <c r="B349" s="61"/>
      <c r="C349" s="71"/>
      <c r="D349" s="61"/>
      <c r="E349" s="61"/>
      <c r="F349" s="71"/>
      <c r="G349" s="71"/>
    </row>
    <row r="350">
      <c r="A350" s="71"/>
      <c r="B350" s="61"/>
      <c r="C350" s="71"/>
      <c r="D350" s="61"/>
      <c r="E350" s="61"/>
      <c r="F350" s="71"/>
      <c r="G350" s="71"/>
    </row>
    <row r="351">
      <c r="A351" s="71"/>
      <c r="B351" s="61"/>
      <c r="C351" s="71"/>
      <c r="D351" s="61"/>
      <c r="E351" s="61"/>
      <c r="F351" s="71"/>
      <c r="G351" s="71"/>
    </row>
    <row r="352">
      <c r="A352" s="71"/>
      <c r="B352" s="61"/>
      <c r="C352" s="71"/>
      <c r="D352" s="61"/>
      <c r="E352" s="61"/>
      <c r="F352" s="71"/>
      <c r="G352" s="71"/>
    </row>
    <row r="353">
      <c r="A353" s="71"/>
      <c r="B353" s="61"/>
      <c r="C353" s="71"/>
      <c r="D353" s="61"/>
      <c r="E353" s="61"/>
      <c r="F353" s="71"/>
      <c r="G353" s="71"/>
    </row>
    <row r="354">
      <c r="A354" s="71"/>
      <c r="B354" s="61"/>
      <c r="C354" s="71"/>
      <c r="D354" s="61"/>
      <c r="E354" s="61"/>
      <c r="F354" s="71"/>
      <c r="G354" s="71"/>
    </row>
    <row r="355">
      <c r="A355" s="71"/>
      <c r="B355" s="61"/>
      <c r="C355" s="71"/>
      <c r="D355" s="61"/>
      <c r="E355" s="61"/>
      <c r="F355" s="71"/>
      <c r="G355" s="71"/>
    </row>
    <row r="356">
      <c r="A356" s="71"/>
      <c r="B356" s="61"/>
      <c r="C356" s="71"/>
      <c r="D356" s="61"/>
      <c r="E356" s="61"/>
      <c r="F356" s="71"/>
      <c r="G356" s="71"/>
    </row>
    <row r="357">
      <c r="A357" s="71"/>
      <c r="B357" s="61"/>
      <c r="C357" s="71"/>
      <c r="D357" s="61"/>
      <c r="E357" s="61"/>
      <c r="F357" s="71"/>
      <c r="G357" s="71"/>
    </row>
    <row r="358">
      <c r="A358" s="71"/>
      <c r="B358" s="61"/>
      <c r="C358" s="71"/>
      <c r="D358" s="61"/>
      <c r="E358" s="61"/>
      <c r="F358" s="71"/>
      <c r="G358" s="71"/>
    </row>
    <row r="359">
      <c r="A359" s="71"/>
      <c r="B359" s="61"/>
      <c r="C359" s="71"/>
      <c r="D359" s="61"/>
      <c r="E359" s="61"/>
      <c r="F359" s="71"/>
      <c r="G359" s="71"/>
    </row>
    <row r="360">
      <c r="A360" s="71"/>
      <c r="B360" s="61"/>
      <c r="C360" s="71"/>
      <c r="D360" s="61"/>
      <c r="E360" s="61"/>
      <c r="F360" s="71"/>
      <c r="G360" s="71"/>
    </row>
    <row r="361">
      <c r="A361" s="71"/>
      <c r="B361" s="61"/>
      <c r="C361" s="71"/>
      <c r="D361" s="61"/>
      <c r="E361" s="61"/>
      <c r="F361" s="71"/>
      <c r="G361" s="71"/>
    </row>
    <row r="362">
      <c r="A362" s="71"/>
      <c r="B362" s="61"/>
      <c r="C362" s="71"/>
      <c r="D362" s="61"/>
      <c r="E362" s="61"/>
      <c r="F362" s="71"/>
      <c r="G362" s="71"/>
    </row>
    <row r="363">
      <c r="A363" s="71"/>
      <c r="B363" s="61"/>
      <c r="C363" s="71"/>
      <c r="D363" s="61"/>
      <c r="E363" s="61"/>
      <c r="F363" s="71"/>
      <c r="G363" s="71"/>
    </row>
    <row r="364">
      <c r="A364" s="71"/>
      <c r="B364" s="61"/>
      <c r="C364" s="71"/>
      <c r="D364" s="61"/>
      <c r="E364" s="61"/>
      <c r="F364" s="71"/>
      <c r="G364" s="71"/>
    </row>
    <row r="365">
      <c r="A365" s="71"/>
      <c r="B365" s="61"/>
      <c r="C365" s="71"/>
      <c r="D365" s="61"/>
      <c r="E365" s="61"/>
      <c r="F365" s="71"/>
      <c r="G365" s="71"/>
    </row>
    <row r="366">
      <c r="A366" s="71"/>
      <c r="B366" s="61"/>
      <c r="C366" s="71"/>
      <c r="D366" s="61"/>
      <c r="E366" s="61"/>
      <c r="F366" s="71"/>
      <c r="G366" s="71"/>
    </row>
    <row r="367">
      <c r="A367" s="71"/>
      <c r="B367" s="61"/>
      <c r="C367" s="71"/>
      <c r="D367" s="61"/>
      <c r="E367" s="61"/>
      <c r="F367" s="71"/>
      <c r="G367" s="71"/>
    </row>
    <row r="368">
      <c r="A368" s="71"/>
      <c r="B368" s="61"/>
      <c r="C368" s="71"/>
      <c r="D368" s="61"/>
      <c r="E368" s="61"/>
      <c r="F368" s="71"/>
      <c r="G368" s="71"/>
    </row>
    <row r="369">
      <c r="A369" s="71"/>
      <c r="B369" s="61"/>
      <c r="C369" s="71"/>
      <c r="D369" s="61"/>
      <c r="E369" s="61"/>
      <c r="F369" s="71"/>
      <c r="G369" s="71"/>
    </row>
    <row r="370">
      <c r="A370" s="71"/>
      <c r="B370" s="61"/>
      <c r="C370" s="71"/>
      <c r="D370" s="61"/>
      <c r="E370" s="61"/>
      <c r="F370" s="71"/>
      <c r="G370" s="71"/>
    </row>
    <row r="371">
      <c r="A371" s="71"/>
      <c r="B371" s="61"/>
      <c r="C371" s="71"/>
      <c r="D371" s="61"/>
      <c r="E371" s="61"/>
      <c r="F371" s="71"/>
      <c r="G371" s="71"/>
    </row>
    <row r="372">
      <c r="A372" s="71"/>
      <c r="B372" s="61"/>
      <c r="C372" s="71"/>
      <c r="D372" s="61"/>
      <c r="E372" s="61"/>
      <c r="F372" s="71"/>
      <c r="G372" s="71"/>
    </row>
    <row r="373">
      <c r="A373" s="71"/>
      <c r="B373" s="61"/>
      <c r="C373" s="71"/>
      <c r="D373" s="61"/>
      <c r="E373" s="61"/>
      <c r="F373" s="71"/>
      <c r="G373" s="71"/>
    </row>
    <row r="374">
      <c r="A374" s="71"/>
      <c r="B374" s="61"/>
      <c r="C374" s="71"/>
      <c r="D374" s="61"/>
      <c r="E374" s="61"/>
      <c r="F374" s="71"/>
      <c r="G374" s="71"/>
    </row>
    <row r="375">
      <c r="A375" s="71"/>
      <c r="B375" s="61"/>
      <c r="C375" s="71"/>
      <c r="D375" s="61"/>
      <c r="E375" s="61"/>
      <c r="F375" s="71"/>
      <c r="G375" s="71"/>
    </row>
    <row r="376">
      <c r="A376" s="71"/>
      <c r="B376" s="61"/>
      <c r="C376" s="71"/>
      <c r="D376" s="61"/>
      <c r="E376" s="61"/>
      <c r="F376" s="71"/>
      <c r="G376" s="71"/>
    </row>
    <row r="377">
      <c r="A377" s="71"/>
      <c r="B377" s="61"/>
      <c r="C377" s="71"/>
      <c r="D377" s="61"/>
      <c r="E377" s="61"/>
      <c r="F377" s="71"/>
      <c r="G377" s="71"/>
    </row>
    <row r="378">
      <c r="A378" s="71"/>
      <c r="B378" s="61"/>
      <c r="C378" s="71"/>
      <c r="D378" s="61"/>
      <c r="E378" s="61"/>
      <c r="F378" s="71"/>
      <c r="G378" s="71"/>
    </row>
    <row r="379">
      <c r="A379" s="71"/>
      <c r="B379" s="61"/>
      <c r="C379" s="71"/>
      <c r="D379" s="61"/>
      <c r="E379" s="61"/>
      <c r="F379" s="71"/>
      <c r="G379" s="71"/>
    </row>
    <row r="380">
      <c r="A380" s="71"/>
      <c r="B380" s="61"/>
      <c r="C380" s="71"/>
      <c r="D380" s="61"/>
      <c r="E380" s="61"/>
      <c r="F380" s="71"/>
      <c r="G380" s="71"/>
    </row>
    <row r="381">
      <c r="A381" s="71"/>
      <c r="B381" s="61"/>
      <c r="C381" s="71"/>
      <c r="D381" s="61"/>
      <c r="E381" s="61"/>
      <c r="F381" s="71"/>
      <c r="G381" s="71"/>
    </row>
    <row r="382">
      <c r="A382" s="71"/>
      <c r="B382" s="61"/>
      <c r="C382" s="71"/>
      <c r="D382" s="61"/>
      <c r="E382" s="61"/>
      <c r="F382" s="71"/>
      <c r="G382" s="71"/>
    </row>
    <row r="383">
      <c r="A383" s="71"/>
      <c r="B383" s="61"/>
      <c r="C383" s="71"/>
      <c r="D383" s="61"/>
      <c r="E383" s="61"/>
      <c r="F383" s="71"/>
      <c r="G383" s="71"/>
    </row>
    <row r="384">
      <c r="A384" s="71"/>
      <c r="B384" s="61"/>
      <c r="C384" s="71"/>
      <c r="D384" s="61"/>
      <c r="E384" s="61"/>
      <c r="F384" s="71"/>
      <c r="G384" s="71"/>
    </row>
    <row r="385">
      <c r="A385" s="71"/>
      <c r="B385" s="61"/>
      <c r="C385" s="71"/>
      <c r="D385" s="61"/>
      <c r="E385" s="61"/>
      <c r="F385" s="71"/>
      <c r="G385" s="71"/>
    </row>
    <row r="386">
      <c r="A386" s="71"/>
      <c r="B386" s="61"/>
      <c r="C386" s="71"/>
      <c r="D386" s="61"/>
      <c r="E386" s="61"/>
      <c r="F386" s="71"/>
      <c r="G386" s="71"/>
    </row>
    <row r="387">
      <c r="A387" s="71"/>
      <c r="B387" s="61"/>
      <c r="C387" s="71"/>
      <c r="D387" s="61"/>
      <c r="E387" s="61"/>
      <c r="F387" s="71"/>
      <c r="G387" s="71"/>
    </row>
    <row r="388">
      <c r="A388" s="71"/>
      <c r="B388" s="61"/>
      <c r="C388" s="71"/>
      <c r="D388" s="61"/>
      <c r="E388" s="61"/>
      <c r="F388" s="71"/>
      <c r="G388" s="71"/>
    </row>
    <row r="389">
      <c r="A389" s="71"/>
      <c r="B389" s="61"/>
      <c r="C389" s="71"/>
      <c r="D389" s="61"/>
      <c r="E389" s="61"/>
      <c r="F389" s="71"/>
      <c r="G389" s="71"/>
    </row>
    <row r="390">
      <c r="A390" s="71"/>
      <c r="B390" s="61"/>
      <c r="C390" s="71"/>
      <c r="D390" s="61"/>
      <c r="E390" s="61"/>
      <c r="F390" s="71"/>
      <c r="G390" s="71"/>
    </row>
    <row r="391">
      <c r="A391" s="71"/>
      <c r="B391" s="61"/>
      <c r="C391" s="71"/>
      <c r="D391" s="61"/>
      <c r="E391" s="61"/>
      <c r="F391" s="71"/>
      <c r="G391" s="71"/>
    </row>
    <row r="392">
      <c r="A392" s="71"/>
      <c r="B392" s="61"/>
      <c r="C392" s="71"/>
      <c r="D392" s="61"/>
      <c r="E392" s="61"/>
      <c r="F392" s="71"/>
      <c r="G392" s="71"/>
    </row>
    <row r="393">
      <c r="A393" s="71"/>
      <c r="B393" s="61"/>
      <c r="C393" s="71"/>
      <c r="D393" s="61"/>
      <c r="E393" s="61"/>
      <c r="F393" s="71"/>
      <c r="G393" s="71"/>
    </row>
    <row r="394">
      <c r="A394" s="71"/>
      <c r="B394" s="61"/>
      <c r="C394" s="71"/>
      <c r="D394" s="61"/>
      <c r="E394" s="61"/>
      <c r="F394" s="71"/>
      <c r="G394" s="71"/>
    </row>
    <row r="395">
      <c r="A395" s="71"/>
      <c r="B395" s="61"/>
      <c r="C395" s="71"/>
      <c r="D395" s="61"/>
      <c r="E395" s="61"/>
      <c r="F395" s="71"/>
      <c r="G395" s="71"/>
    </row>
    <row r="396">
      <c r="A396" s="71"/>
      <c r="B396" s="61"/>
      <c r="C396" s="71"/>
      <c r="D396" s="61"/>
      <c r="E396" s="61"/>
      <c r="F396" s="71"/>
      <c r="G396" s="71"/>
    </row>
    <row r="397">
      <c r="A397" s="71"/>
      <c r="B397" s="61"/>
      <c r="C397" s="71"/>
      <c r="D397" s="61"/>
      <c r="E397" s="61"/>
      <c r="F397" s="71"/>
      <c r="G397" s="71"/>
    </row>
    <row r="398">
      <c r="A398" s="71"/>
      <c r="B398" s="61"/>
      <c r="C398" s="71"/>
      <c r="D398" s="61"/>
      <c r="E398" s="61"/>
      <c r="F398" s="71"/>
      <c r="G398" s="71"/>
    </row>
    <row r="399">
      <c r="A399" s="71"/>
      <c r="B399" s="61"/>
      <c r="C399" s="71"/>
      <c r="D399" s="61"/>
      <c r="E399" s="61"/>
      <c r="F399" s="71"/>
      <c r="G399" s="71"/>
    </row>
    <row r="400">
      <c r="A400" s="71"/>
      <c r="B400" s="61"/>
      <c r="C400" s="71"/>
      <c r="D400" s="61"/>
      <c r="E400" s="61"/>
      <c r="F400" s="71"/>
      <c r="G400" s="71"/>
    </row>
    <row r="401">
      <c r="A401" s="71"/>
      <c r="B401" s="61"/>
      <c r="C401" s="71"/>
      <c r="D401" s="61"/>
      <c r="E401" s="61"/>
      <c r="F401" s="71"/>
      <c r="G401" s="71"/>
    </row>
    <row r="402">
      <c r="A402" s="71"/>
      <c r="B402" s="61"/>
      <c r="C402" s="71"/>
      <c r="D402" s="61"/>
      <c r="E402" s="61"/>
      <c r="F402" s="71"/>
      <c r="G402" s="71"/>
    </row>
    <row r="403">
      <c r="A403" s="71"/>
      <c r="B403" s="61"/>
      <c r="C403" s="71"/>
      <c r="D403" s="61"/>
      <c r="E403" s="61"/>
      <c r="F403" s="71"/>
      <c r="G403" s="71"/>
    </row>
    <row r="404">
      <c r="A404" s="71"/>
      <c r="B404" s="61"/>
      <c r="C404" s="71"/>
      <c r="D404" s="61"/>
      <c r="E404" s="61"/>
      <c r="F404" s="71"/>
      <c r="G404" s="71"/>
    </row>
    <row r="405">
      <c r="A405" s="71"/>
      <c r="B405" s="61"/>
      <c r="C405" s="71"/>
      <c r="D405" s="61"/>
      <c r="E405" s="61"/>
      <c r="F405" s="71"/>
      <c r="G405" s="71"/>
    </row>
    <row r="406">
      <c r="A406" s="71"/>
      <c r="B406" s="61"/>
      <c r="C406" s="71"/>
      <c r="D406" s="61"/>
      <c r="E406" s="61"/>
      <c r="F406" s="71"/>
      <c r="G406" s="71"/>
    </row>
    <row r="407">
      <c r="A407" s="71"/>
      <c r="B407" s="61"/>
      <c r="C407" s="71"/>
      <c r="D407" s="61"/>
      <c r="E407" s="61"/>
      <c r="F407" s="71"/>
      <c r="G407" s="71"/>
    </row>
    <row r="408">
      <c r="A408" s="71"/>
      <c r="B408" s="61"/>
      <c r="C408" s="71"/>
      <c r="D408" s="61"/>
      <c r="E408" s="61"/>
      <c r="F408" s="71"/>
      <c r="G408" s="71"/>
    </row>
    <row r="409">
      <c r="A409" s="71"/>
      <c r="B409" s="61"/>
      <c r="C409" s="71"/>
      <c r="D409" s="61"/>
      <c r="E409" s="61"/>
      <c r="F409" s="71"/>
      <c r="G409" s="71"/>
    </row>
    <row r="410">
      <c r="A410" s="71"/>
      <c r="B410" s="61"/>
      <c r="C410" s="71"/>
      <c r="D410" s="61"/>
      <c r="E410" s="61"/>
      <c r="F410" s="71"/>
      <c r="G410" s="71"/>
    </row>
    <row r="411">
      <c r="A411" s="71"/>
      <c r="B411" s="61"/>
      <c r="C411" s="71"/>
      <c r="D411" s="61"/>
      <c r="E411" s="61"/>
      <c r="F411" s="71"/>
      <c r="G411" s="71"/>
    </row>
    <row r="412">
      <c r="A412" s="71"/>
      <c r="B412" s="61"/>
      <c r="C412" s="71"/>
      <c r="D412" s="61"/>
      <c r="E412" s="61"/>
      <c r="F412" s="71"/>
      <c r="G412" s="71"/>
    </row>
    <row r="413">
      <c r="A413" s="71"/>
      <c r="B413" s="61"/>
      <c r="C413" s="71"/>
      <c r="D413" s="61"/>
      <c r="E413" s="61"/>
      <c r="F413" s="71"/>
      <c r="G413" s="71"/>
    </row>
    <row r="414">
      <c r="A414" s="71"/>
      <c r="B414" s="61"/>
      <c r="C414" s="71"/>
      <c r="D414" s="61"/>
      <c r="E414" s="61"/>
      <c r="F414" s="71"/>
      <c r="G414" s="71"/>
    </row>
    <row r="415">
      <c r="A415" s="71"/>
      <c r="B415" s="61"/>
      <c r="C415" s="71"/>
      <c r="D415" s="61"/>
      <c r="E415" s="61"/>
      <c r="F415" s="71"/>
      <c r="G415" s="71"/>
    </row>
    <row r="416">
      <c r="A416" s="71"/>
      <c r="B416" s="61"/>
      <c r="C416" s="71"/>
      <c r="D416" s="61"/>
      <c r="E416" s="61"/>
      <c r="F416" s="71"/>
      <c r="G416" s="71"/>
    </row>
    <row r="417">
      <c r="A417" s="71"/>
      <c r="B417" s="61"/>
      <c r="C417" s="71"/>
      <c r="D417" s="61"/>
      <c r="E417" s="61"/>
      <c r="F417" s="71"/>
      <c r="G417" s="71"/>
    </row>
    <row r="418">
      <c r="A418" s="71"/>
      <c r="B418" s="61"/>
      <c r="C418" s="71"/>
      <c r="D418" s="61"/>
      <c r="E418" s="61"/>
      <c r="F418" s="71"/>
      <c r="G418" s="71"/>
    </row>
    <row r="419">
      <c r="A419" s="71"/>
      <c r="B419" s="61"/>
      <c r="C419" s="71"/>
      <c r="D419" s="61"/>
      <c r="E419" s="61"/>
      <c r="F419" s="71"/>
      <c r="G419" s="71"/>
    </row>
    <row r="420">
      <c r="A420" s="71"/>
      <c r="B420" s="61"/>
      <c r="C420" s="71"/>
      <c r="D420" s="61"/>
      <c r="E420" s="61"/>
      <c r="F420" s="71"/>
      <c r="G420" s="71"/>
    </row>
    <row r="421">
      <c r="A421" s="71"/>
      <c r="B421" s="61"/>
      <c r="C421" s="71"/>
      <c r="D421" s="61"/>
      <c r="E421" s="61"/>
      <c r="F421" s="71"/>
      <c r="G421" s="71"/>
    </row>
    <row r="422">
      <c r="A422" s="71"/>
      <c r="B422" s="61"/>
      <c r="C422" s="71"/>
      <c r="D422" s="61"/>
      <c r="E422" s="61"/>
      <c r="F422" s="71"/>
      <c r="G422" s="71"/>
    </row>
    <row r="423">
      <c r="A423" s="71"/>
      <c r="B423" s="61"/>
      <c r="C423" s="71"/>
      <c r="D423" s="61"/>
      <c r="E423" s="61"/>
      <c r="F423" s="71"/>
      <c r="G423" s="71"/>
    </row>
    <row r="424">
      <c r="A424" s="71"/>
      <c r="B424" s="61"/>
      <c r="C424" s="71"/>
      <c r="D424" s="61"/>
      <c r="E424" s="61"/>
      <c r="F424" s="71"/>
      <c r="G424" s="71"/>
    </row>
    <row r="425">
      <c r="A425" s="71"/>
      <c r="B425" s="61"/>
      <c r="C425" s="71"/>
      <c r="D425" s="61"/>
      <c r="E425" s="61"/>
      <c r="F425" s="71"/>
      <c r="G425" s="71"/>
    </row>
    <row r="426">
      <c r="A426" s="71"/>
      <c r="B426" s="61"/>
      <c r="C426" s="71"/>
      <c r="D426" s="61"/>
      <c r="E426" s="61"/>
      <c r="F426" s="71"/>
      <c r="G426" s="71"/>
    </row>
    <row r="427">
      <c r="A427" s="71"/>
      <c r="B427" s="61"/>
      <c r="C427" s="71"/>
      <c r="D427" s="61"/>
      <c r="E427" s="61"/>
      <c r="F427" s="71"/>
      <c r="G427" s="71"/>
    </row>
    <row r="428">
      <c r="A428" s="71"/>
      <c r="B428" s="61"/>
      <c r="C428" s="71"/>
      <c r="D428" s="61"/>
      <c r="E428" s="61"/>
      <c r="F428" s="71"/>
      <c r="G428" s="71"/>
    </row>
    <row r="429">
      <c r="A429" s="71"/>
      <c r="B429" s="61"/>
      <c r="C429" s="71"/>
      <c r="D429" s="61"/>
      <c r="E429" s="61"/>
      <c r="F429" s="71"/>
      <c r="G429" s="71"/>
    </row>
    <row r="430">
      <c r="A430" s="71"/>
      <c r="B430" s="61"/>
      <c r="C430" s="71"/>
      <c r="D430" s="61"/>
      <c r="E430" s="61"/>
      <c r="F430" s="71"/>
      <c r="G430" s="71"/>
    </row>
    <row r="431">
      <c r="A431" s="71"/>
      <c r="B431" s="61"/>
      <c r="C431" s="71"/>
      <c r="D431" s="61"/>
      <c r="E431" s="61"/>
      <c r="F431" s="71"/>
      <c r="G431" s="71"/>
    </row>
    <row r="432">
      <c r="A432" s="71"/>
      <c r="B432" s="61"/>
      <c r="C432" s="71"/>
      <c r="D432" s="61"/>
      <c r="E432" s="61"/>
      <c r="F432" s="71"/>
      <c r="G432" s="71"/>
    </row>
    <row r="433">
      <c r="A433" s="71"/>
      <c r="B433" s="61"/>
      <c r="C433" s="71"/>
      <c r="D433" s="61"/>
      <c r="E433" s="61"/>
      <c r="F433" s="71"/>
      <c r="G433" s="71"/>
    </row>
    <row r="434">
      <c r="A434" s="71"/>
      <c r="B434" s="61"/>
      <c r="C434" s="71"/>
      <c r="D434" s="61"/>
      <c r="E434" s="61"/>
      <c r="F434" s="71"/>
      <c r="G434" s="71"/>
    </row>
    <row r="435">
      <c r="A435" s="71"/>
      <c r="B435" s="61"/>
      <c r="C435" s="71"/>
      <c r="D435" s="61"/>
      <c r="E435" s="61"/>
      <c r="F435" s="71"/>
      <c r="G435" s="71"/>
    </row>
    <row r="436">
      <c r="A436" s="71"/>
      <c r="B436" s="61"/>
      <c r="C436" s="71"/>
      <c r="D436" s="61"/>
      <c r="E436" s="61"/>
      <c r="F436" s="71"/>
      <c r="G436" s="71"/>
    </row>
    <row r="437">
      <c r="A437" s="71"/>
      <c r="B437" s="61"/>
      <c r="C437" s="71"/>
      <c r="D437" s="61"/>
      <c r="E437" s="61"/>
      <c r="F437" s="71"/>
      <c r="G437" s="71"/>
    </row>
    <row r="438">
      <c r="A438" s="71"/>
      <c r="B438" s="61"/>
      <c r="C438" s="71"/>
      <c r="D438" s="61"/>
      <c r="E438" s="61"/>
      <c r="F438" s="71"/>
      <c r="G438" s="71"/>
    </row>
    <row r="439">
      <c r="A439" s="71"/>
      <c r="B439" s="61"/>
      <c r="C439" s="71"/>
      <c r="D439" s="61"/>
      <c r="E439" s="61"/>
      <c r="F439" s="71"/>
      <c r="G439" s="71"/>
    </row>
    <row r="440">
      <c r="A440" s="71"/>
      <c r="B440" s="61"/>
      <c r="C440" s="71"/>
      <c r="D440" s="61"/>
      <c r="E440" s="61"/>
      <c r="F440" s="71"/>
      <c r="G440" s="71"/>
    </row>
    <row r="441">
      <c r="A441" s="71"/>
      <c r="B441" s="61"/>
      <c r="C441" s="71"/>
      <c r="D441" s="61"/>
      <c r="E441" s="61"/>
      <c r="F441" s="71"/>
      <c r="G441" s="71"/>
    </row>
    <row r="442">
      <c r="A442" s="71"/>
      <c r="B442" s="61"/>
      <c r="C442" s="71"/>
      <c r="D442" s="61"/>
      <c r="E442" s="61"/>
      <c r="F442" s="71"/>
      <c r="G442" s="71"/>
    </row>
    <row r="443">
      <c r="A443" s="71"/>
      <c r="B443" s="61"/>
      <c r="C443" s="71"/>
      <c r="D443" s="61"/>
      <c r="E443" s="61"/>
      <c r="F443" s="71"/>
      <c r="G443" s="71"/>
    </row>
    <row r="444">
      <c r="A444" s="71"/>
      <c r="B444" s="61"/>
      <c r="C444" s="71"/>
      <c r="D444" s="61"/>
      <c r="E444" s="61"/>
      <c r="F444" s="71"/>
      <c r="G444" s="71"/>
    </row>
    <row r="445">
      <c r="A445" s="71"/>
      <c r="B445" s="61"/>
      <c r="C445" s="71"/>
      <c r="D445" s="61"/>
      <c r="E445" s="61"/>
      <c r="F445" s="71"/>
      <c r="G445" s="71"/>
    </row>
    <row r="446">
      <c r="A446" s="71"/>
      <c r="B446" s="61"/>
      <c r="C446" s="71"/>
      <c r="D446" s="61"/>
      <c r="E446" s="61"/>
      <c r="F446" s="71"/>
      <c r="G446" s="71"/>
    </row>
    <row r="447">
      <c r="A447" s="71"/>
      <c r="B447" s="61"/>
      <c r="C447" s="71"/>
      <c r="D447" s="61"/>
      <c r="E447" s="61"/>
      <c r="F447" s="71"/>
      <c r="G447" s="71"/>
    </row>
    <row r="448">
      <c r="A448" s="71"/>
      <c r="B448" s="61"/>
      <c r="C448" s="71"/>
      <c r="D448" s="61"/>
      <c r="E448" s="61"/>
      <c r="F448" s="71"/>
      <c r="G448" s="71"/>
    </row>
    <row r="449">
      <c r="A449" s="71"/>
      <c r="B449" s="61"/>
      <c r="C449" s="71"/>
      <c r="D449" s="61"/>
      <c r="E449" s="61"/>
      <c r="F449" s="71"/>
      <c r="G449" s="71"/>
    </row>
    <row r="450">
      <c r="A450" s="71"/>
      <c r="B450" s="61"/>
      <c r="C450" s="71"/>
      <c r="D450" s="61"/>
      <c r="E450" s="61"/>
      <c r="F450" s="71"/>
      <c r="G450" s="71"/>
    </row>
    <row r="451">
      <c r="A451" s="71"/>
      <c r="B451" s="61"/>
      <c r="C451" s="71"/>
      <c r="D451" s="61"/>
      <c r="E451" s="61"/>
      <c r="F451" s="71"/>
      <c r="G451" s="71"/>
    </row>
    <row r="452">
      <c r="A452" s="71"/>
      <c r="B452" s="61"/>
      <c r="C452" s="71"/>
      <c r="D452" s="61"/>
      <c r="E452" s="61"/>
      <c r="F452" s="71"/>
      <c r="G452" s="71"/>
    </row>
    <row r="453">
      <c r="A453" s="71"/>
      <c r="B453" s="61"/>
      <c r="C453" s="71"/>
      <c r="D453" s="61"/>
      <c r="E453" s="61"/>
      <c r="F453" s="71"/>
      <c r="G453" s="71"/>
    </row>
    <row r="454">
      <c r="A454" s="71"/>
      <c r="B454" s="61"/>
      <c r="C454" s="71"/>
      <c r="D454" s="61"/>
      <c r="E454" s="61"/>
      <c r="F454" s="71"/>
      <c r="G454" s="71"/>
    </row>
    <row r="455">
      <c r="A455" s="71"/>
      <c r="B455" s="61"/>
      <c r="C455" s="71"/>
      <c r="D455" s="61"/>
      <c r="E455" s="61"/>
      <c r="F455" s="71"/>
      <c r="G455" s="71"/>
    </row>
    <row r="456">
      <c r="A456" s="71"/>
      <c r="B456" s="61"/>
      <c r="C456" s="71"/>
      <c r="D456" s="61"/>
      <c r="E456" s="61"/>
      <c r="F456" s="71"/>
      <c r="G456" s="71"/>
    </row>
    <row r="457">
      <c r="A457" s="71"/>
      <c r="B457" s="61"/>
      <c r="C457" s="71"/>
      <c r="D457" s="61"/>
      <c r="E457" s="61"/>
      <c r="F457" s="71"/>
      <c r="G457" s="71"/>
    </row>
    <row r="458">
      <c r="A458" s="71"/>
      <c r="B458" s="61"/>
      <c r="C458" s="71"/>
      <c r="D458" s="61"/>
      <c r="E458" s="61"/>
      <c r="F458" s="71"/>
      <c r="G458" s="71"/>
    </row>
    <row r="459">
      <c r="A459" s="71"/>
      <c r="B459" s="61"/>
      <c r="C459" s="71"/>
      <c r="D459" s="61"/>
      <c r="E459" s="61"/>
      <c r="F459" s="71"/>
      <c r="G459" s="71"/>
    </row>
    <row r="460">
      <c r="A460" s="71"/>
      <c r="B460" s="61"/>
      <c r="C460" s="71"/>
      <c r="D460" s="61"/>
      <c r="E460" s="61"/>
      <c r="F460" s="71"/>
      <c r="G460" s="71"/>
    </row>
    <row r="461">
      <c r="A461" s="71"/>
      <c r="B461" s="61"/>
      <c r="C461" s="71"/>
      <c r="D461" s="61"/>
      <c r="E461" s="61"/>
      <c r="F461" s="71"/>
      <c r="G461" s="71"/>
    </row>
    <row r="462">
      <c r="A462" s="71"/>
      <c r="B462" s="61"/>
      <c r="C462" s="71"/>
      <c r="D462" s="61"/>
      <c r="E462" s="61"/>
      <c r="F462" s="71"/>
      <c r="G462" s="71"/>
    </row>
    <row r="463">
      <c r="A463" s="71"/>
      <c r="B463" s="61"/>
      <c r="C463" s="71"/>
      <c r="D463" s="61"/>
      <c r="E463" s="61"/>
      <c r="F463" s="71"/>
      <c r="G463" s="71"/>
    </row>
    <row r="464">
      <c r="A464" s="71"/>
      <c r="B464" s="61"/>
      <c r="C464" s="71"/>
      <c r="D464" s="61"/>
      <c r="E464" s="61"/>
      <c r="F464" s="71"/>
      <c r="G464" s="71"/>
    </row>
    <row r="465">
      <c r="A465" s="71"/>
      <c r="B465" s="61"/>
      <c r="C465" s="71"/>
      <c r="D465" s="61"/>
      <c r="E465" s="61"/>
      <c r="F465" s="71"/>
      <c r="G465" s="71"/>
    </row>
    <row r="466">
      <c r="A466" s="71"/>
      <c r="B466" s="61"/>
      <c r="C466" s="71"/>
      <c r="D466" s="61"/>
      <c r="E466" s="61"/>
      <c r="F466" s="71"/>
      <c r="G466" s="71"/>
    </row>
    <row r="467">
      <c r="A467" s="71"/>
      <c r="B467" s="61"/>
      <c r="C467" s="71"/>
      <c r="D467" s="61"/>
      <c r="E467" s="61"/>
      <c r="F467" s="71"/>
      <c r="G467" s="71"/>
    </row>
    <row r="468">
      <c r="A468" s="71"/>
      <c r="B468" s="61"/>
      <c r="C468" s="71"/>
      <c r="D468" s="61"/>
      <c r="E468" s="61"/>
      <c r="F468" s="71"/>
      <c r="G468" s="71"/>
    </row>
    <row r="469">
      <c r="A469" s="71"/>
      <c r="B469" s="61"/>
      <c r="C469" s="71"/>
      <c r="D469" s="61"/>
      <c r="E469" s="61"/>
      <c r="F469" s="71"/>
      <c r="G469" s="71"/>
    </row>
    <row r="470">
      <c r="A470" s="71"/>
      <c r="B470" s="61"/>
      <c r="C470" s="71"/>
      <c r="D470" s="61"/>
      <c r="E470" s="61"/>
      <c r="F470" s="71"/>
      <c r="G470" s="71"/>
    </row>
    <row r="471">
      <c r="A471" s="71"/>
      <c r="B471" s="61"/>
      <c r="C471" s="71"/>
      <c r="D471" s="61"/>
      <c r="E471" s="61"/>
      <c r="F471" s="71"/>
      <c r="G471" s="71"/>
    </row>
    <row r="472">
      <c r="A472" s="71"/>
      <c r="B472" s="61"/>
      <c r="C472" s="71"/>
      <c r="D472" s="61"/>
      <c r="E472" s="61"/>
      <c r="F472" s="71"/>
      <c r="G472" s="71"/>
    </row>
    <row r="473">
      <c r="A473" s="71"/>
      <c r="B473" s="61"/>
      <c r="C473" s="71"/>
      <c r="D473" s="61"/>
      <c r="E473" s="61"/>
      <c r="F473" s="71"/>
      <c r="G473" s="71"/>
    </row>
    <row r="474">
      <c r="A474" s="71"/>
      <c r="B474" s="61"/>
      <c r="C474" s="71"/>
      <c r="D474" s="61"/>
      <c r="E474" s="61"/>
      <c r="F474" s="71"/>
      <c r="G474" s="71"/>
    </row>
    <row r="475">
      <c r="A475" s="71"/>
      <c r="B475" s="61"/>
      <c r="C475" s="71"/>
      <c r="D475" s="61"/>
      <c r="E475" s="61"/>
      <c r="F475" s="71"/>
      <c r="G475" s="71"/>
    </row>
    <row r="476">
      <c r="A476" s="71"/>
      <c r="B476" s="61"/>
      <c r="C476" s="71"/>
      <c r="D476" s="61"/>
      <c r="E476" s="61"/>
      <c r="F476" s="71"/>
      <c r="G476" s="71"/>
    </row>
    <row r="477">
      <c r="A477" s="71"/>
      <c r="B477" s="61"/>
      <c r="C477" s="71"/>
      <c r="D477" s="61"/>
      <c r="E477" s="61"/>
      <c r="F477" s="71"/>
      <c r="G477" s="71"/>
    </row>
    <row r="478">
      <c r="A478" s="71"/>
      <c r="B478" s="61"/>
      <c r="C478" s="71"/>
      <c r="D478" s="61"/>
      <c r="E478" s="61"/>
      <c r="F478" s="71"/>
      <c r="G478" s="71"/>
    </row>
    <row r="479">
      <c r="A479" s="71"/>
      <c r="B479" s="61"/>
      <c r="C479" s="71"/>
      <c r="D479" s="61"/>
      <c r="E479" s="61"/>
      <c r="F479" s="71"/>
      <c r="G479" s="71"/>
    </row>
    <row r="480">
      <c r="A480" s="71"/>
      <c r="B480" s="61"/>
      <c r="C480" s="71"/>
      <c r="D480" s="61"/>
      <c r="E480" s="61"/>
      <c r="F480" s="71"/>
      <c r="G480" s="71"/>
    </row>
    <row r="481">
      <c r="A481" s="71"/>
      <c r="B481" s="61"/>
      <c r="C481" s="71"/>
      <c r="D481" s="61"/>
      <c r="E481" s="61"/>
      <c r="F481" s="71"/>
      <c r="G481" s="71"/>
    </row>
    <row r="482">
      <c r="A482" s="71"/>
      <c r="B482" s="61"/>
      <c r="C482" s="71"/>
      <c r="D482" s="61"/>
      <c r="E482" s="61"/>
      <c r="F482" s="71"/>
      <c r="G482" s="71"/>
    </row>
    <row r="483">
      <c r="A483" s="71"/>
      <c r="B483" s="61"/>
      <c r="C483" s="71"/>
      <c r="D483" s="61"/>
      <c r="E483" s="61"/>
      <c r="F483" s="71"/>
      <c r="G483" s="71"/>
    </row>
    <row r="484">
      <c r="A484" s="71"/>
      <c r="B484" s="61"/>
      <c r="C484" s="71"/>
      <c r="D484" s="61"/>
      <c r="E484" s="61"/>
      <c r="F484" s="71"/>
      <c r="G484" s="71"/>
    </row>
    <row r="485">
      <c r="A485" s="71"/>
      <c r="B485" s="61"/>
      <c r="C485" s="71"/>
      <c r="D485" s="61"/>
      <c r="E485" s="61"/>
      <c r="F485" s="71"/>
      <c r="G485" s="71"/>
    </row>
    <row r="486">
      <c r="A486" s="71"/>
      <c r="B486" s="61"/>
      <c r="C486" s="71"/>
      <c r="D486" s="61"/>
      <c r="E486" s="61"/>
      <c r="F486" s="71"/>
      <c r="G486" s="71"/>
    </row>
    <row r="487">
      <c r="A487" s="71"/>
      <c r="B487" s="61"/>
      <c r="C487" s="71"/>
      <c r="D487" s="61"/>
      <c r="E487" s="61"/>
      <c r="F487" s="71"/>
      <c r="G487" s="71"/>
    </row>
    <row r="488">
      <c r="A488" s="71"/>
      <c r="B488" s="61"/>
      <c r="C488" s="71"/>
      <c r="D488" s="61"/>
      <c r="E488" s="61"/>
      <c r="F488" s="71"/>
      <c r="G488" s="71"/>
    </row>
    <row r="489">
      <c r="A489" s="71"/>
      <c r="B489" s="61"/>
      <c r="C489" s="71"/>
      <c r="D489" s="61"/>
      <c r="E489" s="61"/>
      <c r="F489" s="71"/>
      <c r="G489" s="71"/>
    </row>
    <row r="490">
      <c r="A490" s="71"/>
      <c r="B490" s="61"/>
      <c r="C490" s="71"/>
      <c r="D490" s="61"/>
      <c r="E490" s="61"/>
      <c r="F490" s="71"/>
      <c r="G490" s="71"/>
    </row>
    <row r="491">
      <c r="A491" s="71"/>
      <c r="B491" s="61"/>
      <c r="C491" s="71"/>
      <c r="D491" s="61"/>
      <c r="E491" s="61"/>
      <c r="F491" s="71"/>
      <c r="G491" s="71"/>
    </row>
    <row r="492">
      <c r="A492" s="71"/>
      <c r="B492" s="61"/>
      <c r="C492" s="71"/>
      <c r="D492" s="61"/>
      <c r="E492" s="61"/>
      <c r="F492" s="71"/>
      <c r="G492" s="71"/>
    </row>
    <row r="493">
      <c r="A493" s="71"/>
      <c r="B493" s="61"/>
      <c r="C493" s="71"/>
      <c r="D493" s="61"/>
      <c r="E493" s="61"/>
      <c r="F493" s="71"/>
      <c r="G493" s="71"/>
    </row>
    <row r="494">
      <c r="A494" s="71"/>
      <c r="B494" s="61"/>
      <c r="C494" s="71"/>
      <c r="D494" s="61"/>
      <c r="E494" s="61"/>
      <c r="F494" s="71"/>
      <c r="G494" s="71"/>
    </row>
    <row r="495">
      <c r="A495" s="71"/>
      <c r="B495" s="61"/>
      <c r="C495" s="71"/>
      <c r="D495" s="61"/>
      <c r="E495" s="61"/>
      <c r="F495" s="71"/>
      <c r="G495" s="71"/>
    </row>
    <row r="496">
      <c r="A496" s="71"/>
      <c r="B496" s="61"/>
      <c r="C496" s="71"/>
      <c r="D496" s="61"/>
      <c r="E496" s="61"/>
      <c r="F496" s="71"/>
      <c r="G496" s="71"/>
    </row>
    <row r="497">
      <c r="A497" s="71"/>
      <c r="B497" s="61"/>
      <c r="C497" s="71"/>
      <c r="D497" s="61"/>
      <c r="E497" s="61"/>
      <c r="F497" s="71"/>
      <c r="G497" s="71"/>
    </row>
    <row r="498">
      <c r="A498" s="71"/>
      <c r="B498" s="61"/>
      <c r="C498" s="71"/>
      <c r="D498" s="61"/>
      <c r="E498" s="61"/>
      <c r="F498" s="71"/>
      <c r="G498" s="71"/>
    </row>
    <row r="499">
      <c r="A499" s="71"/>
      <c r="B499" s="61"/>
      <c r="C499" s="71"/>
      <c r="D499" s="61"/>
      <c r="E499" s="61"/>
      <c r="F499" s="71"/>
      <c r="G499" s="71"/>
    </row>
    <row r="500">
      <c r="A500" s="71"/>
      <c r="B500" s="61"/>
      <c r="C500" s="71"/>
      <c r="D500" s="61"/>
      <c r="E500" s="61"/>
      <c r="F500" s="71"/>
      <c r="G500" s="71"/>
    </row>
    <row r="501">
      <c r="A501" s="71"/>
      <c r="B501" s="61"/>
      <c r="C501" s="71"/>
      <c r="D501" s="61"/>
      <c r="E501" s="61"/>
      <c r="F501" s="71"/>
      <c r="G501" s="71"/>
    </row>
    <row r="502">
      <c r="B502" s="61"/>
      <c r="D502" s="61"/>
      <c r="E502" s="61"/>
    </row>
    <row r="503">
      <c r="B503" s="61"/>
      <c r="D503" s="61"/>
      <c r="E503" s="61"/>
    </row>
    <row r="504">
      <c r="B504" s="61"/>
      <c r="D504" s="61"/>
      <c r="E504" s="61"/>
    </row>
    <row r="505">
      <c r="B505" s="61"/>
      <c r="D505" s="61"/>
      <c r="E505" s="61"/>
    </row>
    <row r="506">
      <c r="B506" s="61"/>
      <c r="D506" s="61"/>
      <c r="E506" s="61"/>
    </row>
    <row r="507">
      <c r="B507" s="61"/>
      <c r="D507" s="61"/>
      <c r="E507" s="61"/>
    </row>
    <row r="508">
      <c r="B508" s="61"/>
      <c r="D508" s="61"/>
      <c r="E508" s="61"/>
    </row>
    <row r="509">
      <c r="B509" s="61"/>
      <c r="D509" s="61"/>
      <c r="E509" s="61"/>
    </row>
    <row r="510">
      <c r="B510" s="61"/>
      <c r="D510" s="61"/>
      <c r="E510" s="61"/>
    </row>
    <row r="511">
      <c r="B511" s="61"/>
      <c r="D511" s="61"/>
      <c r="E511" s="61"/>
    </row>
    <row r="512">
      <c r="B512" s="61"/>
      <c r="D512" s="61"/>
      <c r="E512" s="61"/>
    </row>
    <row r="513">
      <c r="B513" s="61"/>
      <c r="D513" s="61"/>
      <c r="E513" s="61"/>
    </row>
    <row r="514">
      <c r="B514" s="61"/>
      <c r="D514" s="61"/>
      <c r="E514" s="61"/>
    </row>
    <row r="515">
      <c r="B515" s="61"/>
      <c r="D515" s="61"/>
      <c r="E515" s="61"/>
    </row>
    <row r="516">
      <c r="B516" s="61"/>
      <c r="D516" s="61"/>
      <c r="E516" s="61"/>
    </row>
    <row r="517">
      <c r="B517" s="61"/>
      <c r="D517" s="61"/>
      <c r="E517" s="61"/>
    </row>
    <row r="518">
      <c r="B518" s="61"/>
      <c r="D518" s="61"/>
      <c r="E518" s="61"/>
    </row>
    <row r="519">
      <c r="B519" s="61"/>
      <c r="D519" s="61"/>
      <c r="E519" s="61"/>
    </row>
    <row r="520">
      <c r="B520" s="61"/>
      <c r="D520" s="61"/>
      <c r="E520" s="61"/>
    </row>
    <row r="521">
      <c r="B521" s="61"/>
      <c r="D521" s="61"/>
      <c r="E521" s="61"/>
    </row>
    <row r="522">
      <c r="B522" s="61"/>
      <c r="D522" s="61"/>
      <c r="E522" s="61"/>
    </row>
    <row r="523">
      <c r="B523" s="61"/>
      <c r="D523" s="61"/>
      <c r="E523" s="61"/>
    </row>
    <row r="524">
      <c r="B524" s="61"/>
      <c r="D524" s="61"/>
      <c r="E524" s="61"/>
    </row>
    <row r="525">
      <c r="B525" s="61"/>
      <c r="D525" s="61"/>
      <c r="E525" s="61"/>
    </row>
    <row r="526">
      <c r="B526" s="61"/>
      <c r="D526" s="61"/>
      <c r="E526" s="61"/>
    </row>
    <row r="527">
      <c r="B527" s="61"/>
      <c r="D527" s="61"/>
      <c r="E527" s="61"/>
    </row>
    <row r="528">
      <c r="B528" s="61"/>
      <c r="D528" s="61"/>
      <c r="E528" s="61"/>
    </row>
    <row r="529">
      <c r="B529" s="61"/>
      <c r="D529" s="61"/>
      <c r="E529" s="61"/>
    </row>
    <row r="530">
      <c r="B530" s="61"/>
      <c r="D530" s="61"/>
      <c r="E530" s="61"/>
    </row>
    <row r="531">
      <c r="B531" s="61"/>
      <c r="D531" s="61"/>
      <c r="E531" s="61"/>
    </row>
    <row r="532">
      <c r="B532" s="61"/>
      <c r="D532" s="61"/>
      <c r="E532" s="61"/>
    </row>
    <row r="533">
      <c r="B533" s="61"/>
      <c r="D533" s="61"/>
      <c r="E533" s="61"/>
    </row>
    <row r="534">
      <c r="B534" s="61"/>
      <c r="D534" s="61"/>
      <c r="E534" s="61"/>
    </row>
    <row r="535">
      <c r="B535" s="61"/>
      <c r="D535" s="61"/>
      <c r="E535" s="61"/>
    </row>
    <row r="536">
      <c r="B536" s="61"/>
      <c r="D536" s="61"/>
      <c r="E536" s="61"/>
    </row>
    <row r="537">
      <c r="B537" s="61"/>
      <c r="D537" s="61"/>
      <c r="E537" s="61"/>
    </row>
    <row r="538">
      <c r="B538" s="61"/>
      <c r="D538" s="61"/>
      <c r="E538" s="61"/>
    </row>
    <row r="539">
      <c r="B539" s="61"/>
      <c r="D539" s="61"/>
      <c r="E539" s="61"/>
    </row>
    <row r="540">
      <c r="B540" s="61"/>
      <c r="D540" s="61"/>
      <c r="E540" s="61"/>
    </row>
    <row r="541">
      <c r="B541" s="61"/>
      <c r="D541" s="61"/>
      <c r="E541" s="61"/>
    </row>
    <row r="542">
      <c r="B542" s="61"/>
      <c r="D542" s="61"/>
      <c r="E542" s="61"/>
    </row>
    <row r="543">
      <c r="B543" s="61"/>
      <c r="D543" s="61"/>
      <c r="E543" s="61"/>
    </row>
    <row r="544">
      <c r="B544" s="61"/>
      <c r="D544" s="61"/>
      <c r="E544" s="61"/>
    </row>
    <row r="545">
      <c r="B545" s="61"/>
      <c r="D545" s="61"/>
      <c r="E545" s="61"/>
    </row>
    <row r="546">
      <c r="B546" s="61"/>
      <c r="D546" s="61"/>
      <c r="E546" s="61"/>
    </row>
    <row r="547">
      <c r="B547" s="61"/>
      <c r="D547" s="61"/>
      <c r="E547" s="61"/>
    </row>
    <row r="548">
      <c r="B548" s="61"/>
      <c r="D548" s="61"/>
      <c r="E548" s="61"/>
    </row>
    <row r="549">
      <c r="B549" s="61"/>
      <c r="D549" s="61"/>
      <c r="E549" s="61"/>
    </row>
    <row r="550">
      <c r="B550" s="61"/>
      <c r="D550" s="61"/>
      <c r="E550" s="61"/>
    </row>
    <row r="551">
      <c r="B551" s="61"/>
      <c r="D551" s="61"/>
      <c r="E551" s="61"/>
    </row>
    <row r="552">
      <c r="B552" s="61"/>
      <c r="D552" s="61"/>
      <c r="E552" s="61"/>
    </row>
    <row r="553">
      <c r="B553" s="61"/>
      <c r="D553" s="61"/>
      <c r="E553" s="61"/>
    </row>
    <row r="554">
      <c r="B554" s="61"/>
      <c r="D554" s="61"/>
      <c r="E554" s="61"/>
    </row>
    <row r="555">
      <c r="B555" s="61"/>
      <c r="D555" s="61"/>
      <c r="E555" s="61"/>
    </row>
    <row r="556">
      <c r="B556" s="61"/>
      <c r="D556" s="61"/>
      <c r="E556" s="61"/>
    </row>
    <row r="557">
      <c r="B557" s="61"/>
      <c r="D557" s="61"/>
      <c r="E557" s="61"/>
    </row>
    <row r="558">
      <c r="B558" s="61"/>
      <c r="D558" s="61"/>
      <c r="E558" s="61"/>
    </row>
    <row r="559">
      <c r="B559" s="61"/>
      <c r="D559" s="61"/>
      <c r="E559" s="61"/>
    </row>
    <row r="560">
      <c r="B560" s="61"/>
      <c r="D560" s="61"/>
      <c r="E560" s="61"/>
    </row>
    <row r="561">
      <c r="B561" s="61"/>
      <c r="D561" s="61"/>
      <c r="E561" s="61"/>
    </row>
    <row r="562">
      <c r="B562" s="61"/>
      <c r="D562" s="61"/>
      <c r="E562" s="61"/>
    </row>
    <row r="563">
      <c r="B563" s="61"/>
      <c r="D563" s="61"/>
      <c r="E563" s="61"/>
    </row>
    <row r="564">
      <c r="B564" s="61"/>
      <c r="D564" s="61"/>
      <c r="E564" s="61"/>
    </row>
    <row r="565">
      <c r="B565" s="61"/>
      <c r="D565" s="61"/>
      <c r="E565" s="61"/>
    </row>
    <row r="566">
      <c r="B566" s="61"/>
      <c r="D566" s="61"/>
      <c r="E566" s="61"/>
    </row>
    <row r="567">
      <c r="B567" s="61"/>
      <c r="D567" s="61"/>
      <c r="E567" s="61"/>
    </row>
    <row r="568">
      <c r="B568" s="61"/>
      <c r="D568" s="61"/>
      <c r="E568" s="61"/>
    </row>
    <row r="569">
      <c r="B569" s="61"/>
      <c r="D569" s="61"/>
      <c r="E569" s="61"/>
    </row>
    <row r="570">
      <c r="B570" s="61"/>
      <c r="D570" s="61"/>
      <c r="E570" s="61"/>
    </row>
    <row r="571">
      <c r="B571" s="61"/>
      <c r="D571" s="61"/>
      <c r="E571" s="61"/>
    </row>
    <row r="572">
      <c r="B572" s="61"/>
      <c r="D572" s="61"/>
      <c r="E572" s="61"/>
    </row>
    <row r="573">
      <c r="B573" s="61"/>
      <c r="D573" s="61"/>
      <c r="E573" s="61"/>
    </row>
    <row r="574">
      <c r="B574" s="61"/>
      <c r="D574" s="61"/>
      <c r="E574" s="61"/>
    </row>
    <row r="575">
      <c r="B575" s="61"/>
      <c r="D575" s="61"/>
      <c r="E575" s="61"/>
    </row>
    <row r="576">
      <c r="B576" s="61"/>
      <c r="D576" s="61"/>
      <c r="E576" s="61"/>
    </row>
    <row r="577">
      <c r="B577" s="61"/>
      <c r="D577" s="61"/>
      <c r="E577" s="61"/>
    </row>
    <row r="578">
      <c r="B578" s="61"/>
      <c r="D578" s="61"/>
      <c r="E578" s="61"/>
    </row>
    <row r="579">
      <c r="B579" s="61"/>
      <c r="D579" s="61"/>
      <c r="E579" s="61"/>
    </row>
    <row r="580">
      <c r="B580" s="61"/>
      <c r="D580" s="61"/>
      <c r="E580" s="61"/>
    </row>
    <row r="581">
      <c r="B581" s="61"/>
      <c r="D581" s="61"/>
      <c r="E581" s="61"/>
    </row>
    <row r="582">
      <c r="B582" s="61"/>
      <c r="D582" s="61"/>
      <c r="E582" s="61"/>
    </row>
    <row r="583">
      <c r="B583" s="61"/>
      <c r="D583" s="61"/>
      <c r="E583" s="61"/>
    </row>
    <row r="584">
      <c r="B584" s="61"/>
      <c r="D584" s="61"/>
      <c r="E584" s="61"/>
    </row>
    <row r="585">
      <c r="B585" s="61"/>
      <c r="D585" s="61"/>
      <c r="E585" s="61"/>
    </row>
    <row r="586">
      <c r="B586" s="61"/>
      <c r="D586" s="61"/>
      <c r="E586" s="61"/>
    </row>
    <row r="587">
      <c r="B587" s="61"/>
      <c r="D587" s="61"/>
      <c r="E587" s="61"/>
    </row>
    <row r="588">
      <c r="B588" s="61"/>
      <c r="D588" s="61"/>
      <c r="E588" s="61"/>
    </row>
    <row r="589">
      <c r="B589" s="61"/>
      <c r="D589" s="61"/>
      <c r="E589" s="61"/>
    </row>
    <row r="590">
      <c r="B590" s="61"/>
      <c r="D590" s="61"/>
      <c r="E590" s="61"/>
    </row>
    <row r="591">
      <c r="B591" s="61"/>
      <c r="D591" s="61"/>
      <c r="E591" s="61"/>
    </row>
    <row r="592">
      <c r="B592" s="61"/>
      <c r="D592" s="61"/>
      <c r="E592" s="61"/>
    </row>
    <row r="593">
      <c r="B593" s="61"/>
      <c r="D593" s="61"/>
      <c r="E593" s="61"/>
    </row>
    <row r="594">
      <c r="B594" s="61"/>
      <c r="D594" s="61"/>
      <c r="E594" s="61"/>
    </row>
    <row r="595">
      <c r="B595" s="61"/>
      <c r="D595" s="61"/>
      <c r="E595" s="61"/>
    </row>
    <row r="596">
      <c r="B596" s="61"/>
      <c r="D596" s="61"/>
      <c r="E596" s="61"/>
    </row>
    <row r="597">
      <c r="B597" s="61"/>
      <c r="D597" s="61"/>
      <c r="E597" s="61"/>
    </row>
    <row r="598">
      <c r="B598" s="61"/>
      <c r="D598" s="61"/>
      <c r="E598" s="61"/>
    </row>
    <row r="599">
      <c r="B599" s="61"/>
      <c r="D599" s="61"/>
      <c r="E599" s="61"/>
    </row>
    <row r="600">
      <c r="B600" s="61"/>
      <c r="D600" s="61"/>
      <c r="E600" s="61"/>
    </row>
    <row r="601">
      <c r="B601" s="61"/>
      <c r="D601" s="61"/>
      <c r="E601" s="61"/>
    </row>
    <row r="602">
      <c r="B602" s="61"/>
      <c r="D602" s="61"/>
      <c r="E602" s="61"/>
    </row>
    <row r="603">
      <c r="B603" s="61"/>
      <c r="D603" s="61"/>
      <c r="E603" s="61"/>
    </row>
    <row r="604">
      <c r="B604" s="61"/>
      <c r="D604" s="61"/>
      <c r="E604" s="61"/>
    </row>
    <row r="605">
      <c r="B605" s="61"/>
      <c r="D605" s="61"/>
      <c r="E605" s="61"/>
    </row>
    <row r="606">
      <c r="B606" s="61"/>
      <c r="D606" s="61"/>
      <c r="E606" s="61"/>
    </row>
    <row r="607">
      <c r="B607" s="61"/>
      <c r="D607" s="61"/>
      <c r="E607" s="61"/>
    </row>
    <row r="608">
      <c r="B608" s="61"/>
      <c r="D608" s="61"/>
      <c r="E608" s="61"/>
    </row>
    <row r="609">
      <c r="B609" s="61"/>
      <c r="D609" s="61"/>
      <c r="E609" s="61"/>
    </row>
    <row r="610">
      <c r="B610" s="61"/>
      <c r="D610" s="61"/>
      <c r="E610" s="61"/>
    </row>
    <row r="611">
      <c r="B611" s="61"/>
      <c r="D611" s="61"/>
      <c r="E611" s="61"/>
    </row>
    <row r="612">
      <c r="B612" s="61"/>
      <c r="D612" s="61"/>
      <c r="E612" s="61"/>
    </row>
    <row r="613">
      <c r="B613" s="61"/>
      <c r="D613" s="61"/>
      <c r="E613" s="61"/>
    </row>
    <row r="614">
      <c r="B614" s="61"/>
      <c r="D614" s="61"/>
      <c r="E614" s="61"/>
    </row>
    <row r="615">
      <c r="B615" s="61"/>
      <c r="D615" s="61"/>
      <c r="E615" s="61"/>
    </row>
    <row r="616">
      <c r="B616" s="61"/>
      <c r="D616" s="61"/>
      <c r="E616" s="61"/>
    </row>
    <row r="617">
      <c r="B617" s="61"/>
      <c r="D617" s="61"/>
      <c r="E617" s="61"/>
    </row>
    <row r="618">
      <c r="B618" s="61"/>
      <c r="D618" s="61"/>
      <c r="E618" s="61"/>
    </row>
    <row r="619">
      <c r="B619" s="61"/>
      <c r="D619" s="61"/>
      <c r="E619" s="61"/>
    </row>
    <row r="620">
      <c r="B620" s="61"/>
      <c r="D620" s="61"/>
      <c r="E620" s="61"/>
    </row>
    <row r="621">
      <c r="B621" s="61"/>
      <c r="D621" s="61"/>
      <c r="E621" s="61"/>
    </row>
    <row r="622">
      <c r="B622" s="61"/>
      <c r="D622" s="61"/>
      <c r="E622" s="61"/>
    </row>
    <row r="623">
      <c r="B623" s="61"/>
      <c r="D623" s="61"/>
      <c r="E623" s="61"/>
    </row>
    <row r="624">
      <c r="B624" s="61"/>
      <c r="D624" s="61"/>
      <c r="E624" s="61"/>
    </row>
    <row r="625">
      <c r="B625" s="61"/>
      <c r="D625" s="61"/>
      <c r="E625" s="61"/>
    </row>
    <row r="626">
      <c r="B626" s="61"/>
      <c r="D626" s="61"/>
      <c r="E626" s="61"/>
    </row>
    <row r="627">
      <c r="B627" s="61"/>
      <c r="D627" s="61"/>
      <c r="E627" s="61"/>
    </row>
    <row r="628">
      <c r="B628" s="61"/>
      <c r="D628" s="61"/>
      <c r="E628" s="61"/>
    </row>
    <row r="629">
      <c r="B629" s="61"/>
      <c r="D629" s="61"/>
      <c r="E629" s="61"/>
    </row>
    <row r="630">
      <c r="B630" s="61"/>
      <c r="D630" s="61"/>
      <c r="E630" s="61"/>
    </row>
    <row r="631">
      <c r="B631" s="61"/>
      <c r="D631" s="61"/>
      <c r="E631" s="61"/>
    </row>
    <row r="632">
      <c r="B632" s="61"/>
      <c r="D632" s="61"/>
      <c r="E632" s="61"/>
    </row>
    <row r="633">
      <c r="B633" s="61"/>
      <c r="D633" s="61"/>
      <c r="E633" s="61"/>
    </row>
    <row r="634">
      <c r="B634" s="61"/>
      <c r="D634" s="61"/>
      <c r="E634" s="61"/>
    </row>
    <row r="635">
      <c r="B635" s="61"/>
      <c r="D635" s="61"/>
      <c r="E635" s="61"/>
    </row>
    <row r="636">
      <c r="B636" s="61"/>
      <c r="D636" s="61"/>
      <c r="E636" s="61"/>
    </row>
    <row r="637">
      <c r="B637" s="61"/>
      <c r="D637" s="61"/>
      <c r="E637" s="61"/>
    </row>
    <row r="638">
      <c r="B638" s="61"/>
      <c r="D638" s="61"/>
      <c r="E638" s="61"/>
    </row>
    <row r="639">
      <c r="B639" s="61"/>
      <c r="D639" s="61"/>
      <c r="E639" s="61"/>
    </row>
    <row r="640">
      <c r="B640" s="61"/>
      <c r="D640" s="61"/>
      <c r="E640" s="61"/>
    </row>
    <row r="641">
      <c r="B641" s="61"/>
      <c r="D641" s="61"/>
      <c r="E641" s="61"/>
    </row>
    <row r="642">
      <c r="B642" s="61"/>
      <c r="D642" s="61"/>
      <c r="E642" s="61"/>
    </row>
    <row r="643">
      <c r="B643" s="61"/>
      <c r="D643" s="61"/>
      <c r="E643" s="61"/>
    </row>
    <row r="644">
      <c r="B644" s="61"/>
      <c r="D644" s="61"/>
      <c r="E644" s="61"/>
    </row>
    <row r="645">
      <c r="B645" s="61"/>
      <c r="D645" s="61"/>
      <c r="E645" s="61"/>
    </row>
    <row r="646">
      <c r="B646" s="61"/>
      <c r="D646" s="61"/>
      <c r="E646" s="61"/>
    </row>
    <row r="647">
      <c r="B647" s="61"/>
      <c r="D647" s="61"/>
      <c r="E647" s="61"/>
    </row>
    <row r="648">
      <c r="B648" s="61"/>
      <c r="D648" s="61"/>
      <c r="E648" s="61"/>
    </row>
    <row r="649">
      <c r="B649" s="61"/>
      <c r="D649" s="61"/>
      <c r="E649" s="61"/>
    </row>
    <row r="650">
      <c r="B650" s="61"/>
      <c r="D650" s="61"/>
      <c r="E650" s="61"/>
    </row>
    <row r="651">
      <c r="B651" s="61"/>
      <c r="D651" s="61"/>
      <c r="E651" s="61"/>
    </row>
    <row r="652">
      <c r="B652" s="61"/>
      <c r="D652" s="61"/>
      <c r="E652" s="61"/>
    </row>
    <row r="653">
      <c r="B653" s="61"/>
      <c r="D653" s="61"/>
      <c r="E653" s="61"/>
    </row>
    <row r="654">
      <c r="B654" s="61"/>
      <c r="D654" s="61"/>
      <c r="E654" s="61"/>
    </row>
    <row r="655">
      <c r="B655" s="61"/>
      <c r="D655" s="61"/>
      <c r="E655" s="61"/>
    </row>
    <row r="656">
      <c r="B656" s="61"/>
      <c r="D656" s="61"/>
      <c r="E656" s="61"/>
    </row>
    <row r="657">
      <c r="B657" s="61"/>
      <c r="D657" s="61"/>
      <c r="E657" s="61"/>
    </row>
    <row r="658">
      <c r="B658" s="61"/>
      <c r="D658" s="61"/>
      <c r="E658" s="61"/>
    </row>
    <row r="659">
      <c r="B659" s="61"/>
      <c r="D659" s="61"/>
      <c r="E659" s="61"/>
    </row>
    <row r="660">
      <c r="B660" s="61"/>
      <c r="D660" s="61"/>
      <c r="E660" s="61"/>
    </row>
    <row r="661">
      <c r="B661" s="61"/>
      <c r="D661" s="61"/>
      <c r="E661" s="61"/>
    </row>
    <row r="662">
      <c r="B662" s="61"/>
      <c r="D662" s="61"/>
      <c r="E662" s="61"/>
    </row>
    <row r="663">
      <c r="B663" s="61"/>
      <c r="D663" s="61"/>
      <c r="E663" s="61"/>
    </row>
    <row r="664">
      <c r="B664" s="61"/>
      <c r="D664" s="61"/>
      <c r="E664" s="61"/>
    </row>
    <row r="665">
      <c r="B665" s="61"/>
      <c r="D665" s="61"/>
      <c r="E665" s="61"/>
    </row>
    <row r="666">
      <c r="B666" s="61"/>
      <c r="D666" s="61"/>
      <c r="E666" s="61"/>
    </row>
    <row r="667">
      <c r="B667" s="61"/>
      <c r="D667" s="61"/>
      <c r="E667" s="61"/>
    </row>
    <row r="668">
      <c r="B668" s="61"/>
      <c r="D668" s="61"/>
      <c r="E668" s="61"/>
    </row>
    <row r="669">
      <c r="B669" s="61"/>
      <c r="D669" s="61"/>
      <c r="E669" s="61"/>
    </row>
    <row r="670">
      <c r="B670" s="61"/>
      <c r="D670" s="61"/>
      <c r="E670" s="61"/>
    </row>
    <row r="671">
      <c r="B671" s="61"/>
      <c r="D671" s="61"/>
      <c r="E671" s="61"/>
    </row>
    <row r="672">
      <c r="B672" s="61"/>
      <c r="D672" s="61"/>
      <c r="E672" s="61"/>
    </row>
    <row r="673">
      <c r="B673" s="61"/>
      <c r="D673" s="61"/>
      <c r="E673" s="61"/>
    </row>
    <row r="674">
      <c r="B674" s="61"/>
      <c r="D674" s="61"/>
      <c r="E674" s="61"/>
    </row>
    <row r="675">
      <c r="B675" s="61"/>
      <c r="D675" s="61"/>
      <c r="E675" s="61"/>
    </row>
    <row r="676">
      <c r="B676" s="61"/>
      <c r="D676" s="61"/>
      <c r="E676" s="61"/>
    </row>
    <row r="677">
      <c r="B677" s="61"/>
      <c r="D677" s="61"/>
      <c r="E677" s="61"/>
    </row>
    <row r="678">
      <c r="B678" s="61"/>
      <c r="D678" s="61"/>
      <c r="E678" s="61"/>
    </row>
    <row r="679">
      <c r="B679" s="61"/>
      <c r="D679" s="61"/>
      <c r="E679" s="61"/>
    </row>
    <row r="680">
      <c r="B680" s="61"/>
      <c r="D680" s="61"/>
      <c r="E680" s="61"/>
    </row>
    <row r="681">
      <c r="B681" s="61"/>
      <c r="D681" s="61"/>
      <c r="E681" s="61"/>
    </row>
    <row r="682">
      <c r="B682" s="61"/>
      <c r="D682" s="61"/>
      <c r="E682" s="61"/>
    </row>
    <row r="683">
      <c r="B683" s="61"/>
      <c r="D683" s="61"/>
      <c r="E683" s="61"/>
    </row>
    <row r="684">
      <c r="B684" s="61"/>
      <c r="D684" s="61"/>
      <c r="E684" s="61"/>
    </row>
    <row r="685">
      <c r="B685" s="61"/>
      <c r="D685" s="61"/>
      <c r="E685" s="61"/>
    </row>
    <row r="686">
      <c r="B686" s="61"/>
      <c r="D686" s="61"/>
      <c r="E686" s="61"/>
    </row>
    <row r="687">
      <c r="B687" s="61"/>
      <c r="D687" s="61"/>
      <c r="E687" s="61"/>
    </row>
    <row r="688">
      <c r="B688" s="61"/>
      <c r="D688" s="61"/>
      <c r="E688" s="61"/>
    </row>
    <row r="689">
      <c r="B689" s="61"/>
      <c r="D689" s="61"/>
      <c r="E689" s="61"/>
    </row>
    <row r="690">
      <c r="B690" s="61"/>
      <c r="D690" s="61"/>
      <c r="E690" s="61"/>
    </row>
    <row r="691">
      <c r="B691" s="61"/>
      <c r="D691" s="61"/>
      <c r="E691" s="61"/>
    </row>
    <row r="692">
      <c r="B692" s="61"/>
      <c r="D692" s="61"/>
      <c r="E692" s="61"/>
    </row>
    <row r="693">
      <c r="B693" s="61"/>
      <c r="D693" s="61"/>
      <c r="E693" s="61"/>
    </row>
    <row r="694">
      <c r="B694" s="61"/>
      <c r="D694" s="61"/>
      <c r="E694" s="61"/>
    </row>
    <row r="695">
      <c r="B695" s="61"/>
      <c r="D695" s="61"/>
      <c r="E695" s="61"/>
    </row>
    <row r="696">
      <c r="B696" s="61"/>
      <c r="D696" s="61"/>
      <c r="E696" s="61"/>
    </row>
    <row r="697">
      <c r="B697" s="61"/>
      <c r="D697" s="61"/>
      <c r="E697" s="61"/>
    </row>
    <row r="698">
      <c r="B698" s="61"/>
      <c r="D698" s="61"/>
      <c r="E698" s="61"/>
    </row>
    <row r="699">
      <c r="B699" s="61"/>
      <c r="D699" s="61"/>
      <c r="E699" s="61"/>
    </row>
    <row r="700">
      <c r="B700" s="61"/>
      <c r="D700" s="61"/>
      <c r="E700" s="61"/>
    </row>
    <row r="701">
      <c r="B701" s="61"/>
      <c r="D701" s="61"/>
      <c r="E701" s="61"/>
    </row>
    <row r="702">
      <c r="B702" s="61"/>
      <c r="D702" s="61"/>
      <c r="E702" s="61"/>
    </row>
    <row r="703">
      <c r="B703" s="61"/>
      <c r="D703" s="61"/>
      <c r="E703" s="61"/>
    </row>
    <row r="704">
      <c r="B704" s="61"/>
      <c r="D704" s="61"/>
      <c r="E704" s="61"/>
    </row>
    <row r="705">
      <c r="B705" s="61"/>
      <c r="D705" s="61"/>
      <c r="E705" s="61"/>
    </row>
    <row r="706">
      <c r="B706" s="61"/>
      <c r="D706" s="61"/>
      <c r="E706" s="61"/>
    </row>
    <row r="707">
      <c r="B707" s="61"/>
      <c r="D707" s="61"/>
      <c r="E707" s="61"/>
    </row>
    <row r="708">
      <c r="B708" s="61"/>
      <c r="D708" s="61"/>
      <c r="E708" s="61"/>
    </row>
    <row r="709">
      <c r="B709" s="61"/>
      <c r="D709" s="61"/>
      <c r="E709" s="61"/>
    </row>
    <row r="710">
      <c r="B710" s="61"/>
      <c r="D710" s="61"/>
      <c r="E710" s="61"/>
    </row>
    <row r="711">
      <c r="B711" s="61"/>
      <c r="D711" s="61"/>
      <c r="E711" s="61"/>
    </row>
    <row r="712">
      <c r="B712" s="61"/>
      <c r="D712" s="61"/>
      <c r="E712" s="61"/>
    </row>
    <row r="713">
      <c r="B713" s="61"/>
      <c r="D713" s="61"/>
      <c r="E713" s="61"/>
    </row>
    <row r="714">
      <c r="B714" s="61"/>
      <c r="D714" s="61"/>
      <c r="E714" s="61"/>
    </row>
    <row r="715">
      <c r="B715" s="61"/>
      <c r="D715" s="61"/>
      <c r="E715" s="61"/>
    </row>
    <row r="716">
      <c r="B716" s="61"/>
      <c r="D716" s="61"/>
      <c r="E716" s="61"/>
    </row>
    <row r="717">
      <c r="B717" s="61"/>
      <c r="D717" s="61"/>
      <c r="E717" s="61"/>
    </row>
    <row r="718">
      <c r="B718" s="61"/>
      <c r="D718" s="61"/>
      <c r="E718" s="61"/>
    </row>
    <row r="719">
      <c r="B719" s="61"/>
      <c r="D719" s="61"/>
      <c r="E719" s="61"/>
    </row>
    <row r="720">
      <c r="B720" s="61"/>
      <c r="D720" s="61"/>
      <c r="E720" s="61"/>
    </row>
    <row r="721">
      <c r="B721" s="61"/>
      <c r="D721" s="61"/>
      <c r="E721" s="61"/>
    </row>
    <row r="722">
      <c r="B722" s="61"/>
      <c r="D722" s="61"/>
      <c r="E722" s="61"/>
    </row>
    <row r="723">
      <c r="B723" s="61"/>
      <c r="D723" s="61"/>
      <c r="E723" s="61"/>
    </row>
    <row r="724">
      <c r="B724" s="61"/>
      <c r="D724" s="61"/>
      <c r="E724" s="61"/>
    </row>
    <row r="725">
      <c r="B725" s="61"/>
      <c r="D725" s="61"/>
      <c r="E725" s="61"/>
    </row>
    <row r="726">
      <c r="B726" s="61"/>
      <c r="D726" s="61"/>
      <c r="E726" s="61"/>
    </row>
    <row r="727">
      <c r="B727" s="61"/>
      <c r="D727" s="61"/>
      <c r="E727" s="61"/>
    </row>
    <row r="728">
      <c r="B728" s="61"/>
      <c r="D728" s="61"/>
      <c r="E728" s="61"/>
    </row>
    <row r="729">
      <c r="B729" s="61"/>
      <c r="D729" s="61"/>
      <c r="E729" s="61"/>
    </row>
    <row r="730">
      <c r="B730" s="61"/>
      <c r="D730" s="61"/>
      <c r="E730" s="61"/>
    </row>
    <row r="731">
      <c r="B731" s="61"/>
      <c r="D731" s="61"/>
      <c r="E731" s="61"/>
    </row>
    <row r="732">
      <c r="B732" s="61"/>
      <c r="D732" s="61"/>
      <c r="E732" s="61"/>
    </row>
    <row r="733">
      <c r="B733" s="61"/>
      <c r="D733" s="61"/>
      <c r="E733" s="61"/>
    </row>
    <row r="734">
      <c r="B734" s="61"/>
      <c r="D734" s="61"/>
      <c r="E734" s="61"/>
    </row>
    <row r="735">
      <c r="B735" s="61"/>
      <c r="D735" s="61"/>
      <c r="E735" s="61"/>
    </row>
    <row r="736">
      <c r="B736" s="61"/>
      <c r="D736" s="61"/>
      <c r="E736" s="61"/>
    </row>
    <row r="737">
      <c r="B737" s="61"/>
      <c r="D737" s="61"/>
      <c r="E737" s="61"/>
    </row>
    <row r="738">
      <c r="B738" s="61"/>
      <c r="D738" s="61"/>
      <c r="E738" s="61"/>
    </row>
    <row r="739">
      <c r="B739" s="61"/>
      <c r="D739" s="61"/>
      <c r="E739" s="61"/>
    </row>
    <row r="740">
      <c r="B740" s="61"/>
      <c r="D740" s="61"/>
      <c r="E740" s="61"/>
    </row>
    <row r="741">
      <c r="B741" s="61"/>
      <c r="D741" s="61"/>
      <c r="E741" s="61"/>
    </row>
    <row r="742">
      <c r="B742" s="61"/>
      <c r="D742" s="61"/>
      <c r="E742" s="61"/>
    </row>
    <row r="743">
      <c r="B743" s="61"/>
      <c r="D743" s="61"/>
      <c r="E743" s="61"/>
    </row>
    <row r="744">
      <c r="B744" s="61"/>
      <c r="D744" s="61"/>
      <c r="E744" s="61"/>
    </row>
    <row r="745">
      <c r="B745" s="61"/>
      <c r="D745" s="61"/>
      <c r="E745" s="61"/>
    </row>
    <row r="746">
      <c r="B746" s="61"/>
      <c r="D746" s="61"/>
      <c r="E746" s="61"/>
    </row>
    <row r="747">
      <c r="B747" s="61"/>
      <c r="D747" s="61"/>
      <c r="E747" s="61"/>
    </row>
    <row r="748">
      <c r="B748" s="61"/>
      <c r="D748" s="61"/>
      <c r="E748" s="61"/>
    </row>
    <row r="749">
      <c r="B749" s="61"/>
      <c r="D749" s="61"/>
      <c r="E749" s="61"/>
    </row>
    <row r="750">
      <c r="B750" s="61"/>
      <c r="D750" s="61"/>
      <c r="E750" s="61"/>
    </row>
    <row r="751">
      <c r="B751" s="61"/>
      <c r="D751" s="61"/>
      <c r="E751" s="61"/>
    </row>
    <row r="752">
      <c r="B752" s="61"/>
      <c r="D752" s="61"/>
      <c r="E752" s="61"/>
    </row>
    <row r="753">
      <c r="B753" s="61"/>
      <c r="D753" s="61"/>
      <c r="E753" s="61"/>
    </row>
    <row r="754">
      <c r="B754" s="61"/>
      <c r="D754" s="61"/>
      <c r="E754" s="61"/>
    </row>
    <row r="755">
      <c r="B755" s="61"/>
      <c r="D755" s="61"/>
      <c r="E755" s="61"/>
    </row>
    <row r="756">
      <c r="B756" s="61"/>
      <c r="D756" s="61"/>
      <c r="E756" s="61"/>
    </row>
    <row r="757">
      <c r="B757" s="61"/>
      <c r="D757" s="61"/>
      <c r="E757" s="61"/>
    </row>
    <row r="758">
      <c r="B758" s="61"/>
      <c r="D758" s="61"/>
      <c r="E758" s="61"/>
    </row>
    <row r="759">
      <c r="B759" s="61"/>
      <c r="D759" s="61"/>
      <c r="E759" s="61"/>
    </row>
    <row r="760">
      <c r="B760" s="61"/>
      <c r="D760" s="61"/>
      <c r="E760" s="61"/>
    </row>
    <row r="761">
      <c r="B761" s="61"/>
      <c r="D761" s="61"/>
      <c r="E761" s="61"/>
    </row>
    <row r="762">
      <c r="B762" s="61"/>
      <c r="D762" s="61"/>
      <c r="E762" s="61"/>
    </row>
    <row r="763">
      <c r="B763" s="61"/>
      <c r="D763" s="61"/>
      <c r="E763" s="61"/>
    </row>
    <row r="764">
      <c r="B764" s="61"/>
      <c r="D764" s="61"/>
      <c r="E764" s="61"/>
    </row>
    <row r="765">
      <c r="B765" s="61"/>
      <c r="D765" s="61"/>
      <c r="E765" s="61"/>
    </row>
    <row r="766">
      <c r="B766" s="61"/>
      <c r="D766" s="61"/>
      <c r="E766" s="61"/>
    </row>
    <row r="767">
      <c r="B767" s="61"/>
      <c r="D767" s="61"/>
      <c r="E767" s="61"/>
    </row>
    <row r="768">
      <c r="B768" s="61"/>
      <c r="D768" s="61"/>
      <c r="E768" s="61"/>
    </row>
    <row r="769">
      <c r="B769" s="61"/>
      <c r="D769" s="61"/>
      <c r="E769" s="61"/>
    </row>
    <row r="770">
      <c r="B770" s="61"/>
      <c r="D770" s="61"/>
      <c r="E770" s="61"/>
    </row>
    <row r="771">
      <c r="B771" s="61"/>
      <c r="D771" s="61"/>
      <c r="E771" s="61"/>
    </row>
    <row r="772">
      <c r="B772" s="61"/>
      <c r="D772" s="61"/>
      <c r="E772" s="61"/>
    </row>
    <row r="773">
      <c r="B773" s="61"/>
      <c r="D773" s="61"/>
      <c r="E773" s="61"/>
    </row>
    <row r="774">
      <c r="B774" s="61"/>
      <c r="D774" s="61"/>
      <c r="E774" s="61"/>
    </row>
    <row r="775">
      <c r="B775" s="61"/>
      <c r="D775" s="61"/>
      <c r="E775" s="61"/>
    </row>
    <row r="776">
      <c r="B776" s="61"/>
      <c r="D776" s="61"/>
      <c r="E776" s="61"/>
    </row>
    <row r="777">
      <c r="B777" s="61"/>
      <c r="D777" s="61"/>
      <c r="E777" s="61"/>
    </row>
    <row r="778">
      <c r="B778" s="61"/>
      <c r="D778" s="61"/>
      <c r="E778" s="61"/>
    </row>
    <row r="779">
      <c r="B779" s="61"/>
      <c r="D779" s="61"/>
      <c r="E779" s="61"/>
    </row>
    <row r="780">
      <c r="B780" s="61"/>
      <c r="D780" s="61"/>
      <c r="E780" s="61"/>
    </row>
    <row r="781">
      <c r="B781" s="61"/>
      <c r="D781" s="61"/>
      <c r="E781" s="61"/>
    </row>
    <row r="782">
      <c r="B782" s="61"/>
      <c r="D782" s="61"/>
      <c r="E782" s="61"/>
    </row>
    <row r="783">
      <c r="B783" s="61"/>
      <c r="D783" s="61"/>
      <c r="E783" s="61"/>
    </row>
    <row r="784">
      <c r="B784" s="61"/>
      <c r="D784" s="61"/>
      <c r="E784" s="61"/>
    </row>
    <row r="785">
      <c r="B785" s="61"/>
      <c r="D785" s="61"/>
      <c r="E785" s="61"/>
    </row>
    <row r="786">
      <c r="B786" s="61"/>
      <c r="D786" s="61"/>
      <c r="E786" s="61"/>
    </row>
    <row r="787">
      <c r="B787" s="61"/>
      <c r="D787" s="61"/>
      <c r="E787" s="61"/>
    </row>
    <row r="788">
      <c r="B788" s="61"/>
      <c r="D788" s="61"/>
      <c r="E788" s="61"/>
    </row>
    <row r="789">
      <c r="B789" s="61"/>
      <c r="D789" s="61"/>
      <c r="E789" s="61"/>
    </row>
    <row r="790">
      <c r="B790" s="61"/>
      <c r="D790" s="61"/>
      <c r="E790" s="61"/>
    </row>
    <row r="791">
      <c r="B791" s="61"/>
      <c r="D791" s="61"/>
      <c r="E791" s="61"/>
    </row>
    <row r="792">
      <c r="B792" s="61"/>
      <c r="D792" s="61"/>
      <c r="E792" s="61"/>
    </row>
    <row r="793">
      <c r="B793" s="61"/>
      <c r="D793" s="61"/>
      <c r="E793" s="61"/>
    </row>
    <row r="794">
      <c r="B794" s="61"/>
      <c r="D794" s="61"/>
      <c r="E794" s="61"/>
    </row>
    <row r="795">
      <c r="B795" s="61"/>
      <c r="D795" s="61"/>
      <c r="E795" s="61"/>
    </row>
    <row r="796">
      <c r="B796" s="61"/>
      <c r="D796" s="61"/>
      <c r="E796" s="61"/>
    </row>
    <row r="797">
      <c r="B797" s="61"/>
      <c r="D797" s="61"/>
      <c r="E797" s="61"/>
    </row>
    <row r="798">
      <c r="B798" s="61"/>
      <c r="D798" s="61"/>
      <c r="E798" s="61"/>
    </row>
    <row r="799">
      <c r="B799" s="61"/>
      <c r="D799" s="61"/>
      <c r="E799" s="61"/>
    </row>
    <row r="800">
      <c r="B800" s="61"/>
      <c r="D800" s="61"/>
      <c r="E800" s="61"/>
    </row>
    <row r="801">
      <c r="B801" s="61"/>
      <c r="D801" s="61"/>
      <c r="E801" s="61"/>
    </row>
    <row r="802">
      <c r="B802" s="61"/>
      <c r="D802" s="61"/>
      <c r="E802" s="61"/>
    </row>
    <row r="803">
      <c r="B803" s="61"/>
      <c r="D803" s="61"/>
      <c r="E803" s="61"/>
    </row>
    <row r="804">
      <c r="B804" s="61"/>
      <c r="D804" s="61"/>
      <c r="E804" s="61"/>
    </row>
    <row r="805">
      <c r="B805" s="61"/>
      <c r="D805" s="61"/>
      <c r="E805" s="61"/>
    </row>
    <row r="806">
      <c r="B806" s="61"/>
      <c r="D806" s="61"/>
      <c r="E806" s="61"/>
    </row>
    <row r="807">
      <c r="B807" s="61"/>
      <c r="D807" s="61"/>
      <c r="E807" s="61"/>
    </row>
    <row r="808">
      <c r="B808" s="61"/>
      <c r="D808" s="61"/>
      <c r="E808" s="61"/>
    </row>
    <row r="809">
      <c r="B809" s="61"/>
      <c r="D809" s="61"/>
      <c r="E809" s="61"/>
    </row>
    <row r="810">
      <c r="B810" s="61"/>
      <c r="D810" s="61"/>
      <c r="E810" s="61"/>
    </row>
    <row r="811">
      <c r="B811" s="61"/>
      <c r="D811" s="61"/>
      <c r="E811" s="61"/>
    </row>
    <row r="812">
      <c r="B812" s="61"/>
      <c r="D812" s="61"/>
      <c r="E812" s="61"/>
    </row>
    <row r="813">
      <c r="B813" s="61"/>
      <c r="D813" s="61"/>
      <c r="E813" s="61"/>
    </row>
    <row r="814">
      <c r="B814" s="61"/>
      <c r="D814" s="61"/>
      <c r="E814" s="61"/>
    </row>
    <row r="815">
      <c r="B815" s="61"/>
      <c r="D815" s="61"/>
      <c r="E815" s="61"/>
    </row>
    <row r="816">
      <c r="B816" s="61"/>
      <c r="D816" s="61"/>
      <c r="E816" s="61"/>
    </row>
    <row r="817">
      <c r="B817" s="61"/>
      <c r="D817" s="61"/>
      <c r="E817" s="61"/>
    </row>
    <row r="818">
      <c r="B818" s="61"/>
      <c r="D818" s="61"/>
      <c r="E818" s="61"/>
    </row>
    <row r="819">
      <c r="B819" s="61"/>
      <c r="D819" s="61"/>
      <c r="E819" s="61"/>
    </row>
    <row r="820">
      <c r="B820" s="61"/>
      <c r="D820" s="61"/>
      <c r="E820" s="61"/>
    </row>
    <row r="821">
      <c r="B821" s="61"/>
      <c r="D821" s="61"/>
      <c r="E821" s="61"/>
    </row>
    <row r="822">
      <c r="B822" s="61"/>
      <c r="D822" s="61"/>
      <c r="E822" s="61"/>
    </row>
    <row r="823">
      <c r="B823" s="61"/>
      <c r="D823" s="61"/>
      <c r="E823" s="61"/>
    </row>
    <row r="824">
      <c r="B824" s="61"/>
      <c r="D824" s="61"/>
      <c r="E824" s="61"/>
    </row>
    <row r="825">
      <c r="B825" s="61"/>
      <c r="D825" s="61"/>
      <c r="E825" s="61"/>
    </row>
    <row r="826">
      <c r="B826" s="61"/>
      <c r="D826" s="61"/>
      <c r="E826" s="61"/>
    </row>
    <row r="827">
      <c r="B827" s="61"/>
      <c r="D827" s="61"/>
      <c r="E827" s="61"/>
    </row>
    <row r="828">
      <c r="B828" s="61"/>
      <c r="D828" s="61"/>
      <c r="E828" s="61"/>
    </row>
    <row r="829">
      <c r="B829" s="61"/>
      <c r="D829" s="61"/>
      <c r="E829" s="61"/>
    </row>
    <row r="830">
      <c r="B830" s="61"/>
      <c r="D830" s="61"/>
      <c r="E830" s="61"/>
    </row>
    <row r="831">
      <c r="B831" s="61"/>
      <c r="D831" s="61"/>
      <c r="E831" s="61"/>
    </row>
    <row r="832">
      <c r="B832" s="61"/>
      <c r="D832" s="61"/>
      <c r="E832" s="61"/>
    </row>
    <row r="833">
      <c r="B833" s="61"/>
      <c r="D833" s="61"/>
      <c r="E833" s="61"/>
    </row>
    <row r="834">
      <c r="B834" s="61"/>
      <c r="D834" s="61"/>
      <c r="E834" s="61"/>
    </row>
    <row r="835">
      <c r="B835" s="61"/>
      <c r="D835" s="61"/>
      <c r="E835" s="61"/>
    </row>
    <row r="836">
      <c r="B836" s="61"/>
      <c r="D836" s="61"/>
      <c r="E836" s="61"/>
    </row>
    <row r="837">
      <c r="B837" s="61"/>
      <c r="D837" s="61"/>
      <c r="E837" s="61"/>
    </row>
    <row r="838">
      <c r="B838" s="61"/>
      <c r="D838" s="61"/>
      <c r="E838" s="61"/>
    </row>
    <row r="839">
      <c r="B839" s="61"/>
      <c r="D839" s="61"/>
      <c r="E839" s="61"/>
    </row>
    <row r="840">
      <c r="B840" s="61"/>
      <c r="D840" s="61"/>
      <c r="E840" s="61"/>
    </row>
    <row r="841">
      <c r="B841" s="61"/>
      <c r="D841" s="61"/>
      <c r="E841" s="61"/>
    </row>
    <row r="842">
      <c r="B842" s="61"/>
      <c r="D842" s="61"/>
      <c r="E842" s="61"/>
    </row>
    <row r="843">
      <c r="B843" s="61"/>
      <c r="D843" s="61"/>
      <c r="E843" s="61"/>
    </row>
    <row r="844">
      <c r="B844" s="61"/>
      <c r="D844" s="61"/>
      <c r="E844" s="61"/>
    </row>
    <row r="845">
      <c r="B845" s="61"/>
      <c r="D845" s="61"/>
      <c r="E845" s="61"/>
    </row>
    <row r="846">
      <c r="B846" s="61"/>
      <c r="D846" s="61"/>
      <c r="E846" s="61"/>
    </row>
    <row r="847">
      <c r="B847" s="61"/>
      <c r="D847" s="61"/>
      <c r="E847" s="61"/>
    </row>
    <row r="848">
      <c r="B848" s="61"/>
      <c r="D848" s="61"/>
      <c r="E848" s="61"/>
    </row>
    <row r="849">
      <c r="B849" s="61"/>
      <c r="D849" s="61"/>
      <c r="E849" s="61"/>
    </row>
    <row r="850">
      <c r="B850" s="61"/>
      <c r="D850" s="61"/>
      <c r="E850" s="61"/>
    </row>
    <row r="851">
      <c r="B851" s="61"/>
      <c r="D851" s="61"/>
      <c r="E851" s="61"/>
    </row>
    <row r="852">
      <c r="B852" s="61"/>
      <c r="D852" s="61"/>
      <c r="E852" s="61"/>
    </row>
    <row r="853">
      <c r="B853" s="61"/>
      <c r="D853" s="61"/>
      <c r="E853" s="61"/>
    </row>
    <row r="854">
      <c r="B854" s="61"/>
      <c r="D854" s="61"/>
      <c r="E854" s="61"/>
    </row>
    <row r="855">
      <c r="B855" s="61"/>
      <c r="D855" s="61"/>
      <c r="E855" s="61"/>
    </row>
    <row r="856">
      <c r="B856" s="61"/>
      <c r="D856" s="61"/>
      <c r="E856" s="61"/>
    </row>
    <row r="857">
      <c r="B857" s="61"/>
      <c r="D857" s="61"/>
      <c r="E857" s="61"/>
    </row>
    <row r="858">
      <c r="B858" s="61"/>
      <c r="D858" s="61"/>
      <c r="E858" s="61"/>
    </row>
    <row r="859">
      <c r="B859" s="61"/>
      <c r="D859" s="61"/>
      <c r="E859" s="61"/>
    </row>
    <row r="860">
      <c r="B860" s="61"/>
      <c r="D860" s="61"/>
      <c r="E860" s="61"/>
    </row>
    <row r="861">
      <c r="B861" s="61"/>
      <c r="D861" s="61"/>
      <c r="E861" s="61"/>
    </row>
    <row r="862">
      <c r="B862" s="61"/>
      <c r="D862" s="61"/>
      <c r="E862" s="61"/>
    </row>
    <row r="863">
      <c r="B863" s="61"/>
      <c r="D863" s="61"/>
      <c r="E863" s="61"/>
    </row>
    <row r="864">
      <c r="B864" s="61"/>
      <c r="D864" s="61"/>
      <c r="E864" s="61"/>
    </row>
    <row r="865">
      <c r="B865" s="61"/>
      <c r="D865" s="61"/>
      <c r="E865" s="61"/>
    </row>
    <row r="866">
      <c r="B866" s="61"/>
      <c r="D866" s="61"/>
      <c r="E866" s="61"/>
    </row>
    <row r="867">
      <c r="B867" s="61"/>
      <c r="D867" s="61"/>
      <c r="E867" s="61"/>
    </row>
    <row r="868">
      <c r="B868" s="61"/>
      <c r="D868" s="61"/>
      <c r="E868" s="61"/>
    </row>
    <row r="869">
      <c r="B869" s="61"/>
      <c r="D869" s="61"/>
      <c r="E869" s="61"/>
    </row>
    <row r="870">
      <c r="B870" s="61"/>
      <c r="D870" s="61"/>
      <c r="E870" s="61"/>
    </row>
    <row r="871">
      <c r="B871" s="61"/>
      <c r="D871" s="61"/>
      <c r="E871" s="61"/>
    </row>
    <row r="872">
      <c r="B872" s="61"/>
      <c r="D872" s="61"/>
      <c r="E872" s="61"/>
    </row>
    <row r="873">
      <c r="B873" s="61"/>
      <c r="D873" s="61"/>
      <c r="E873" s="61"/>
    </row>
    <row r="874">
      <c r="B874" s="61"/>
      <c r="D874" s="61"/>
      <c r="E874" s="61"/>
    </row>
    <row r="875">
      <c r="B875" s="61"/>
      <c r="D875" s="61"/>
      <c r="E875" s="61"/>
    </row>
    <row r="876">
      <c r="B876" s="61"/>
      <c r="D876" s="61"/>
      <c r="E876" s="61"/>
    </row>
    <row r="877">
      <c r="B877" s="61"/>
      <c r="D877" s="61"/>
      <c r="E877" s="61"/>
    </row>
    <row r="878">
      <c r="B878" s="61"/>
      <c r="D878" s="61"/>
      <c r="E878" s="61"/>
    </row>
    <row r="879">
      <c r="B879" s="61"/>
      <c r="D879" s="61"/>
      <c r="E879" s="61"/>
    </row>
    <row r="880">
      <c r="B880" s="61"/>
      <c r="D880" s="61"/>
      <c r="E880" s="61"/>
    </row>
    <row r="881">
      <c r="B881" s="61"/>
      <c r="D881" s="61"/>
      <c r="E881" s="61"/>
    </row>
    <row r="882">
      <c r="B882" s="61"/>
      <c r="D882" s="61"/>
      <c r="E882" s="61"/>
    </row>
    <row r="883">
      <c r="B883" s="61"/>
      <c r="D883" s="61"/>
      <c r="E883" s="61"/>
    </row>
    <row r="884">
      <c r="B884" s="61"/>
      <c r="D884" s="61"/>
      <c r="E884" s="61"/>
    </row>
    <row r="885">
      <c r="B885" s="61"/>
      <c r="D885" s="61"/>
      <c r="E885" s="61"/>
    </row>
    <row r="886">
      <c r="B886" s="61"/>
      <c r="D886" s="61"/>
      <c r="E886" s="61"/>
    </row>
    <row r="887">
      <c r="B887" s="61"/>
      <c r="D887" s="61"/>
      <c r="E887" s="61"/>
    </row>
    <row r="888">
      <c r="B888" s="61"/>
      <c r="D888" s="61"/>
      <c r="E888" s="61"/>
    </row>
    <row r="889">
      <c r="B889" s="61"/>
      <c r="D889" s="61"/>
      <c r="E889" s="61"/>
    </row>
    <row r="890">
      <c r="B890" s="61"/>
      <c r="D890" s="61"/>
      <c r="E890" s="61"/>
    </row>
    <row r="891">
      <c r="B891" s="61"/>
      <c r="D891" s="61"/>
      <c r="E891" s="61"/>
    </row>
    <row r="892">
      <c r="B892" s="61"/>
      <c r="D892" s="61"/>
      <c r="E892" s="61"/>
    </row>
    <row r="893">
      <c r="B893" s="61"/>
      <c r="D893" s="61"/>
      <c r="E893" s="61"/>
    </row>
    <row r="894">
      <c r="B894" s="61"/>
      <c r="D894" s="61"/>
      <c r="E894" s="61"/>
    </row>
    <row r="895">
      <c r="B895" s="61"/>
      <c r="D895" s="61"/>
      <c r="E895" s="61"/>
    </row>
    <row r="896">
      <c r="B896" s="61"/>
      <c r="D896" s="61"/>
      <c r="E896" s="61"/>
    </row>
    <row r="897">
      <c r="B897" s="61"/>
      <c r="D897" s="61"/>
      <c r="E897" s="61"/>
    </row>
    <row r="898">
      <c r="B898" s="61"/>
      <c r="D898" s="61"/>
      <c r="E898" s="61"/>
    </row>
    <row r="899">
      <c r="B899" s="61"/>
      <c r="D899" s="61"/>
      <c r="E899" s="61"/>
    </row>
    <row r="900">
      <c r="B900" s="61"/>
      <c r="D900" s="61"/>
      <c r="E900" s="61"/>
    </row>
    <row r="901">
      <c r="B901" s="61"/>
      <c r="D901" s="61"/>
      <c r="E901" s="61"/>
    </row>
    <row r="902">
      <c r="B902" s="61"/>
      <c r="D902" s="61"/>
      <c r="E902" s="61"/>
    </row>
    <row r="903">
      <c r="B903" s="61"/>
      <c r="D903" s="61"/>
      <c r="E903" s="61"/>
    </row>
    <row r="904">
      <c r="B904" s="61"/>
      <c r="D904" s="61"/>
      <c r="E904" s="61"/>
    </row>
    <row r="905">
      <c r="B905" s="61"/>
      <c r="D905" s="61"/>
      <c r="E905" s="61"/>
    </row>
    <row r="906">
      <c r="B906" s="61"/>
      <c r="D906" s="61"/>
      <c r="E906" s="61"/>
    </row>
    <row r="907">
      <c r="B907" s="61"/>
      <c r="D907" s="61"/>
      <c r="E907" s="61"/>
    </row>
    <row r="908">
      <c r="B908" s="61"/>
      <c r="D908" s="61"/>
      <c r="E908" s="61"/>
    </row>
    <row r="909">
      <c r="B909" s="61"/>
      <c r="D909" s="61"/>
      <c r="E909" s="61"/>
    </row>
    <row r="910">
      <c r="B910" s="61"/>
      <c r="D910" s="61"/>
      <c r="E910" s="61"/>
    </row>
    <row r="911">
      <c r="B911" s="61"/>
      <c r="D911" s="61"/>
      <c r="E911" s="61"/>
    </row>
    <row r="912">
      <c r="B912" s="61"/>
      <c r="D912" s="61"/>
      <c r="E912" s="61"/>
    </row>
    <row r="913">
      <c r="B913" s="61"/>
      <c r="D913" s="61"/>
      <c r="E913" s="61"/>
    </row>
    <row r="914">
      <c r="B914" s="61"/>
      <c r="D914" s="61"/>
      <c r="E914" s="61"/>
    </row>
    <row r="915">
      <c r="B915" s="61"/>
      <c r="D915" s="61"/>
      <c r="E915" s="61"/>
    </row>
    <row r="916">
      <c r="B916" s="61"/>
      <c r="D916" s="61"/>
      <c r="E916" s="61"/>
    </row>
    <row r="917">
      <c r="B917" s="61"/>
      <c r="D917" s="61"/>
      <c r="E917" s="61"/>
    </row>
    <row r="918">
      <c r="B918" s="61"/>
      <c r="D918" s="61"/>
      <c r="E918" s="61"/>
    </row>
    <row r="919">
      <c r="B919" s="61"/>
      <c r="D919" s="61"/>
      <c r="E919" s="61"/>
    </row>
    <row r="920">
      <c r="B920" s="61"/>
      <c r="D920" s="61"/>
      <c r="E920" s="61"/>
    </row>
    <row r="921">
      <c r="B921" s="61"/>
      <c r="D921" s="61"/>
      <c r="E921" s="61"/>
    </row>
    <row r="922">
      <c r="B922" s="61"/>
      <c r="D922" s="61"/>
      <c r="E922" s="61"/>
    </row>
    <row r="923">
      <c r="B923" s="61"/>
      <c r="D923" s="61"/>
      <c r="E923" s="61"/>
    </row>
    <row r="924">
      <c r="B924" s="61"/>
      <c r="D924" s="61"/>
      <c r="E924" s="61"/>
    </row>
    <row r="925">
      <c r="B925" s="61"/>
      <c r="D925" s="61"/>
      <c r="E925" s="61"/>
    </row>
    <row r="926">
      <c r="B926" s="61"/>
      <c r="D926" s="61"/>
      <c r="E926" s="61"/>
    </row>
    <row r="927">
      <c r="B927" s="61"/>
      <c r="D927" s="61"/>
      <c r="E927" s="61"/>
    </row>
    <row r="928">
      <c r="B928" s="61"/>
      <c r="D928" s="61"/>
      <c r="E928" s="61"/>
    </row>
    <row r="929">
      <c r="B929" s="61"/>
      <c r="D929" s="61"/>
      <c r="E929" s="61"/>
    </row>
    <row r="930">
      <c r="B930" s="61"/>
      <c r="D930" s="61"/>
      <c r="E930" s="61"/>
    </row>
    <row r="931">
      <c r="B931" s="61"/>
      <c r="D931" s="61"/>
      <c r="E931" s="61"/>
    </row>
    <row r="932">
      <c r="B932" s="61"/>
      <c r="D932" s="61"/>
      <c r="E932" s="61"/>
    </row>
    <row r="933">
      <c r="B933" s="61"/>
      <c r="D933" s="61"/>
      <c r="E933" s="61"/>
    </row>
    <row r="934">
      <c r="B934" s="61"/>
      <c r="D934" s="61"/>
      <c r="E934" s="61"/>
    </row>
    <row r="935">
      <c r="B935" s="61"/>
      <c r="D935" s="61"/>
      <c r="E935" s="61"/>
    </row>
    <row r="936">
      <c r="B936" s="61"/>
      <c r="D936" s="61"/>
      <c r="E936" s="61"/>
    </row>
    <row r="937">
      <c r="B937" s="61"/>
      <c r="D937" s="61"/>
      <c r="E937" s="61"/>
    </row>
    <row r="938">
      <c r="B938" s="61"/>
      <c r="D938" s="61"/>
      <c r="E938" s="61"/>
    </row>
    <row r="939">
      <c r="B939" s="61"/>
      <c r="D939" s="61"/>
      <c r="E939" s="61"/>
    </row>
    <row r="940">
      <c r="B940" s="61"/>
      <c r="D940" s="61"/>
      <c r="E940" s="61"/>
    </row>
    <row r="941">
      <c r="B941" s="61"/>
      <c r="D941" s="61"/>
      <c r="E941" s="61"/>
    </row>
    <row r="942">
      <c r="B942" s="61"/>
      <c r="D942" s="61"/>
      <c r="E942" s="61"/>
    </row>
    <row r="943">
      <c r="B943" s="61"/>
      <c r="D943" s="61"/>
      <c r="E943" s="61"/>
    </row>
    <row r="944">
      <c r="B944" s="61"/>
      <c r="D944" s="61"/>
      <c r="E944" s="61"/>
    </row>
    <row r="945">
      <c r="B945" s="61"/>
      <c r="D945" s="61"/>
      <c r="E945" s="61"/>
    </row>
    <row r="946">
      <c r="B946" s="61"/>
      <c r="D946" s="61"/>
      <c r="E946" s="61"/>
    </row>
    <row r="947">
      <c r="B947" s="61"/>
      <c r="D947" s="61"/>
      <c r="E947" s="61"/>
    </row>
    <row r="948">
      <c r="B948" s="61"/>
      <c r="D948" s="61"/>
      <c r="E948" s="61"/>
    </row>
    <row r="949">
      <c r="B949" s="61"/>
      <c r="D949" s="61"/>
      <c r="E949" s="61"/>
    </row>
    <row r="950">
      <c r="B950" s="61"/>
      <c r="D950" s="61"/>
      <c r="E950" s="61"/>
    </row>
    <row r="951">
      <c r="B951" s="61"/>
      <c r="D951" s="61"/>
      <c r="E951" s="61"/>
    </row>
    <row r="952">
      <c r="B952" s="61"/>
      <c r="D952" s="61"/>
      <c r="E952" s="61"/>
    </row>
    <row r="953">
      <c r="B953" s="61"/>
      <c r="D953" s="61"/>
      <c r="E953" s="61"/>
    </row>
    <row r="954">
      <c r="B954" s="61"/>
      <c r="D954" s="61"/>
      <c r="E954" s="61"/>
    </row>
    <row r="955">
      <c r="B955" s="61"/>
      <c r="D955" s="61"/>
      <c r="E955" s="61"/>
    </row>
    <row r="956">
      <c r="B956" s="61"/>
      <c r="D956" s="61"/>
      <c r="E956" s="61"/>
    </row>
    <row r="957">
      <c r="B957" s="61"/>
      <c r="D957" s="61"/>
      <c r="E957" s="61"/>
    </row>
    <row r="958">
      <c r="B958" s="61"/>
      <c r="D958" s="61"/>
      <c r="E958" s="61"/>
    </row>
    <row r="959">
      <c r="B959" s="61"/>
      <c r="D959" s="61"/>
      <c r="E959" s="61"/>
    </row>
    <row r="960">
      <c r="B960" s="61"/>
      <c r="D960" s="61"/>
      <c r="E960" s="61"/>
    </row>
    <row r="961">
      <c r="B961" s="61"/>
      <c r="D961" s="61"/>
      <c r="E961" s="61"/>
    </row>
    <row r="962">
      <c r="B962" s="61"/>
      <c r="D962" s="61"/>
      <c r="E962" s="61"/>
    </row>
    <row r="963">
      <c r="B963" s="61"/>
      <c r="D963" s="61"/>
      <c r="E963" s="61"/>
    </row>
    <row r="964">
      <c r="B964" s="61"/>
      <c r="D964" s="61"/>
      <c r="E964" s="61"/>
    </row>
    <row r="965">
      <c r="B965" s="61"/>
      <c r="D965" s="61"/>
      <c r="E965" s="61"/>
    </row>
    <row r="966">
      <c r="B966" s="61"/>
      <c r="D966" s="61"/>
      <c r="E966" s="61"/>
    </row>
    <row r="967">
      <c r="B967" s="61"/>
      <c r="D967" s="61"/>
      <c r="E967" s="61"/>
    </row>
    <row r="968">
      <c r="B968" s="61"/>
      <c r="D968" s="61"/>
      <c r="E968" s="61"/>
    </row>
    <row r="969">
      <c r="B969" s="61"/>
      <c r="D969" s="61"/>
      <c r="E969" s="61"/>
    </row>
    <row r="970">
      <c r="B970" s="61"/>
      <c r="D970" s="61"/>
      <c r="E970" s="61"/>
    </row>
    <row r="971">
      <c r="B971" s="61"/>
      <c r="D971" s="61"/>
      <c r="E971" s="61"/>
    </row>
    <row r="972">
      <c r="B972" s="61"/>
      <c r="D972" s="61"/>
      <c r="E972" s="61"/>
    </row>
    <row r="973">
      <c r="B973" s="61"/>
      <c r="D973" s="61"/>
      <c r="E973" s="61"/>
    </row>
    <row r="974">
      <c r="B974" s="61"/>
      <c r="D974" s="61"/>
      <c r="E974" s="61"/>
    </row>
    <row r="975">
      <c r="B975" s="61"/>
      <c r="D975" s="61"/>
      <c r="E975" s="61"/>
    </row>
    <row r="976">
      <c r="B976" s="61"/>
      <c r="D976" s="61"/>
      <c r="E976" s="61"/>
    </row>
    <row r="977">
      <c r="B977" s="61"/>
      <c r="D977" s="61"/>
      <c r="E977" s="61"/>
    </row>
    <row r="978">
      <c r="B978" s="61"/>
      <c r="D978" s="61"/>
      <c r="E978" s="61"/>
    </row>
    <row r="979">
      <c r="B979" s="61"/>
      <c r="D979" s="61"/>
      <c r="E979" s="61"/>
    </row>
    <row r="980">
      <c r="B980" s="61"/>
      <c r="D980" s="61"/>
      <c r="E980" s="61"/>
    </row>
    <row r="981">
      <c r="B981" s="61"/>
      <c r="D981" s="61"/>
      <c r="E981" s="61"/>
    </row>
    <row r="982">
      <c r="B982" s="61"/>
      <c r="D982" s="61"/>
      <c r="E982" s="61"/>
    </row>
    <row r="983">
      <c r="B983" s="61"/>
      <c r="D983" s="61"/>
      <c r="E983" s="61"/>
    </row>
    <row r="984">
      <c r="B984" s="61"/>
      <c r="D984" s="61"/>
      <c r="E984" s="61"/>
    </row>
    <row r="985">
      <c r="B985" s="61"/>
      <c r="D985" s="61"/>
      <c r="E985" s="61"/>
    </row>
    <row r="986">
      <c r="B986" s="61"/>
      <c r="D986" s="61"/>
      <c r="E986" s="61"/>
    </row>
    <row r="987">
      <c r="B987" s="61"/>
      <c r="D987" s="61"/>
      <c r="E987" s="61"/>
    </row>
    <row r="988">
      <c r="B988" s="61"/>
      <c r="D988" s="61"/>
      <c r="E988" s="61"/>
    </row>
    <row r="989">
      <c r="B989" s="61"/>
      <c r="D989" s="61"/>
      <c r="E989" s="61"/>
    </row>
    <row r="990">
      <c r="B990" s="61"/>
      <c r="D990" s="61"/>
      <c r="E990" s="61"/>
    </row>
    <row r="991">
      <c r="B991" s="61"/>
      <c r="D991" s="61"/>
      <c r="E991" s="61"/>
    </row>
    <row r="992">
      <c r="B992" s="61"/>
      <c r="D992" s="61"/>
      <c r="E992" s="61"/>
    </row>
    <row r="993">
      <c r="B993" s="61"/>
      <c r="D993" s="61"/>
      <c r="E993" s="61"/>
    </row>
    <row r="994">
      <c r="B994" s="61"/>
      <c r="D994" s="61"/>
      <c r="E994" s="61"/>
    </row>
    <row r="995">
      <c r="B995" s="61"/>
      <c r="D995" s="61"/>
      <c r="E995" s="61"/>
    </row>
    <row r="996">
      <c r="B996" s="61"/>
      <c r="D996" s="61"/>
      <c r="E996" s="61"/>
    </row>
    <row r="997">
      <c r="B997" s="61"/>
      <c r="D997" s="61"/>
      <c r="E997" s="61"/>
    </row>
    <row r="998">
      <c r="B998" s="61"/>
      <c r="D998" s="61"/>
      <c r="E998" s="61"/>
    </row>
    <row r="999">
      <c r="B999" s="61"/>
      <c r="D999" s="61"/>
      <c r="E999" s="61"/>
    </row>
    <row r="1000">
      <c r="B1000" s="61"/>
      <c r="D1000" s="61"/>
      <c r="E1000" s="61"/>
    </row>
    <row r="1001">
      <c r="B1001" s="61"/>
      <c r="D1001" s="61"/>
      <c r="E1001" s="61"/>
    </row>
  </sheetData>
  <mergeCells count="4">
    <mergeCell ref="A1:E1"/>
    <mergeCell ref="H1:I4"/>
    <mergeCell ref="A3:B3"/>
    <mergeCell ref="F3:G3"/>
  </mergeCells>
  <dataValidations>
    <dataValidation type="list" allowBlank="1" showErrorMessage="1" sqref="A3">
      <formula1>'Información General'!$D$13:$D$27</formula1>
    </dataValidation>
  </dataValidation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88"/>
    <col customWidth="1" min="2" max="2" width="63.13"/>
    <col customWidth="1" min="3" max="3" width="18.0"/>
    <col customWidth="1" min="4" max="4" width="41.75"/>
    <col customWidth="1" min="5" max="5" width="45.5"/>
  </cols>
  <sheetData>
    <row r="1">
      <c r="A1" s="72" t="s">
        <v>32</v>
      </c>
    </row>
    <row r="2">
      <c r="B2" s="61"/>
      <c r="C2" s="61"/>
      <c r="D2" s="61"/>
      <c r="E2" s="61"/>
    </row>
    <row r="3">
      <c r="A3" s="68" t="s">
        <v>13</v>
      </c>
      <c r="B3" s="67" t="s">
        <v>26</v>
      </c>
      <c r="C3" s="69" t="s">
        <v>27</v>
      </c>
      <c r="D3" s="69" t="s">
        <v>28</v>
      </c>
      <c r="E3" s="69" t="s">
        <v>29</v>
      </c>
      <c r="F3" s="68" t="s">
        <v>30</v>
      </c>
      <c r="G3" s="68" t="s">
        <v>31</v>
      </c>
    </row>
    <row r="4">
      <c r="A4" s="71">
        <f>IFERROR(__xludf.DUMMYFUNCTION("QUERY(IMPORTRANGE(VLOOKUP('Información General'!F3,MetaData!A:B,2,FALSE), ""Diseño Curricular!A4:G500""), )"),1.0)</f>
        <v>1</v>
      </c>
      <c r="B4" s="61" t="str">
        <f>IFERROR(__xludf.DUMMYFUNCTION("""COMPUTED_VALUE"""),"define requisitos y objetivos de proyectos tecnológicos mediante métodos de recolección y análisis de información para establecer el alcance y éxito del proyecto en entornos organizacionales ")</f>
        <v>define requisitos y objetivos de proyectos tecnológicos mediante métodos de recolección y análisis de información para establecer el alcance y éxito del proyecto en entornos organizacionales </v>
      </c>
      <c r="C4" s="61">
        <f>IFERROR(__xludf.DUMMYFUNCTION("""COMPUTED_VALUE"""),1.0)</f>
        <v>1</v>
      </c>
      <c r="D4" s="61" t="str">
        <f>IFERROR(__xludf.DUMMYFUNCTION("""COMPUTED_VALUE"""),"Definiendo el alcance general del proyecto")</f>
        <v>Definiendo el alcance general del proyecto</v>
      </c>
      <c r="E4" s="61" t="str">
        <f>IFERROR(__xludf.DUMMYFUNCTION("""COMPUTED_VALUE"""),"Introducción a la definición del alcance")</f>
        <v>Introducción a la definición del alcance</v>
      </c>
      <c r="F4" s="71" t="str">
        <f>IFERROR(__xludf.DUMMYFUNCTION("""COMPUTED_VALUE"""),"Julio")</f>
        <v>Julio</v>
      </c>
      <c r="G4" s="71">
        <f>IFERROR(__xludf.DUMMYFUNCTION("""COMPUTED_VALUE"""),1.0)</f>
        <v>1</v>
      </c>
    </row>
    <row r="5">
      <c r="A5" s="71">
        <f>IFERROR(__xludf.DUMMYFUNCTION("""COMPUTED_VALUE"""),2.0)</f>
        <v>2</v>
      </c>
      <c r="B5" s="61" t="str">
        <f>IFERROR(__xludf.DUMMYFUNCTION("""COMPUTED_VALUE"""),"define requisitos y objetivos de proyectos tecnológicos mediante métodos de recolección y análisis de información para establecer el alcance y éxito del proyecto en entornos organizacionales ")</f>
        <v>define requisitos y objetivos de proyectos tecnológicos mediante métodos de recolección y análisis de información para establecer el alcance y éxito del proyecto en entornos organizacionales </v>
      </c>
      <c r="C5" s="61">
        <f>IFERROR(__xludf.DUMMYFUNCTION("""COMPUTED_VALUE"""),1.0)</f>
        <v>1</v>
      </c>
      <c r="D5" s="61" t="str">
        <f>IFERROR(__xludf.DUMMYFUNCTION("""COMPUTED_VALUE"""),"Definiendo el alcance general del proyecto")</f>
        <v>Definiendo el alcance general del proyecto</v>
      </c>
      <c r="E5" s="61" t="str">
        <f>IFERROR(__xludf.DUMMYFUNCTION("""COMPUTED_VALUE"""),"Componentes clave del alcance")</f>
        <v>Componentes clave del alcance</v>
      </c>
      <c r="F5" s="71" t="str">
        <f>IFERROR(__xludf.DUMMYFUNCTION("""COMPUTED_VALUE"""),"Julio")</f>
        <v>Julio</v>
      </c>
      <c r="G5" s="71">
        <f>IFERROR(__xludf.DUMMYFUNCTION("""COMPUTED_VALUE"""),1.0)</f>
        <v>1</v>
      </c>
    </row>
    <row r="6">
      <c r="A6" s="71">
        <f>IFERROR(__xludf.DUMMYFUNCTION("""COMPUTED_VALUE"""),3.0)</f>
        <v>3</v>
      </c>
      <c r="B6" s="61" t="str">
        <f>IFERROR(__xludf.DUMMYFUNCTION("""COMPUTED_VALUE"""),"define requisitos y objetivos de proyectos tecnológicos mediante métodos de recolección y análisis de información para establecer el alcance y éxito del proyecto en entornos organizacionales ")</f>
        <v>define requisitos y objetivos de proyectos tecnológicos mediante métodos de recolección y análisis de información para establecer el alcance y éxito del proyecto en entornos organizacionales </v>
      </c>
      <c r="C6" s="61">
        <f>IFERROR(__xludf.DUMMYFUNCTION("""COMPUTED_VALUE"""),1.0)</f>
        <v>1</v>
      </c>
      <c r="D6" s="61" t="str">
        <f>IFERROR(__xludf.DUMMYFUNCTION("""COMPUTED_VALUE"""),"Definiendo el alcance general del proyecto")</f>
        <v>Definiendo el alcance general del proyecto</v>
      </c>
      <c r="E6" s="61" t="str">
        <f>IFERROR(__xludf.DUMMYFUNCTION("""COMPUTED_VALUE"""),"Métodos para identificar requerimientos")</f>
        <v>Métodos para identificar requerimientos</v>
      </c>
      <c r="F6" s="71" t="str">
        <f>IFERROR(__xludf.DUMMYFUNCTION("""COMPUTED_VALUE"""),"Julio")</f>
        <v>Julio</v>
      </c>
      <c r="G6" s="71">
        <f>IFERROR(__xludf.DUMMYFUNCTION("""COMPUTED_VALUE"""),1.0)</f>
        <v>1</v>
      </c>
    </row>
    <row r="7">
      <c r="A7" s="71">
        <f>IFERROR(__xludf.DUMMYFUNCTION("""COMPUTED_VALUE"""),4.0)</f>
        <v>4</v>
      </c>
      <c r="B7" s="61" t="str">
        <f>IFERROR(__xludf.DUMMYFUNCTION("""COMPUTED_VALUE"""),"define requisitos y objetivos de proyectos tecnológicos mediante métodos de recolección y análisis de información para establecer el alcance y éxito del proyecto en entornos organizacionales ")</f>
        <v>define requisitos y objetivos de proyectos tecnológicos mediante métodos de recolección y análisis de información para establecer el alcance y éxito del proyecto en entornos organizacionales </v>
      </c>
      <c r="C7" s="61">
        <f>IFERROR(__xludf.DUMMYFUNCTION("""COMPUTED_VALUE"""),1.0)</f>
        <v>1</v>
      </c>
      <c r="D7" s="61" t="str">
        <f>IFERROR(__xludf.DUMMYFUNCTION("""COMPUTED_VALUE"""),"Definiendo el alcance general del proyecto")</f>
        <v>Definiendo el alcance general del proyecto</v>
      </c>
      <c r="E7" s="61" t="str">
        <f>IFERROR(__xludf.DUMMYFUNCTION("""COMPUTED_VALUE"""),"Herramientas de recolección de información")</f>
        <v>Herramientas de recolección de información</v>
      </c>
      <c r="F7" s="71" t="str">
        <f>IFERROR(__xludf.DUMMYFUNCTION("""COMPUTED_VALUE"""),"Julio")</f>
        <v>Julio</v>
      </c>
      <c r="G7" s="71">
        <f>IFERROR(__xludf.DUMMYFUNCTION("""COMPUTED_VALUE"""),1.0)</f>
        <v>1</v>
      </c>
    </row>
    <row r="8">
      <c r="A8" s="71">
        <f>IFERROR(__xludf.DUMMYFUNCTION("""COMPUTED_VALUE"""),5.0)</f>
        <v>5</v>
      </c>
      <c r="B8" s="61" t="str">
        <f>IFERROR(__xludf.DUMMYFUNCTION("""COMPUTED_VALUE"""),"define requisitos y objetivos de proyectos tecnológicos mediante métodos de recolección y análisis de información para establecer el alcance y éxito del proyecto en entornos organizacionales ")</f>
        <v>define requisitos y objetivos de proyectos tecnológicos mediante métodos de recolección y análisis de información para establecer el alcance y éxito del proyecto en entornos organizacionales </v>
      </c>
      <c r="C8" s="61">
        <f>IFERROR(__xludf.DUMMYFUNCTION("""COMPUTED_VALUE"""),1.0)</f>
        <v>1</v>
      </c>
      <c r="D8" s="61" t="str">
        <f>IFERROR(__xludf.DUMMYFUNCTION("""COMPUTED_VALUE"""),"Definiendo el alcance general del proyecto")</f>
        <v>Definiendo el alcance general del proyecto</v>
      </c>
      <c r="E8" s="61" t="str">
        <f>IFERROR(__xludf.DUMMYFUNCTION("""COMPUTED_VALUE"""),"Diferencia entre objetivos y metas")</f>
        <v>Diferencia entre objetivos y metas</v>
      </c>
      <c r="F8" s="71" t="str">
        <f>IFERROR(__xludf.DUMMYFUNCTION("""COMPUTED_VALUE"""),"Julio")</f>
        <v>Julio</v>
      </c>
      <c r="G8" s="71">
        <f>IFERROR(__xludf.DUMMYFUNCTION("""COMPUTED_VALUE"""),2.0)</f>
        <v>2</v>
      </c>
    </row>
    <row r="9">
      <c r="A9" s="71">
        <f>IFERROR(__xludf.DUMMYFUNCTION("""COMPUTED_VALUE"""),6.0)</f>
        <v>6</v>
      </c>
      <c r="B9" s="61" t="str">
        <f>IFERROR(__xludf.DUMMYFUNCTION("""COMPUTED_VALUE"""),"define requisitos y objetivos de proyectos tecnológicos mediante métodos de recolección y análisis de información para establecer el alcance y éxito del proyecto en entornos organizacionales ")</f>
        <v>define requisitos y objetivos de proyectos tecnológicos mediante métodos de recolección y análisis de información para establecer el alcance y éxito del proyecto en entornos organizacionales </v>
      </c>
      <c r="C9" s="61">
        <f>IFERROR(__xludf.DUMMYFUNCTION("""COMPUTED_VALUE"""),1.0)</f>
        <v>1</v>
      </c>
      <c r="D9" s="61" t="str">
        <f>IFERROR(__xludf.DUMMYFUNCTION("""COMPUTED_VALUE"""),"Definiendo el alcance general del proyecto")</f>
        <v>Definiendo el alcance general del proyecto</v>
      </c>
      <c r="E9" s="61" t="str">
        <f>IFERROR(__xludf.DUMMYFUNCTION("""COMPUTED_VALUE"""),"Análisis de interesados y su impacto en el alcance")</f>
        <v>Análisis de interesados y su impacto en el alcance</v>
      </c>
      <c r="F9" s="71" t="str">
        <f>IFERROR(__xludf.DUMMYFUNCTION("""COMPUTED_VALUE"""),"Julio")</f>
        <v>Julio</v>
      </c>
      <c r="G9" s="71">
        <f>IFERROR(__xludf.DUMMYFUNCTION("""COMPUTED_VALUE"""),2.0)</f>
        <v>2</v>
      </c>
    </row>
    <row r="10">
      <c r="A10" s="71">
        <f>IFERROR(__xludf.DUMMYFUNCTION("""COMPUTED_VALUE"""),7.0)</f>
        <v>7</v>
      </c>
      <c r="B10" s="61" t="str">
        <f>IFERROR(__xludf.DUMMYFUNCTION("""COMPUTED_VALUE"""),"define requisitos y objetivos de proyectos tecnológicos mediante métodos de recolección y análisis de información para establecer el alcance y éxito del proyecto en entornos organizacionales ")</f>
        <v>define requisitos y objetivos de proyectos tecnológicos mediante métodos de recolección y análisis de información para establecer el alcance y éxito del proyecto en entornos organizacionales </v>
      </c>
      <c r="C10" s="61">
        <f>IFERROR(__xludf.DUMMYFUNCTION("""COMPUTED_VALUE"""),1.0)</f>
        <v>1</v>
      </c>
      <c r="D10" s="61" t="str">
        <f>IFERROR(__xludf.DUMMYFUNCTION("""COMPUTED_VALUE"""),"Definiendo el alcance general del proyecto")</f>
        <v>Definiendo el alcance general del proyecto</v>
      </c>
      <c r="E10" s="61" t="str">
        <f>IFERROR(__xludf.DUMMYFUNCTION("""COMPUTED_VALUE"""),"Validación y control del alcance
")</f>
        <v>Validación y control del alcance
</v>
      </c>
      <c r="F10" s="71" t="str">
        <f>IFERROR(__xludf.DUMMYFUNCTION("""COMPUTED_VALUE"""),"Julio")</f>
        <v>Julio</v>
      </c>
      <c r="G10" s="71">
        <f>IFERROR(__xludf.DUMMYFUNCTION("""COMPUTED_VALUE"""),2.0)</f>
        <v>2</v>
      </c>
    </row>
    <row r="11">
      <c r="A11" s="71">
        <f>IFERROR(__xludf.DUMMYFUNCTION("""COMPUTED_VALUE"""),8.0)</f>
        <v>8</v>
      </c>
      <c r="B11" s="61" t="str">
        <f>IFERROR(__xludf.DUMMYFUNCTION("""COMPUTED_VALUE"""),"define requisitos y objetivos de proyectos tecnológicos mediante métodos de recolección y análisis de información para establecer el alcance y éxito del proyecto en entornos organizacionales ")</f>
        <v>define requisitos y objetivos de proyectos tecnológicos mediante métodos de recolección y análisis de información para establecer el alcance y éxito del proyecto en entornos organizacionales </v>
      </c>
      <c r="C11" s="61">
        <f>IFERROR(__xludf.DUMMYFUNCTION("""COMPUTED_VALUE"""),1.0)</f>
        <v>1</v>
      </c>
      <c r="D11" s="61" t="str">
        <f>IFERROR(__xludf.DUMMYFUNCTION("""COMPUTED_VALUE"""),"Desarrollo del acta de inicio del proyecto")</f>
        <v>Desarrollo del acta de inicio del proyecto</v>
      </c>
      <c r="E11" s="61" t="str">
        <f>IFERROR(__xludf.DUMMYFUNCTION("""COMPUTED_VALUE"""),"Propósito del acta de inicio")</f>
        <v>Propósito del acta de inicio</v>
      </c>
      <c r="F11" s="71" t="str">
        <f>IFERROR(__xludf.DUMMYFUNCTION("""COMPUTED_VALUE"""),"Julio")</f>
        <v>Julio</v>
      </c>
      <c r="G11" s="71">
        <f>IFERROR(__xludf.DUMMYFUNCTION("""COMPUTED_VALUE"""),2.0)</f>
        <v>2</v>
      </c>
    </row>
    <row r="12">
      <c r="A12" s="71">
        <f>IFERROR(__xludf.DUMMYFUNCTION("""COMPUTED_VALUE"""),9.0)</f>
        <v>9</v>
      </c>
      <c r="B12" s="61" t="str">
        <f>IFERROR(__xludf.DUMMYFUNCTION("""COMPUTED_VALUE"""),"define requisitos y objetivos de proyectos tecnológicos mediante métodos de recolección y análisis de información para establecer el alcance y éxito del proyecto en entornos organizacionales ")</f>
        <v>define requisitos y objetivos de proyectos tecnológicos mediante métodos de recolección y análisis de información para establecer el alcance y éxito del proyecto en entornos organizacionales </v>
      </c>
      <c r="C12" s="61">
        <f>IFERROR(__xludf.DUMMYFUNCTION("""COMPUTED_VALUE"""),1.0)</f>
        <v>1</v>
      </c>
      <c r="D12" s="61" t="str">
        <f>IFERROR(__xludf.DUMMYFUNCTION("""COMPUTED_VALUE"""),"Desarrollo del acta de inicio del proyecto")</f>
        <v>Desarrollo del acta de inicio del proyecto</v>
      </c>
      <c r="E12" s="61" t="str">
        <f>IFERROR(__xludf.DUMMYFUNCTION("""COMPUTED_VALUE"""),"Componentes esenciales del acta")</f>
        <v>Componentes esenciales del acta</v>
      </c>
      <c r="F12" s="71" t="str">
        <f>IFERROR(__xludf.DUMMYFUNCTION("""COMPUTED_VALUE"""),"Julio")</f>
        <v>Julio</v>
      </c>
      <c r="G12" s="71">
        <f>IFERROR(__xludf.DUMMYFUNCTION("""COMPUTED_VALUE"""),2.0)</f>
        <v>2</v>
      </c>
    </row>
    <row r="13">
      <c r="A13" s="71">
        <f>IFERROR(__xludf.DUMMYFUNCTION("""COMPUTED_VALUE"""),10.0)</f>
        <v>10</v>
      </c>
      <c r="B13" s="61" t="str">
        <f>IFERROR(__xludf.DUMMYFUNCTION("""COMPUTED_VALUE"""),"define requisitos y objetivos de proyectos tecnológicos mediante métodos de recolección y análisis de información para establecer el alcance y éxito del proyecto en entornos organizacionales ")</f>
        <v>define requisitos y objetivos de proyectos tecnológicos mediante métodos de recolección y análisis de información para establecer el alcance y éxito del proyecto en entornos organizacionales </v>
      </c>
      <c r="C13" s="61">
        <f>IFERROR(__xludf.DUMMYFUNCTION("""COMPUTED_VALUE"""),1.0)</f>
        <v>1</v>
      </c>
      <c r="D13" s="61" t="str">
        <f>IFERROR(__xludf.DUMMYFUNCTION("""COMPUTED_VALUE"""),"Desarrollo del acta de inicio del proyecto")</f>
        <v>Desarrollo del acta de inicio del proyecto</v>
      </c>
      <c r="E13" s="61" t="str">
        <f>IFERROR(__xludf.DUMMYFUNCTION("""COMPUTED_VALUE"""),"Establecimiento de objetivos claros y medibles")</f>
        <v>Establecimiento de objetivos claros y medibles</v>
      </c>
      <c r="F13" s="71" t="str">
        <f>IFERROR(__xludf.DUMMYFUNCTION("""COMPUTED_VALUE"""),"Julio")</f>
        <v>Julio</v>
      </c>
      <c r="G13" s="71">
        <f>IFERROR(__xludf.DUMMYFUNCTION("""COMPUTED_VALUE"""),2.0)</f>
        <v>2</v>
      </c>
    </row>
    <row r="14">
      <c r="A14" s="71">
        <f>IFERROR(__xludf.DUMMYFUNCTION("""COMPUTED_VALUE"""),11.0)</f>
        <v>11</v>
      </c>
      <c r="B14" s="61" t="str">
        <f>IFERROR(__xludf.DUMMYFUNCTION("""COMPUTED_VALUE"""),"define requisitos y objetivos de proyectos tecnológicos mediante métodos de recolección y análisis de información para establecer el alcance y éxito del proyecto en entornos organizacionales ")</f>
        <v>define requisitos y objetivos de proyectos tecnológicos mediante métodos de recolección y análisis de información para establecer el alcance y éxito del proyecto en entornos organizacionales </v>
      </c>
      <c r="C14" s="61">
        <f>IFERROR(__xludf.DUMMYFUNCTION("""COMPUTED_VALUE"""),1.0)</f>
        <v>1</v>
      </c>
      <c r="D14" s="61" t="str">
        <f>IFERROR(__xludf.DUMMYFUNCTION("""COMPUTED_VALUE"""),"Desarrollo del acta de inicio del proyecto")</f>
        <v>Desarrollo del acta de inicio del proyecto</v>
      </c>
      <c r="E14" s="61" t="str">
        <f>IFERROR(__xludf.DUMMYFUNCTION("""COMPUTED_VALUE"""),"Identificación de los interesados clave")</f>
        <v>Identificación de los interesados clave</v>
      </c>
      <c r="F14" s="71" t="str">
        <f>IFERROR(__xludf.DUMMYFUNCTION("""COMPUTED_VALUE"""),"Julio")</f>
        <v>Julio</v>
      </c>
      <c r="G14" s="71">
        <f>IFERROR(__xludf.DUMMYFUNCTION("""COMPUTED_VALUE"""),2.0)</f>
        <v>2</v>
      </c>
    </row>
    <row r="15">
      <c r="A15" s="71">
        <f>IFERROR(__xludf.DUMMYFUNCTION("""COMPUTED_VALUE"""),12.0)</f>
        <v>12</v>
      </c>
      <c r="B15" s="61" t="str">
        <f>IFERROR(__xludf.DUMMYFUNCTION("""COMPUTED_VALUE"""),"define requisitos y objetivos de proyectos tecnológicos mediante métodos de recolección y análisis de información para establecer el alcance y éxito del proyecto en entornos organizacionales ")</f>
        <v>define requisitos y objetivos de proyectos tecnológicos mediante métodos de recolección y análisis de información para establecer el alcance y éxito del proyecto en entornos organizacionales </v>
      </c>
      <c r="C15" s="61">
        <f>IFERROR(__xludf.DUMMYFUNCTION("""COMPUTED_VALUE"""),1.0)</f>
        <v>1</v>
      </c>
      <c r="D15" s="61" t="str">
        <f>IFERROR(__xludf.DUMMYFUNCTION("""COMPUTED_VALUE"""),"Desarrollo del acta de inicio del proyecto")</f>
        <v>Desarrollo del acta de inicio del proyecto</v>
      </c>
      <c r="E15" s="61" t="str">
        <f>IFERROR(__xludf.DUMMYFUNCTION("""COMPUTED_VALUE"""),"Alcance preliminar del proyecto")</f>
        <v>Alcance preliminar del proyecto</v>
      </c>
      <c r="F15" s="71" t="str">
        <f>IFERROR(__xludf.DUMMYFUNCTION("""COMPUTED_VALUE"""),"Julio")</f>
        <v>Julio</v>
      </c>
      <c r="G15" s="71">
        <f>IFERROR(__xludf.DUMMYFUNCTION("""COMPUTED_VALUE"""),2.0)</f>
        <v>2</v>
      </c>
    </row>
    <row r="16">
      <c r="A16" s="71">
        <f>IFERROR(__xludf.DUMMYFUNCTION("""COMPUTED_VALUE"""),13.0)</f>
        <v>13</v>
      </c>
      <c r="B16" s="61" t="str">
        <f>IFERROR(__xludf.DUMMYFUNCTION("""COMPUTED_VALUE"""),"define requisitos y objetivos de proyectos tecnológicos mediante métodos de recolección y análisis de información para establecer el alcance y éxito del proyecto en entornos organizacionales ")</f>
        <v>define requisitos y objetivos de proyectos tecnológicos mediante métodos de recolección y análisis de información para establecer el alcance y éxito del proyecto en entornos organizacionales </v>
      </c>
      <c r="C16" s="61">
        <f>IFERROR(__xludf.DUMMYFUNCTION("""COMPUTED_VALUE"""),1.0)</f>
        <v>1</v>
      </c>
      <c r="D16" s="61" t="str">
        <f>IFERROR(__xludf.DUMMYFUNCTION("""COMPUTED_VALUE"""),"Desarrollo del acta de inicio del proyecto")</f>
        <v>Desarrollo del acta de inicio del proyecto</v>
      </c>
      <c r="E16" s="61" t="str">
        <f>IFERROR(__xludf.DUMMYFUNCTION("""COMPUTED_VALUE"""),"Aprobación formal del proyecto")</f>
        <v>Aprobación formal del proyecto</v>
      </c>
      <c r="F16" s="71" t="str">
        <f>IFERROR(__xludf.DUMMYFUNCTION("""COMPUTED_VALUE"""),"Julio")</f>
        <v>Julio</v>
      </c>
      <c r="G16" s="71">
        <f>IFERROR(__xludf.DUMMYFUNCTION("""COMPUTED_VALUE"""),2.0)</f>
        <v>2</v>
      </c>
    </row>
    <row r="17">
      <c r="A17" s="71">
        <f>IFERROR(__xludf.DUMMYFUNCTION("""COMPUTED_VALUE"""),14.0)</f>
        <v>14</v>
      </c>
      <c r="B17" s="61" t="str">
        <f>IFERROR(__xludf.DUMMYFUNCTION("""COMPUTED_VALUE"""),"define requisitos y objetivos de proyectos tecnológicos mediante métodos de recolección y análisis de información para establecer el alcance y éxito del proyecto en entornos organizacionales ")</f>
        <v>define requisitos y objetivos de proyectos tecnológicos mediante métodos de recolección y análisis de información para establecer el alcance y éxito del proyecto en entornos organizacionales </v>
      </c>
      <c r="C17" s="61">
        <f>IFERROR(__xludf.DUMMYFUNCTION("""COMPUTED_VALUE"""),1.0)</f>
        <v>1</v>
      </c>
      <c r="D17" s="61" t="str">
        <f>IFERROR(__xludf.DUMMYFUNCTION("""COMPUTED_VALUE"""),"Desarrollo del acta de inicio del proyecto")</f>
        <v>Desarrollo del acta de inicio del proyecto</v>
      </c>
      <c r="E17" s="61" t="str">
        <f>IFERROR(__xludf.DUMMYFUNCTION("""COMPUTED_VALUE"""),"Roles y responsabilidades del equipo del proyecto")</f>
        <v>Roles y responsabilidades del equipo del proyecto</v>
      </c>
      <c r="F17" s="71" t="str">
        <f>IFERROR(__xludf.DUMMYFUNCTION("""COMPUTED_VALUE"""),"Julio")</f>
        <v>Julio</v>
      </c>
      <c r="G17" s="71">
        <f>IFERROR(__xludf.DUMMYFUNCTION("""COMPUTED_VALUE"""),2.0)</f>
        <v>2</v>
      </c>
    </row>
    <row r="18">
      <c r="A18" s="71">
        <f>IFERROR(__xludf.DUMMYFUNCTION("""COMPUTED_VALUE"""),15.0)</f>
        <v>15</v>
      </c>
      <c r="B18" s="61" t="str">
        <f>IFERROR(__xludf.DUMMYFUNCTION("""COMPUTED_VALUE"""),"integra estructura de desglose de trabajo (EDT) utilizando herramientas de planificación como Project Libre para organizar tareas y entregables en proyectos complejos ")</f>
        <v>integra estructura de desglose de trabajo (EDT) utilizando herramientas de planificación como Project Libre para organizar tareas y entregables en proyectos complejos </v>
      </c>
      <c r="C18" s="61">
        <f>IFERROR(__xludf.DUMMYFUNCTION("""COMPUTED_VALUE"""),2.0)</f>
        <v>2</v>
      </c>
      <c r="D18" s="61" t="str">
        <f>IFERROR(__xludf.DUMMYFUNCTION("""COMPUTED_VALUE"""),"Estructura de desglose de trabajo (EDT)")</f>
        <v>Estructura de desglose de trabajo (EDT)</v>
      </c>
      <c r="E18" s="61" t="str">
        <f>IFERROR(__xludf.DUMMYFUNCTION("""COMPUTED_VALUE"""),"Introducción a la EDT (WBS)")</f>
        <v>Introducción a la EDT (WBS)</v>
      </c>
      <c r="F18" s="71" t="str">
        <f>IFERROR(__xludf.DUMMYFUNCTION("""COMPUTED_VALUE"""),"Julio")</f>
        <v>Julio</v>
      </c>
      <c r="G18" s="71">
        <f>IFERROR(__xludf.DUMMYFUNCTION("""COMPUTED_VALUE"""),3.0)</f>
        <v>3</v>
      </c>
    </row>
    <row r="19">
      <c r="A19" s="71">
        <f>IFERROR(__xludf.DUMMYFUNCTION("""COMPUTED_VALUE"""),16.0)</f>
        <v>16</v>
      </c>
      <c r="B19" s="61" t="str">
        <f>IFERROR(__xludf.DUMMYFUNCTION("""COMPUTED_VALUE"""),"integra estructura de desglose de trabajo (EDT) utilizando herramientas de planificación como Project Libre para organizar tareas y entregables en proyectos complejos ")</f>
        <v>integra estructura de desglose de trabajo (EDT) utilizando herramientas de planificación como Project Libre para organizar tareas y entregables en proyectos complejos </v>
      </c>
      <c r="C19" s="61">
        <f>IFERROR(__xludf.DUMMYFUNCTION("""COMPUTED_VALUE"""),2.0)</f>
        <v>2</v>
      </c>
      <c r="D19" s="61" t="str">
        <f>IFERROR(__xludf.DUMMYFUNCTION("""COMPUTED_VALUE"""),"Estructura de desglose de trabajo (EDT)")</f>
        <v>Estructura de desglose de trabajo (EDT)</v>
      </c>
      <c r="E19" s="61" t="str">
        <f>IFERROR(__xludf.DUMMYFUNCTION("""COMPUTED_VALUE"""),"Componentes jerárquicos de la EDT
")</f>
        <v>Componentes jerárquicos de la EDT
</v>
      </c>
      <c r="F19" s="71" t="str">
        <f>IFERROR(__xludf.DUMMYFUNCTION("""COMPUTED_VALUE"""),"Julio")</f>
        <v>Julio</v>
      </c>
      <c r="G19" s="71">
        <f>IFERROR(__xludf.DUMMYFUNCTION("""COMPUTED_VALUE"""),3.0)</f>
        <v>3</v>
      </c>
    </row>
    <row r="20">
      <c r="A20" s="71">
        <f>IFERROR(__xludf.DUMMYFUNCTION("""COMPUTED_VALUE"""),17.0)</f>
        <v>17</v>
      </c>
      <c r="B20" s="61" t="str">
        <f>IFERROR(__xludf.DUMMYFUNCTION("""COMPUTED_VALUE"""),"integra estructura de desglose de trabajo (EDT) utilizando herramientas de planificación como Project Libre para organizar tareas y entregables en proyectos complejos ")</f>
        <v>integra estructura de desglose de trabajo (EDT) utilizando herramientas de planificación como Project Libre para organizar tareas y entregables en proyectos complejos </v>
      </c>
      <c r="C20" s="61">
        <f>IFERROR(__xludf.DUMMYFUNCTION("""COMPUTED_VALUE"""),2.0)</f>
        <v>2</v>
      </c>
      <c r="D20" s="61" t="str">
        <f>IFERROR(__xludf.DUMMYFUNCTION("""COMPUTED_VALUE"""),"Estructura de desglose de trabajo (EDT)")</f>
        <v>Estructura de desglose de trabajo (EDT)</v>
      </c>
      <c r="E20" s="61" t="str">
        <f>IFERROR(__xludf.DUMMYFUNCTION("""COMPUTED_VALUE"""),"Descomposición de tareas y entregables")</f>
        <v>Descomposición de tareas y entregables</v>
      </c>
      <c r="F20" s="71" t="str">
        <f>IFERROR(__xludf.DUMMYFUNCTION("""COMPUTED_VALUE"""),"Julio")</f>
        <v>Julio</v>
      </c>
      <c r="G20" s="71">
        <f>IFERROR(__xludf.DUMMYFUNCTION("""COMPUTED_VALUE"""),3.0)</f>
        <v>3</v>
      </c>
    </row>
    <row r="21">
      <c r="A21" s="71">
        <f>IFERROR(__xludf.DUMMYFUNCTION("""COMPUTED_VALUE"""),18.0)</f>
        <v>18</v>
      </c>
      <c r="B21" s="61" t="str">
        <f>IFERROR(__xludf.DUMMYFUNCTION("""COMPUTED_VALUE"""),"integra estructura de desglose de trabajo (EDT) utilizando herramientas de planificación como Project Libre para organizar tareas y entregables en proyectos complejos ")</f>
        <v>integra estructura de desglose de trabajo (EDT) utilizando herramientas de planificación como Project Libre para organizar tareas y entregables en proyectos complejos </v>
      </c>
      <c r="C21" s="61">
        <f>IFERROR(__xludf.DUMMYFUNCTION("""COMPUTED_VALUE"""),2.0)</f>
        <v>2</v>
      </c>
      <c r="D21" s="61" t="str">
        <f>IFERROR(__xludf.DUMMYFUNCTION("""COMPUTED_VALUE"""),"Estructura de desglose de trabajo (EDT)")</f>
        <v>Estructura de desglose de trabajo (EDT)</v>
      </c>
      <c r="E21" s="61" t="str">
        <f>IFERROR(__xludf.DUMMYFUNCTION("""COMPUTED_VALUE"""),"Niveles de la EDT")</f>
        <v>Niveles de la EDT</v>
      </c>
      <c r="F21" s="71" t="str">
        <f>IFERROR(__xludf.DUMMYFUNCTION("""COMPUTED_VALUE"""),"Julio")</f>
        <v>Julio</v>
      </c>
      <c r="G21" s="71">
        <f>IFERROR(__xludf.DUMMYFUNCTION("""COMPUTED_VALUE"""),3.0)</f>
        <v>3</v>
      </c>
    </row>
    <row r="22">
      <c r="A22" s="71">
        <f>IFERROR(__xludf.DUMMYFUNCTION("""COMPUTED_VALUE"""),19.0)</f>
        <v>19</v>
      </c>
      <c r="B22" s="61" t="str">
        <f>IFERROR(__xludf.DUMMYFUNCTION("""COMPUTED_VALUE"""),"integra estructura de desglose de trabajo (EDT) utilizando herramientas de planificación como Project Libre para organizar tareas y entregables en proyectos complejos ")</f>
        <v>integra estructura de desglose de trabajo (EDT) utilizando herramientas de planificación como Project Libre para organizar tareas y entregables en proyectos complejos </v>
      </c>
      <c r="C22" s="61">
        <f>IFERROR(__xludf.DUMMYFUNCTION("""COMPUTED_VALUE"""),2.0)</f>
        <v>2</v>
      </c>
      <c r="D22" s="61" t="str">
        <f>IFERROR(__xludf.DUMMYFUNCTION("""COMPUTED_VALUE"""),"Estructura de desglose de trabajo (EDT)")</f>
        <v>Estructura de desglose de trabajo (EDT)</v>
      </c>
      <c r="E22" s="61" t="str">
        <f>IFERROR(__xludf.DUMMYFUNCTION("""COMPUTED_VALUE"""),"Herramientas para crear una EDT")</f>
        <v>Herramientas para crear una EDT</v>
      </c>
      <c r="F22" s="71" t="str">
        <f>IFERROR(__xludf.DUMMYFUNCTION("""COMPUTED_VALUE"""),"Julio")</f>
        <v>Julio</v>
      </c>
      <c r="G22" s="71">
        <f>IFERROR(__xludf.DUMMYFUNCTION("""COMPUTED_VALUE"""),3.0)</f>
        <v>3</v>
      </c>
    </row>
    <row r="23">
      <c r="A23" s="71">
        <f>IFERROR(__xludf.DUMMYFUNCTION("""COMPUTED_VALUE"""),20.0)</f>
        <v>20</v>
      </c>
      <c r="B23" s="61" t="str">
        <f>IFERROR(__xludf.DUMMYFUNCTION("""COMPUTED_VALUE"""),"integra estructura de desglose de trabajo (EDT) utilizando herramientas de planificación como Project Libre para organizar tareas y entregables en proyectos complejos ")</f>
        <v>integra estructura de desglose de trabajo (EDT) utilizando herramientas de planificación como Project Libre para organizar tareas y entregables en proyectos complejos </v>
      </c>
      <c r="C23" s="61">
        <f>IFERROR(__xludf.DUMMYFUNCTION("""COMPUTED_VALUE"""),2.0)</f>
        <v>2</v>
      </c>
      <c r="D23" s="61" t="str">
        <f>IFERROR(__xludf.DUMMYFUNCTION("""COMPUTED_VALUE"""),"Estructura de desglose de trabajo (EDT)")</f>
        <v>Estructura de desglose de trabajo (EDT)</v>
      </c>
      <c r="E23" s="61" t="str">
        <f>IFERROR(__xludf.DUMMYFUNCTION("""COMPUTED_VALUE"""),"Relación entre la EDT y el cronograma
")</f>
        <v>Relación entre la EDT y el cronograma
</v>
      </c>
      <c r="F23" s="71" t="str">
        <f>IFERROR(__xludf.DUMMYFUNCTION("""COMPUTED_VALUE"""),"Julio")</f>
        <v>Julio</v>
      </c>
      <c r="G23" s="71">
        <f>IFERROR(__xludf.DUMMYFUNCTION("""COMPUTED_VALUE"""),3.0)</f>
        <v>3</v>
      </c>
    </row>
    <row r="24">
      <c r="A24" s="71">
        <f>IFERROR(__xludf.DUMMYFUNCTION("""COMPUTED_VALUE"""),21.0)</f>
        <v>21</v>
      </c>
      <c r="B24" s="61" t="str">
        <f>IFERROR(__xludf.DUMMYFUNCTION("""COMPUTED_VALUE"""),"integra estructura de desglose de trabajo (EDT) utilizando herramientas de planificación como Project Libre para organizar tareas y entregables en proyectos complejos ")</f>
        <v>integra estructura de desglose de trabajo (EDT) utilizando herramientas de planificación como Project Libre para organizar tareas y entregables en proyectos complejos </v>
      </c>
      <c r="C24" s="61">
        <f>IFERROR(__xludf.DUMMYFUNCTION("""COMPUTED_VALUE"""),2.0)</f>
        <v>2</v>
      </c>
      <c r="D24" s="61" t="str">
        <f>IFERROR(__xludf.DUMMYFUNCTION("""COMPUTED_VALUE"""),"Estructura de desglose de trabajo (EDT)")</f>
        <v>Estructura de desglose de trabajo (EDT)</v>
      </c>
      <c r="E24" s="61" t="str">
        <f>IFERROR(__xludf.DUMMYFUNCTION("""COMPUTED_VALUE"""),"Ejemplos de EDT en proyectos reales
")</f>
        <v>Ejemplos de EDT en proyectos reales
</v>
      </c>
      <c r="F24" s="71" t="str">
        <f>IFERROR(__xludf.DUMMYFUNCTION("""COMPUTED_VALUE"""),"Julio")</f>
        <v>Julio</v>
      </c>
      <c r="G24" s="71">
        <f>IFERROR(__xludf.DUMMYFUNCTION("""COMPUTED_VALUE"""),3.0)</f>
        <v>3</v>
      </c>
    </row>
    <row r="25">
      <c r="A25" s="71">
        <f>IFERROR(__xludf.DUMMYFUNCTION("""COMPUTED_VALUE"""),22.0)</f>
        <v>22</v>
      </c>
      <c r="B25" s="61" t="str">
        <f>IFERROR(__xludf.DUMMYFUNCTION("""COMPUTED_VALUE"""),"integra estructura de desglose de trabajo (EDT) utilizando herramientas de planificación como Project Libre para organizar tareas y entregables en proyectos complejos ")</f>
        <v>integra estructura de desglose de trabajo (EDT) utilizando herramientas de planificación como Project Libre para organizar tareas y entregables en proyectos complejos </v>
      </c>
      <c r="C25" s="61">
        <f>IFERROR(__xludf.DUMMYFUNCTION("""COMPUTED_VALUE"""),3.0)</f>
        <v>3</v>
      </c>
      <c r="D25" s="61" t="str">
        <f>IFERROR(__xludf.DUMMYFUNCTION("""COMPUTED_VALUE"""),"Cronograma de proyecto - Plan de tiempo")</f>
        <v>Cronograma de proyecto - Plan de tiempo</v>
      </c>
      <c r="E25" s="61" t="str">
        <f>IFERROR(__xludf.DUMMYFUNCTION("""COMPUTED_VALUE"""),"Importancia del cronograma en la gestión de proyectos")</f>
        <v>Importancia del cronograma en la gestión de proyectos</v>
      </c>
      <c r="F25" s="71" t="str">
        <f>IFERROR(__xludf.DUMMYFUNCTION("""COMPUTED_VALUE"""),"Julio")</f>
        <v>Julio</v>
      </c>
      <c r="G25" s="71">
        <f>IFERROR(__xludf.DUMMYFUNCTION("""COMPUTED_VALUE"""),4.0)</f>
        <v>4</v>
      </c>
    </row>
    <row r="26">
      <c r="A26" s="71">
        <f>IFERROR(__xludf.DUMMYFUNCTION("""COMPUTED_VALUE"""),23.0)</f>
        <v>23</v>
      </c>
      <c r="B26" s="61" t="str">
        <f>IFERROR(__xludf.DUMMYFUNCTION("""COMPUTED_VALUE"""),"integra estructura de desglose de trabajo (EDT) utilizando herramientas de planificación como Project Libre para organizar tareas y entregables en proyectos complejos ")</f>
        <v>integra estructura de desglose de trabajo (EDT) utilizando herramientas de planificación como Project Libre para organizar tareas y entregables en proyectos complejos </v>
      </c>
      <c r="C26" s="61">
        <f>IFERROR(__xludf.DUMMYFUNCTION("""COMPUTED_VALUE"""),3.0)</f>
        <v>3</v>
      </c>
      <c r="D26" s="61" t="str">
        <f>IFERROR(__xludf.DUMMYFUNCTION("""COMPUTED_VALUE"""),"Cronograma de proyecto - Plan de tiempo")</f>
        <v>Cronograma de proyecto - Plan de tiempo</v>
      </c>
      <c r="E26" s="61" t="str">
        <f>IFERROR(__xludf.DUMMYFUNCTION("""COMPUTED_VALUE"""),"Diagramas de Gantt y otros métodos visuales")</f>
        <v>Diagramas de Gantt y otros métodos visuales</v>
      </c>
      <c r="F26" s="71" t="str">
        <f>IFERROR(__xludf.DUMMYFUNCTION("""COMPUTED_VALUE"""),"Julio")</f>
        <v>Julio</v>
      </c>
      <c r="G26" s="71">
        <f>IFERROR(__xludf.DUMMYFUNCTION("""COMPUTED_VALUE"""),4.0)</f>
        <v>4</v>
      </c>
    </row>
    <row r="27">
      <c r="A27" s="71">
        <f>IFERROR(__xludf.DUMMYFUNCTION("""COMPUTED_VALUE"""),24.0)</f>
        <v>24</v>
      </c>
      <c r="B27" s="61" t="str">
        <f>IFERROR(__xludf.DUMMYFUNCTION("""COMPUTED_VALUE"""),"integra principios de calidad, eficiencia y control de tiempos mediante el uso de cronogramas, presupuestos y simuladores para mejorar el desempeño y cumplimiento de los objetivos de proyectos de TI ")</f>
        <v>integra principios de calidad, eficiencia y control de tiempos mediante el uso de cronogramas, presupuestos y simuladores para mejorar el desempeño y cumplimiento de los objetivos de proyectos de TI </v>
      </c>
      <c r="C27" s="61">
        <f>IFERROR(__xludf.DUMMYFUNCTION("""COMPUTED_VALUE"""),3.0)</f>
        <v>3</v>
      </c>
      <c r="D27" s="61" t="str">
        <f>IFERROR(__xludf.DUMMYFUNCTION("""COMPUTED_VALUE"""),"Cronograma de proyecto - Plan de tiempo")</f>
        <v>Cronograma de proyecto - Plan de tiempo</v>
      </c>
      <c r="E27" s="61" t="str">
        <f>IFERROR(__xludf.DUMMYFUNCTION("""COMPUTED_VALUE"""),"Estimación de la duración de tareas")</f>
        <v>Estimación de la duración de tareas</v>
      </c>
      <c r="F27" s="71" t="str">
        <f>IFERROR(__xludf.DUMMYFUNCTION("""COMPUTED_VALUE"""),"Julio")</f>
        <v>Julio</v>
      </c>
      <c r="G27" s="71">
        <f>IFERROR(__xludf.DUMMYFUNCTION("""COMPUTED_VALUE"""),4.0)</f>
        <v>4</v>
      </c>
    </row>
    <row r="28">
      <c r="A28" s="71">
        <f>IFERROR(__xludf.DUMMYFUNCTION("""COMPUTED_VALUE"""),25.0)</f>
        <v>25</v>
      </c>
      <c r="B28" s="61" t="str">
        <f>IFERROR(__xludf.DUMMYFUNCTION("""COMPUTED_VALUE"""),"integra principios de calidad, eficiencia y control de tiempos mediante el uso de cronogramas, presupuestos y simuladores para mejorar el desempeño y cumplimiento de los objetivos de proyectos de TI ")</f>
        <v>integra principios de calidad, eficiencia y control de tiempos mediante el uso de cronogramas, presupuestos y simuladores para mejorar el desempeño y cumplimiento de los objetivos de proyectos de TI </v>
      </c>
      <c r="C28" s="61">
        <f>IFERROR(__xludf.DUMMYFUNCTION("""COMPUTED_VALUE"""),3.0)</f>
        <v>3</v>
      </c>
      <c r="D28" s="61" t="str">
        <f>IFERROR(__xludf.DUMMYFUNCTION("""COMPUTED_VALUE"""),"Cronograma de proyecto - Plan de tiempo")</f>
        <v>Cronograma de proyecto - Plan de tiempo</v>
      </c>
      <c r="E28" s="61" t="str">
        <f>IFERROR(__xludf.DUMMYFUNCTION("""COMPUTED_VALUE"""),"Dependencias entre tareas (precedencia)
")</f>
        <v>Dependencias entre tareas (precedencia)
</v>
      </c>
      <c r="F28" s="71" t="str">
        <f>IFERROR(__xludf.DUMMYFUNCTION("""COMPUTED_VALUE"""),"Julio")</f>
        <v>Julio</v>
      </c>
      <c r="G28" s="71">
        <f>IFERROR(__xludf.DUMMYFUNCTION("""COMPUTED_VALUE"""),4.0)</f>
        <v>4</v>
      </c>
    </row>
    <row r="29">
      <c r="A29" s="71">
        <f>IFERROR(__xludf.DUMMYFUNCTION("""COMPUTED_VALUE"""),26.0)</f>
        <v>26</v>
      </c>
      <c r="B29" s="61" t="str">
        <f>IFERROR(__xludf.DUMMYFUNCTION("""COMPUTED_VALUE"""),"integra principios de calidad, eficiencia y control de tiempos mediante el uso de cronogramas, presupuestos y simuladores para mejorar el desempeño y cumplimiento de los objetivos de proyectos de TI ")</f>
        <v>integra principios de calidad, eficiencia y control de tiempos mediante el uso de cronogramas, presupuestos y simuladores para mejorar el desempeño y cumplimiento de los objetivos de proyectos de TI </v>
      </c>
      <c r="C29" s="61">
        <f>IFERROR(__xludf.DUMMYFUNCTION("""COMPUTED_VALUE"""),3.0)</f>
        <v>3</v>
      </c>
      <c r="D29" s="61" t="str">
        <f>IFERROR(__xludf.DUMMYFUNCTION("""COMPUTED_VALUE"""),"Cronograma de proyecto - Plan de tiempo")</f>
        <v>Cronograma de proyecto - Plan de tiempo</v>
      </c>
      <c r="E29" s="61" t="str">
        <f>IFERROR(__xludf.DUMMYFUNCTION("""COMPUTED_VALUE"""),"Técnicas de optimización de tiempos (fast-tracking, crashing)
")</f>
        <v>Técnicas de optimización de tiempos (fast-tracking, crashing)
</v>
      </c>
      <c r="F29" s="71" t="str">
        <f>IFERROR(__xludf.DUMMYFUNCTION("""COMPUTED_VALUE"""),"Julio")</f>
        <v>Julio</v>
      </c>
      <c r="G29" s="71">
        <f>IFERROR(__xludf.DUMMYFUNCTION("""COMPUTED_VALUE"""),4.0)</f>
        <v>4</v>
      </c>
    </row>
    <row r="30">
      <c r="A30" s="71">
        <f>IFERROR(__xludf.DUMMYFUNCTION("""COMPUTED_VALUE"""),27.0)</f>
        <v>27</v>
      </c>
      <c r="B30" s="61" t="str">
        <f>IFERROR(__xludf.DUMMYFUNCTION("""COMPUTED_VALUE"""),"integra principios de calidad, eficiencia y control de tiempos mediante el uso de cronogramas, presupuestos y simuladores para mejorar el desempeño y cumplimiento de los objetivos de proyectos de TI ")</f>
        <v>integra principios de calidad, eficiencia y control de tiempos mediante el uso de cronogramas, presupuestos y simuladores para mejorar el desempeño y cumplimiento de los objetivos de proyectos de TI </v>
      </c>
      <c r="C30" s="61">
        <f>IFERROR(__xludf.DUMMYFUNCTION("""COMPUTED_VALUE"""),3.0)</f>
        <v>3</v>
      </c>
      <c r="D30" s="61" t="str">
        <f>IFERROR(__xludf.DUMMYFUNCTION("""COMPUTED_VALUE"""),"Cronograma de proyecto - Plan de tiempo")</f>
        <v>Cronograma de proyecto - Plan de tiempo</v>
      </c>
      <c r="E30" s="61" t="str">
        <f>IFERROR(__xludf.DUMMYFUNCTION("""COMPUTED_VALUE"""),"Uso de software para la creación de cronogramas
(Project Libre)")</f>
        <v>Uso de software para la creación de cronogramas
(Project Libre)</v>
      </c>
      <c r="F30" s="71" t="str">
        <f>IFERROR(__xludf.DUMMYFUNCTION("""COMPUTED_VALUE"""),"Julio")</f>
        <v>Julio</v>
      </c>
      <c r="G30" s="71">
        <f>IFERROR(__xludf.DUMMYFUNCTION("""COMPUTED_VALUE"""),4.0)</f>
        <v>4</v>
      </c>
    </row>
    <row r="31">
      <c r="A31" s="71">
        <f>IFERROR(__xludf.DUMMYFUNCTION("""COMPUTED_VALUE"""),28.0)</f>
        <v>28</v>
      </c>
      <c r="B31" s="61" t="str">
        <f>IFERROR(__xludf.DUMMYFUNCTION("""COMPUTED_VALUE"""),"integra principios de calidad, eficiencia y control de tiempos mediante el uso de cronogramas, presupuestos y simuladores para mejorar el desempeño y cumplimiento de los objetivos de proyectos de TI ")</f>
        <v>integra principios de calidad, eficiencia y control de tiempos mediante el uso de cronogramas, presupuestos y simuladores para mejorar el desempeño y cumplimiento de los objetivos de proyectos de TI </v>
      </c>
      <c r="C31" s="61">
        <f>IFERROR(__xludf.DUMMYFUNCTION("""COMPUTED_VALUE"""),3.0)</f>
        <v>3</v>
      </c>
      <c r="D31" s="61" t="str">
        <f>IFERROR(__xludf.DUMMYFUNCTION("""COMPUTED_VALUE"""),"Cronograma de proyecto - Plan de tiempo")</f>
        <v>Cronograma de proyecto - Plan de tiempo</v>
      </c>
      <c r="E31" s="61" t="str">
        <f>IFERROR(__xludf.DUMMYFUNCTION("""COMPUTED_VALUE"""),"Monitoreo y actualización del cronograma")</f>
        <v>Monitoreo y actualización del cronograma</v>
      </c>
      <c r="F31" s="71" t="str">
        <f>IFERROR(__xludf.DUMMYFUNCTION("""COMPUTED_VALUE"""),"Julio")</f>
        <v>Julio</v>
      </c>
      <c r="G31" s="71">
        <f>IFERROR(__xludf.DUMMYFUNCTION("""COMPUTED_VALUE"""),4.0)</f>
        <v>4</v>
      </c>
    </row>
    <row r="32">
      <c r="A32" s="71">
        <f>IFERROR(__xludf.DUMMYFUNCTION("""COMPUTED_VALUE"""),29.0)</f>
        <v>29</v>
      </c>
      <c r="B32" s="61" t="str">
        <f>IFERROR(__xludf.DUMMYFUNCTION("""COMPUTED_VALUE"""),"integra principios de calidad, eficiencia y control de tiempos mediante el uso de cronogramas, presupuestos y simuladores para mejorar el desempeño y cumplimiento de los objetivos de proyectos de TI ")</f>
        <v>integra principios de calidad, eficiencia y control de tiempos mediante el uso de cronogramas, presupuestos y simuladores para mejorar el desempeño y cumplimiento de los objetivos de proyectos de TI </v>
      </c>
      <c r="C32" s="61">
        <f>IFERROR(__xludf.DUMMYFUNCTION("""COMPUTED_VALUE"""),3.0)</f>
        <v>3</v>
      </c>
      <c r="D32" s="61" t="str">
        <f>IFERROR(__xludf.DUMMYFUNCTION("""COMPUTED_VALUE"""),"Presupuesto del proyecto - Plan de costos")</f>
        <v>Presupuesto del proyecto - Plan de costos</v>
      </c>
      <c r="E32" s="61" t="str">
        <f>IFERROR(__xludf.DUMMYFUNCTION("""COMPUTED_VALUE"""),"Componentes del presupuesto de un proyecto
")</f>
        <v>Componentes del presupuesto de un proyecto
</v>
      </c>
      <c r="F32" s="71" t="str">
        <f>IFERROR(__xludf.DUMMYFUNCTION("""COMPUTED_VALUE"""),"Agosto")</f>
        <v>Agosto</v>
      </c>
      <c r="G32" s="71">
        <f>IFERROR(__xludf.DUMMYFUNCTION("""COMPUTED_VALUE"""),5.0)</f>
        <v>5</v>
      </c>
    </row>
    <row r="33">
      <c r="A33" s="71">
        <f>IFERROR(__xludf.DUMMYFUNCTION("""COMPUTED_VALUE"""),30.0)</f>
        <v>30</v>
      </c>
      <c r="B33" s="61" t="str">
        <f>IFERROR(__xludf.DUMMYFUNCTION("""COMPUTED_VALUE"""),"integra principios de calidad, eficiencia y control de tiempos mediante el uso de cronogramas, presupuestos y simuladores para mejorar el desempeño y cumplimiento de los objetivos de proyectos de TI ")</f>
        <v>integra principios de calidad, eficiencia y control de tiempos mediante el uso de cronogramas, presupuestos y simuladores para mejorar el desempeño y cumplimiento de los objetivos de proyectos de TI </v>
      </c>
      <c r="C33" s="61">
        <f>IFERROR(__xludf.DUMMYFUNCTION("""COMPUTED_VALUE"""),3.0)</f>
        <v>3</v>
      </c>
      <c r="D33" s="61" t="str">
        <f>IFERROR(__xludf.DUMMYFUNCTION("""COMPUTED_VALUE"""),"Presupuesto del proyecto - Plan de costos")</f>
        <v>Presupuesto del proyecto - Plan de costos</v>
      </c>
      <c r="E33" s="61" t="str">
        <f>IFERROR(__xludf.DUMMYFUNCTION("""COMPUTED_VALUE"""),"Tipos de costos (directos, indirectos, fijos, variables)
")</f>
        <v>Tipos de costos (directos, indirectos, fijos, variables)
</v>
      </c>
      <c r="F33" s="71" t="str">
        <f>IFERROR(__xludf.DUMMYFUNCTION("""COMPUTED_VALUE"""),"Agosto")</f>
        <v>Agosto</v>
      </c>
      <c r="G33" s="71">
        <f>IFERROR(__xludf.DUMMYFUNCTION("""COMPUTED_VALUE"""),5.0)</f>
        <v>5</v>
      </c>
    </row>
    <row r="34">
      <c r="A34" s="71">
        <f>IFERROR(__xludf.DUMMYFUNCTION("""COMPUTED_VALUE"""),31.0)</f>
        <v>31</v>
      </c>
      <c r="B34" s="61" t="str">
        <f>IFERROR(__xludf.DUMMYFUNCTION("""COMPUTED_VALUE"""),"integra principios de calidad, eficiencia y control de tiempos mediante el uso de cronogramas, presupuestos y simuladores para mejorar el desempeño y cumplimiento de los objetivos de proyectos de TI ")</f>
        <v>integra principios de calidad, eficiencia y control de tiempos mediante el uso de cronogramas, presupuestos y simuladores para mejorar el desempeño y cumplimiento de los objetivos de proyectos de TI </v>
      </c>
      <c r="C34" s="61">
        <f>IFERROR(__xludf.DUMMYFUNCTION("""COMPUTED_VALUE"""),3.0)</f>
        <v>3</v>
      </c>
      <c r="D34" s="61" t="str">
        <f>IFERROR(__xludf.DUMMYFUNCTION("""COMPUTED_VALUE"""),"Presupuesto del proyecto - Plan de costos")</f>
        <v>Presupuesto del proyecto - Plan de costos</v>
      </c>
      <c r="E34" s="61" t="str">
        <f>IFERROR(__xludf.DUMMYFUNCTION("""COMPUTED_VALUE"""),"Estimación de recursos necesarios")</f>
        <v>Estimación de recursos necesarios</v>
      </c>
      <c r="F34" s="71" t="str">
        <f>IFERROR(__xludf.DUMMYFUNCTION("""COMPUTED_VALUE"""),"Agosto")</f>
        <v>Agosto</v>
      </c>
      <c r="G34" s="71">
        <f>IFERROR(__xludf.DUMMYFUNCTION("""COMPUTED_VALUE"""),5.0)</f>
        <v>5</v>
      </c>
    </row>
    <row r="35">
      <c r="A35" s="71">
        <f>IFERROR(__xludf.DUMMYFUNCTION("""COMPUTED_VALUE"""),32.0)</f>
        <v>32</v>
      </c>
      <c r="B35" s="61" t="str">
        <f>IFERROR(__xludf.DUMMYFUNCTION("""COMPUTED_VALUE"""),"integra principios de calidad, eficiencia y control de tiempos mediante el uso de cronogramas, presupuestos y simuladores para mejorar el desempeño y cumplimiento de los objetivos de proyectos de TI ")</f>
        <v>integra principios de calidad, eficiencia y control de tiempos mediante el uso de cronogramas, presupuestos y simuladores para mejorar el desempeño y cumplimiento de los objetivos de proyectos de TI </v>
      </c>
      <c r="C35" s="61">
        <f>IFERROR(__xludf.DUMMYFUNCTION("""COMPUTED_VALUE"""),3.0)</f>
        <v>3</v>
      </c>
      <c r="D35" s="61" t="str">
        <f>IFERROR(__xludf.DUMMYFUNCTION("""COMPUTED_VALUE"""),"Presupuesto del proyecto - Plan de costos")</f>
        <v>Presupuesto del proyecto - Plan de costos</v>
      </c>
      <c r="E35" s="61" t="str">
        <f>IFERROR(__xludf.DUMMYFUNCTION("""COMPUTED_VALUE"""),"Técnicas para calcular costos (estimación análoga, paramétrica)
")</f>
        <v>Técnicas para calcular costos (estimación análoga, paramétrica)
</v>
      </c>
      <c r="F35" s="71" t="str">
        <f>IFERROR(__xludf.DUMMYFUNCTION("""COMPUTED_VALUE"""),"Agosto")</f>
        <v>Agosto</v>
      </c>
      <c r="G35" s="71">
        <f>IFERROR(__xludf.DUMMYFUNCTION("""COMPUTED_VALUE"""),5.0)</f>
        <v>5</v>
      </c>
    </row>
    <row r="36">
      <c r="A36" s="71">
        <f>IFERROR(__xludf.DUMMYFUNCTION("""COMPUTED_VALUE"""),33.0)</f>
        <v>33</v>
      </c>
      <c r="B36" s="61" t="str">
        <f>IFERROR(__xludf.DUMMYFUNCTION("""COMPUTED_VALUE"""),"integra principios de calidad, eficiencia y control de tiempos mediante el uso de cronogramas, presupuestos y simuladores para mejorar el desempeño y cumplimiento de los objetivos de proyectos de TI ")</f>
        <v>integra principios de calidad, eficiencia y control de tiempos mediante el uso de cronogramas, presupuestos y simuladores para mejorar el desempeño y cumplimiento de los objetivos de proyectos de TI </v>
      </c>
      <c r="C36" s="61">
        <f>IFERROR(__xludf.DUMMYFUNCTION("""COMPUTED_VALUE"""),3.0)</f>
        <v>3</v>
      </c>
      <c r="D36" s="61" t="str">
        <f>IFERROR(__xludf.DUMMYFUNCTION("""COMPUTED_VALUE"""),"Presupuesto del proyecto - Plan de costos")</f>
        <v>Presupuesto del proyecto - Plan de costos</v>
      </c>
      <c r="E36" s="61" t="str">
        <f>IFERROR(__xludf.DUMMYFUNCTION("""COMPUTED_VALUE"""),"Herramientas para la elaboración de presupuestos
")</f>
        <v>Herramientas para la elaboración de presupuestos
</v>
      </c>
      <c r="F36" s="71" t="str">
        <f>IFERROR(__xludf.DUMMYFUNCTION("""COMPUTED_VALUE"""),"Agosto")</f>
        <v>Agosto</v>
      </c>
      <c r="G36" s="71">
        <f>IFERROR(__xludf.DUMMYFUNCTION("""COMPUTED_VALUE"""),5.0)</f>
        <v>5</v>
      </c>
    </row>
    <row r="37">
      <c r="A37" s="71">
        <f>IFERROR(__xludf.DUMMYFUNCTION("""COMPUTED_VALUE"""),34.0)</f>
        <v>34</v>
      </c>
      <c r="B37" s="61" t="str">
        <f>IFERROR(__xludf.DUMMYFUNCTION("""COMPUTED_VALUE"""),"integra principios de calidad, eficiencia y control de tiempos mediante el uso de cronogramas, presupuestos y simuladores para mejorar el desempeño y cumplimiento de los objetivos de proyectos de TI ")</f>
        <v>integra principios de calidad, eficiencia y control de tiempos mediante el uso de cronogramas, presupuestos y simuladores para mejorar el desempeño y cumplimiento de los objetivos de proyectos de TI </v>
      </c>
      <c r="C37" s="61">
        <f>IFERROR(__xludf.DUMMYFUNCTION("""COMPUTED_VALUE"""),3.0)</f>
        <v>3</v>
      </c>
      <c r="D37" s="61" t="str">
        <f>IFERROR(__xludf.DUMMYFUNCTION("""COMPUTED_VALUE"""),"Presupuesto del proyecto - Plan de costos")</f>
        <v>Presupuesto del proyecto - Plan de costos</v>
      </c>
      <c r="E37" s="61" t="str">
        <f>IFERROR(__xludf.DUMMYFUNCTION("""COMPUTED_VALUE"""),"Control y seguimiento del presupuesto")</f>
        <v>Control y seguimiento del presupuesto</v>
      </c>
      <c r="F37" s="71" t="str">
        <f>IFERROR(__xludf.DUMMYFUNCTION("""COMPUTED_VALUE"""),"Agosto")</f>
        <v>Agosto</v>
      </c>
      <c r="G37" s="71">
        <f>IFERROR(__xludf.DUMMYFUNCTION("""COMPUTED_VALUE"""),5.0)</f>
        <v>5</v>
      </c>
    </row>
    <row r="38">
      <c r="A38" s="71">
        <f>IFERROR(__xludf.DUMMYFUNCTION("""COMPUTED_VALUE"""),35.0)</f>
        <v>35</v>
      </c>
      <c r="B38" s="61" t="str">
        <f>IFERROR(__xludf.DUMMYFUNCTION("""COMPUTED_VALUE"""),"integra principios de calidad, eficiencia y control de tiempos mediante el uso de cronogramas, presupuestos y simuladores para mejorar el desempeño y cumplimiento de los objetivos de proyectos de TI ")</f>
        <v>integra principios de calidad, eficiencia y control de tiempos mediante el uso de cronogramas, presupuestos y simuladores para mejorar el desempeño y cumplimiento de los objetivos de proyectos de TI </v>
      </c>
      <c r="C38" s="61">
        <f>IFERROR(__xludf.DUMMYFUNCTION("""COMPUTED_VALUE"""),3.0)</f>
        <v>3</v>
      </c>
      <c r="D38" s="61" t="str">
        <f>IFERROR(__xludf.DUMMYFUNCTION("""COMPUTED_VALUE"""),"Presupuesto del proyecto - Plan de costos")</f>
        <v>Presupuesto del proyecto - Plan de costos</v>
      </c>
      <c r="E38" s="61" t="str">
        <f>IFERROR(__xludf.DUMMYFUNCTION("""COMPUTED_VALUE"""),"Informe financiero del proyecto")</f>
        <v>Informe financiero del proyecto</v>
      </c>
      <c r="F38" s="71" t="str">
        <f>IFERROR(__xludf.DUMMYFUNCTION("""COMPUTED_VALUE"""),"Agosto")</f>
        <v>Agosto</v>
      </c>
      <c r="G38" s="71">
        <f>IFERROR(__xludf.DUMMYFUNCTION("""COMPUTED_VALUE"""),5.0)</f>
        <v>5</v>
      </c>
    </row>
    <row r="39">
      <c r="A39" s="71">
        <f>IFERROR(__xludf.DUMMYFUNCTION("""COMPUTED_VALUE"""),36.0)</f>
        <v>36</v>
      </c>
      <c r="B39" s="61" t="str">
        <f>IFERROR(__xludf.DUMMYFUNCTION("""COMPUTED_VALUE"""),"revisa riesgos y variables críticas en proyectos empleando técnicas de identificación y evaluación de riesgos para la formulación de estrategias de mitigación y control ")</f>
        <v>revisa riesgos y variables críticas en proyectos empleando técnicas de identificación y evaluación de riesgos para la formulación de estrategias de mitigación y control </v>
      </c>
      <c r="C39" s="61">
        <f>IFERROR(__xludf.DUMMYFUNCTION("""COMPUTED_VALUE"""),4.0)</f>
        <v>4</v>
      </c>
      <c r="D39" s="61" t="str">
        <f>IFERROR(__xludf.DUMMYFUNCTION("""COMPUTED_VALUE"""),"Identificación de riesgos del proyecto")</f>
        <v>Identificación de riesgos del proyecto</v>
      </c>
      <c r="E39" s="61" t="str">
        <f>IFERROR(__xludf.DUMMYFUNCTION("""COMPUTED_VALUE"""),"Concepto de riesgo en proyectos
")</f>
        <v>Concepto de riesgo en proyectos
</v>
      </c>
      <c r="F39" s="71" t="str">
        <f>IFERROR(__xludf.DUMMYFUNCTION("""COMPUTED_VALUE"""),"Agosto")</f>
        <v>Agosto</v>
      </c>
      <c r="G39" s="71">
        <f>IFERROR(__xludf.DUMMYFUNCTION("""COMPUTED_VALUE"""),6.0)</f>
        <v>6</v>
      </c>
    </row>
    <row r="40">
      <c r="A40" s="71">
        <f>IFERROR(__xludf.DUMMYFUNCTION("""COMPUTED_VALUE"""),37.0)</f>
        <v>37</v>
      </c>
      <c r="B40" s="61" t="str">
        <f>IFERROR(__xludf.DUMMYFUNCTION("""COMPUTED_VALUE"""),"revisa riesgos y variables críticas en proyectos empleando técnicas de identificación y evaluación de riesgos para la formulación de estrategias de mitigación y control ")</f>
        <v>revisa riesgos y variables críticas en proyectos empleando técnicas de identificación y evaluación de riesgos para la formulación de estrategias de mitigación y control </v>
      </c>
      <c r="C40" s="61">
        <f>IFERROR(__xludf.DUMMYFUNCTION("""COMPUTED_VALUE"""),4.0)</f>
        <v>4</v>
      </c>
      <c r="D40" s="61" t="str">
        <f>IFERROR(__xludf.DUMMYFUNCTION("""COMPUTED_VALUE"""),"Identificación de riesgos del proyecto")</f>
        <v>Identificación de riesgos del proyecto</v>
      </c>
      <c r="E40" s="61" t="str">
        <f>IFERROR(__xludf.DUMMYFUNCTION("""COMPUTED_VALUE"""),"Clasificación de riesgos (internos, externos)
")</f>
        <v>Clasificación de riesgos (internos, externos)
</v>
      </c>
      <c r="F40" s="71" t="str">
        <f>IFERROR(__xludf.DUMMYFUNCTION("""COMPUTED_VALUE"""),"Agosto")</f>
        <v>Agosto</v>
      </c>
      <c r="G40" s="71">
        <f>IFERROR(__xludf.DUMMYFUNCTION("""COMPUTED_VALUE"""),6.0)</f>
        <v>6</v>
      </c>
    </row>
    <row r="41">
      <c r="A41" s="71">
        <f>IFERROR(__xludf.DUMMYFUNCTION("""COMPUTED_VALUE"""),38.0)</f>
        <v>38</v>
      </c>
      <c r="B41" s="61" t="str">
        <f>IFERROR(__xludf.DUMMYFUNCTION("""COMPUTED_VALUE"""),"revisa riesgos y variables críticas en proyectos empleando técnicas de identificación y evaluación de riesgos para la formulación de estrategias de mitigación y control ")</f>
        <v>revisa riesgos y variables críticas en proyectos empleando técnicas de identificación y evaluación de riesgos para la formulación de estrategias de mitigación y control </v>
      </c>
      <c r="C41" s="61">
        <f>IFERROR(__xludf.DUMMYFUNCTION("""COMPUTED_VALUE"""),4.0)</f>
        <v>4</v>
      </c>
      <c r="D41" s="61" t="str">
        <f>IFERROR(__xludf.DUMMYFUNCTION("""COMPUTED_VALUE"""),"Identificación de riesgos del proyecto")</f>
        <v>Identificación de riesgos del proyecto</v>
      </c>
      <c r="E41" s="61" t="str">
        <f>IFERROR(__xludf.DUMMYFUNCTION("""COMPUTED_VALUE"""),"Técnicas para identificar riesgos (brainstorming, entrevistas)
")</f>
        <v>Técnicas para identificar riesgos (brainstorming, entrevistas)
</v>
      </c>
      <c r="F41" s="71" t="str">
        <f>IFERROR(__xludf.DUMMYFUNCTION("""COMPUTED_VALUE"""),"Agosto")</f>
        <v>Agosto</v>
      </c>
      <c r="G41" s="71">
        <f>IFERROR(__xludf.DUMMYFUNCTION("""COMPUTED_VALUE"""),6.0)</f>
        <v>6</v>
      </c>
    </row>
    <row r="42">
      <c r="A42" s="71">
        <f>IFERROR(__xludf.DUMMYFUNCTION("""COMPUTED_VALUE"""),39.0)</f>
        <v>39</v>
      </c>
      <c r="B42" s="61" t="str">
        <f>IFERROR(__xludf.DUMMYFUNCTION("""COMPUTED_VALUE"""),"revisa riesgos y variables críticas en proyectos empleando técnicas de identificación y evaluación de riesgos para la formulación de estrategias de mitigación y control ")</f>
        <v>revisa riesgos y variables críticas en proyectos empleando técnicas de identificación y evaluación de riesgos para la formulación de estrategias de mitigación y control </v>
      </c>
      <c r="C42" s="61">
        <f>IFERROR(__xludf.DUMMYFUNCTION("""COMPUTED_VALUE"""),4.0)</f>
        <v>4</v>
      </c>
      <c r="D42" s="61" t="str">
        <f>IFERROR(__xludf.DUMMYFUNCTION("""COMPUTED_VALUE"""),"Identificación de riesgos del proyecto")</f>
        <v>Identificación de riesgos del proyecto</v>
      </c>
      <c r="E42" s="61" t="str">
        <f>IFERROR(__xludf.DUMMYFUNCTION("""COMPUTED_VALUE"""),"Registro de riesgos
")</f>
        <v>Registro de riesgos
</v>
      </c>
      <c r="F42" s="71" t="str">
        <f>IFERROR(__xludf.DUMMYFUNCTION("""COMPUTED_VALUE"""),"Agosto")</f>
        <v>Agosto</v>
      </c>
      <c r="G42" s="71">
        <f>IFERROR(__xludf.DUMMYFUNCTION("""COMPUTED_VALUE"""),6.0)</f>
        <v>6</v>
      </c>
    </row>
    <row r="43">
      <c r="A43" s="71">
        <f>IFERROR(__xludf.DUMMYFUNCTION("""COMPUTED_VALUE"""),40.0)</f>
        <v>40</v>
      </c>
      <c r="B43" s="61" t="str">
        <f>IFERROR(__xludf.DUMMYFUNCTION("""COMPUTED_VALUE"""),"revisa riesgos y variables críticas en proyectos empleando técnicas de identificación y evaluación de riesgos para la formulación de estrategias de mitigación y control ")</f>
        <v>revisa riesgos y variables críticas en proyectos empleando técnicas de identificación y evaluación de riesgos para la formulación de estrategias de mitigación y control </v>
      </c>
      <c r="C43" s="61">
        <f>IFERROR(__xludf.DUMMYFUNCTION("""COMPUTED_VALUE"""),4.0)</f>
        <v>4</v>
      </c>
      <c r="D43" s="61" t="str">
        <f>IFERROR(__xludf.DUMMYFUNCTION("""COMPUTED_VALUE"""),"Identificación de riesgos del proyecto")</f>
        <v>Identificación de riesgos del proyecto</v>
      </c>
      <c r="E43" s="61" t="str">
        <f>IFERROR(__xludf.DUMMYFUNCTION("""COMPUTED_VALUE"""),"Análisis cualitativo y cuantitativo de riesgos
")</f>
        <v>Análisis cualitativo y cuantitativo de riesgos
</v>
      </c>
      <c r="F43" s="71" t="str">
        <f>IFERROR(__xludf.DUMMYFUNCTION("""COMPUTED_VALUE"""),"Agosto")</f>
        <v>Agosto</v>
      </c>
      <c r="G43" s="71">
        <f>IFERROR(__xludf.DUMMYFUNCTION("""COMPUTED_VALUE"""),6.0)</f>
        <v>6</v>
      </c>
    </row>
    <row r="44">
      <c r="A44" s="71">
        <f>IFERROR(__xludf.DUMMYFUNCTION("""COMPUTED_VALUE"""),41.0)</f>
        <v>41</v>
      </c>
      <c r="B44" s="61" t="str">
        <f>IFERROR(__xludf.DUMMYFUNCTION("""COMPUTED_VALUE"""),"revisa riesgos y variables críticas en proyectos empleando técnicas de identificación y evaluación de riesgos para la formulación de estrategias de mitigación y control ")</f>
        <v>revisa riesgos y variables críticas en proyectos empleando técnicas de identificación y evaluación de riesgos para la formulación de estrategias de mitigación y control </v>
      </c>
      <c r="C44" s="61">
        <f>IFERROR(__xludf.DUMMYFUNCTION("""COMPUTED_VALUE"""),4.0)</f>
        <v>4</v>
      </c>
      <c r="D44" s="61" t="str">
        <f>IFERROR(__xludf.DUMMYFUNCTION("""COMPUTED_VALUE"""),"Identificación de riesgos del proyecto")</f>
        <v>Identificación de riesgos del proyecto</v>
      </c>
      <c r="E44" s="61" t="str">
        <f>IFERROR(__xludf.DUMMYFUNCTION("""COMPUTED_VALUE"""),"Planificación de respuestas a riesgos
")</f>
        <v>Planificación de respuestas a riesgos
</v>
      </c>
      <c r="F44" s="71" t="str">
        <f>IFERROR(__xludf.DUMMYFUNCTION("""COMPUTED_VALUE"""),"Agosto")</f>
        <v>Agosto</v>
      </c>
      <c r="G44" s="71">
        <f>IFERROR(__xludf.DUMMYFUNCTION("""COMPUTED_VALUE"""),6.0)</f>
        <v>6</v>
      </c>
    </row>
    <row r="45">
      <c r="A45" s="71">
        <f>IFERROR(__xludf.DUMMYFUNCTION("""COMPUTED_VALUE"""),42.0)</f>
        <v>42</v>
      </c>
      <c r="B45" s="61" t="str">
        <f>IFERROR(__xludf.DUMMYFUNCTION("""COMPUTED_VALUE"""),"revisa riesgos y variables críticas en proyectos empleando técnicas de identificación y evaluación de riesgos para la formulación de estrategias de mitigación y control ")</f>
        <v>revisa riesgos y variables críticas en proyectos empleando técnicas de identificación y evaluación de riesgos para la formulación de estrategias de mitigación y control </v>
      </c>
      <c r="C45" s="61">
        <f>IFERROR(__xludf.DUMMYFUNCTION("""COMPUTED_VALUE"""),4.0)</f>
        <v>4</v>
      </c>
      <c r="D45" s="61" t="str">
        <f>IFERROR(__xludf.DUMMYFUNCTION("""COMPUTED_VALUE"""),"Identificación de riesgos del proyecto")</f>
        <v>Identificación de riesgos del proyecto</v>
      </c>
      <c r="E45" s="61" t="str">
        <f>IFERROR(__xludf.DUMMYFUNCTION("""COMPUTED_VALUE"""),"Monitoreo y control de riesgos")</f>
        <v>Monitoreo y control de riesgos</v>
      </c>
      <c r="F45" s="71" t="str">
        <f>IFERROR(__xludf.DUMMYFUNCTION("""COMPUTED_VALUE"""),"Agosto")</f>
        <v>Agosto</v>
      </c>
      <c r="G45" s="71">
        <f>IFERROR(__xludf.DUMMYFUNCTION("""COMPUTED_VALUE"""),6.0)</f>
        <v>6</v>
      </c>
    </row>
    <row r="46">
      <c r="A46" s="71">
        <f>IFERROR(__xludf.DUMMYFUNCTION("""COMPUTED_VALUE"""),43.0)</f>
        <v>43</v>
      </c>
      <c r="B46" s="61" t="str">
        <f>IFERROR(__xludf.DUMMYFUNCTION("""COMPUTED_VALUE"""),"integra principios de calidad, eficiencia y control de tiempos mediante el uso de cronogramas, presupuestos y simuladores para mejorar el desempeño y cumplimiento de los objetivos de proyectos de TI ")</f>
        <v>integra principios de calidad, eficiencia y control de tiempos mediante el uso de cronogramas, presupuestos y simuladores para mejorar el desempeño y cumplimiento de los objetivos de proyectos de TI </v>
      </c>
      <c r="C46" s="61">
        <f>IFERROR(__xludf.DUMMYFUNCTION("""COMPUTED_VALUE"""),5.0)</f>
        <v>5</v>
      </c>
      <c r="D46" s="61" t="str">
        <f>IFERROR(__xludf.DUMMYFUNCTION("""COMPUTED_VALUE"""),"Línea base de tiempo e hitos")</f>
        <v>Línea base de tiempo e hitos</v>
      </c>
      <c r="E46" s="61" t="str">
        <f>IFERROR(__xludf.DUMMYFUNCTION("""COMPUTED_VALUE"""),"Definición de la línea base del proyecto
")</f>
        <v>Definición de la línea base del proyecto
</v>
      </c>
      <c r="F46" s="71" t="str">
        <f>IFERROR(__xludf.DUMMYFUNCTION("""COMPUTED_VALUE"""),"Agosto")</f>
        <v>Agosto</v>
      </c>
      <c r="G46" s="71">
        <f>IFERROR(__xludf.DUMMYFUNCTION("""COMPUTED_VALUE"""),7.0)</f>
        <v>7</v>
      </c>
    </row>
    <row r="47">
      <c r="A47" s="71">
        <f>IFERROR(__xludf.DUMMYFUNCTION("""COMPUTED_VALUE"""),44.0)</f>
        <v>44</v>
      </c>
      <c r="B47" s="61" t="str">
        <f>IFERROR(__xludf.DUMMYFUNCTION("""COMPUTED_VALUE"""),"integra principios de calidad, eficiencia y control de tiempos mediante el uso de cronogramas, presupuestos y simuladores para mejorar el desempeño y cumplimiento de los objetivos de proyectos de TI ")</f>
        <v>integra principios de calidad, eficiencia y control de tiempos mediante el uso de cronogramas, presupuestos y simuladores para mejorar el desempeño y cumplimiento de los objetivos de proyectos de TI </v>
      </c>
      <c r="C47" s="61">
        <f>IFERROR(__xludf.DUMMYFUNCTION("""COMPUTED_VALUE"""),5.0)</f>
        <v>5</v>
      </c>
      <c r="D47" s="61" t="str">
        <f>IFERROR(__xludf.DUMMYFUNCTION("""COMPUTED_VALUE"""),"Línea base de tiempo e hitos")</f>
        <v>Línea base de tiempo e hitos</v>
      </c>
      <c r="E47" s="61" t="str">
        <f>IFERROR(__xludf.DUMMYFUNCTION("""COMPUTED_VALUE"""),"Importancia de los hitos en el seguimiento del proyecto
")</f>
        <v>Importancia de los hitos en el seguimiento del proyecto
</v>
      </c>
      <c r="F47" s="71" t="str">
        <f>IFERROR(__xludf.DUMMYFUNCTION("""COMPUTED_VALUE"""),"Agosto")</f>
        <v>Agosto</v>
      </c>
      <c r="G47" s="71">
        <f>IFERROR(__xludf.DUMMYFUNCTION("""COMPUTED_VALUE"""),7.0)</f>
        <v>7</v>
      </c>
    </row>
    <row r="48">
      <c r="A48" s="71">
        <f>IFERROR(__xludf.DUMMYFUNCTION("""COMPUTED_VALUE"""),45.0)</f>
        <v>45</v>
      </c>
      <c r="B48" s="61" t="str">
        <f>IFERROR(__xludf.DUMMYFUNCTION("""COMPUTED_VALUE"""),"integra principios de calidad, eficiencia y control de tiempos mediante el uso de cronogramas, presupuestos y simuladores para mejorar el desempeño y cumplimiento de los objetivos de proyectos de TI ")</f>
        <v>integra principios de calidad, eficiencia y control de tiempos mediante el uso de cronogramas, presupuestos y simuladores para mejorar el desempeño y cumplimiento de los objetivos de proyectos de TI </v>
      </c>
      <c r="C48" s="61">
        <f>IFERROR(__xludf.DUMMYFUNCTION("""COMPUTED_VALUE"""),5.0)</f>
        <v>5</v>
      </c>
      <c r="D48" s="61" t="str">
        <f>IFERROR(__xludf.DUMMYFUNCTION("""COMPUTED_VALUE"""),"Línea base de tiempo e hitos")</f>
        <v>Línea base de tiempo e hitos</v>
      </c>
      <c r="E48" s="61" t="str">
        <f>IFERROR(__xludf.DUMMYFUNCTION("""COMPUTED_VALUE"""),"Métodos para el monitoreo del progreso
")</f>
        <v>Métodos para el monitoreo del progreso
</v>
      </c>
      <c r="F48" s="71" t="str">
        <f>IFERROR(__xludf.DUMMYFUNCTION("""COMPUTED_VALUE"""),"Agosto")</f>
        <v>Agosto</v>
      </c>
      <c r="G48" s="71">
        <f>IFERROR(__xludf.DUMMYFUNCTION("""COMPUTED_VALUE"""),7.0)</f>
        <v>7</v>
      </c>
    </row>
    <row r="49">
      <c r="A49" s="71">
        <f>IFERROR(__xludf.DUMMYFUNCTION("""COMPUTED_VALUE"""),46.0)</f>
        <v>46</v>
      </c>
      <c r="B49" s="61" t="str">
        <f>IFERROR(__xludf.DUMMYFUNCTION("""COMPUTED_VALUE"""),"integra principios de calidad, eficiencia y control de tiempos mediante el uso de cronogramas, presupuestos y simuladores para mejorar el desempeño y cumplimiento de los objetivos de proyectos de TI ")</f>
        <v>integra principios de calidad, eficiencia y control de tiempos mediante el uso de cronogramas, presupuestos y simuladores para mejorar el desempeño y cumplimiento de los objetivos de proyectos de TI </v>
      </c>
      <c r="C49" s="61">
        <f>IFERROR(__xludf.DUMMYFUNCTION("""COMPUTED_VALUE"""),5.0)</f>
        <v>5</v>
      </c>
      <c r="D49" s="61" t="str">
        <f>IFERROR(__xludf.DUMMYFUNCTION("""COMPUTED_VALUE"""),"Línea base de tiempo e hitos")</f>
        <v>Línea base de tiempo e hitos</v>
      </c>
      <c r="E49" s="61" t="str">
        <f>IFERROR(__xludf.DUMMYFUNCTION("""COMPUTED_VALUE"""),"Herramientas para el control del cronograma
")</f>
        <v>Herramientas para el control del cronograma
</v>
      </c>
      <c r="F49" s="71" t="str">
        <f>IFERROR(__xludf.DUMMYFUNCTION("""COMPUTED_VALUE"""),"Agosto")</f>
        <v>Agosto</v>
      </c>
      <c r="G49" s="71">
        <f>IFERROR(__xludf.DUMMYFUNCTION("""COMPUTED_VALUE"""),7.0)</f>
        <v>7</v>
      </c>
    </row>
    <row r="50">
      <c r="A50" s="71">
        <f>IFERROR(__xludf.DUMMYFUNCTION("""COMPUTED_VALUE"""),47.0)</f>
        <v>47</v>
      </c>
      <c r="B50" s="61" t="str">
        <f>IFERROR(__xludf.DUMMYFUNCTION("""COMPUTED_VALUE"""),"integra principios de calidad, eficiencia y control de tiempos mediante el uso de cronogramas, presupuestos y simuladores para mejorar el desempeño y cumplimiento de los objetivos de proyectos de TI ")</f>
        <v>integra principios de calidad, eficiencia y control de tiempos mediante el uso de cronogramas, presupuestos y simuladores para mejorar el desempeño y cumplimiento de los objetivos de proyectos de TI </v>
      </c>
      <c r="C50" s="61">
        <f>IFERROR(__xludf.DUMMYFUNCTION("""COMPUTED_VALUE"""),5.0)</f>
        <v>5</v>
      </c>
      <c r="D50" s="61" t="str">
        <f>IFERROR(__xludf.DUMMYFUNCTION("""COMPUTED_VALUE"""),"Línea base de tiempo e hitos")</f>
        <v>Línea base de tiempo e hitos</v>
      </c>
      <c r="E50" s="61" t="str">
        <f>IFERROR(__xludf.DUMMYFUNCTION("""COMPUTED_VALUE"""),"Actualización y ajustes a la línea base
")</f>
        <v>Actualización y ajustes a la línea base
</v>
      </c>
      <c r="F50" s="71" t="str">
        <f>IFERROR(__xludf.DUMMYFUNCTION("""COMPUTED_VALUE"""),"Agosto")</f>
        <v>Agosto</v>
      </c>
      <c r="G50" s="71">
        <f>IFERROR(__xludf.DUMMYFUNCTION("""COMPUTED_VALUE"""),7.0)</f>
        <v>7</v>
      </c>
    </row>
    <row r="51">
      <c r="A51" s="71">
        <f>IFERROR(__xludf.DUMMYFUNCTION("""COMPUTED_VALUE"""),48.0)</f>
        <v>48</v>
      </c>
      <c r="B51" s="61" t="str">
        <f>IFERROR(__xludf.DUMMYFUNCTION("""COMPUTED_VALUE"""),"integra principios de calidad, eficiencia y control de tiempos mediante el uso de cronogramas, presupuestos y simuladores para mejorar el desempeño y cumplimiento de los objetivos de proyectos de TI ")</f>
        <v>integra principios de calidad, eficiencia y control de tiempos mediante el uso de cronogramas, presupuestos y simuladores para mejorar el desempeño y cumplimiento de los objetivos de proyectos de TI </v>
      </c>
      <c r="C51" s="61">
        <f>IFERROR(__xludf.DUMMYFUNCTION("""COMPUTED_VALUE"""),5.0)</f>
        <v>5</v>
      </c>
      <c r="D51" s="61" t="str">
        <f>IFERROR(__xludf.DUMMYFUNCTION("""COMPUTED_VALUE"""),"Línea base de tiempo e hitos")</f>
        <v>Línea base de tiempo e hitos</v>
      </c>
      <c r="E51" s="61" t="str">
        <f>IFERROR(__xludf.DUMMYFUNCTION("""COMPUTED_VALUE"""),"Reporte de avance hacia los entregables")</f>
        <v>Reporte de avance hacia los entregables</v>
      </c>
      <c r="F51" s="71" t="str">
        <f>IFERROR(__xludf.DUMMYFUNCTION("""COMPUTED_VALUE"""),"Agosto")</f>
        <v>Agosto</v>
      </c>
      <c r="G51" s="71">
        <f>IFERROR(__xludf.DUMMYFUNCTION("""COMPUTED_VALUE"""),7.0)</f>
        <v>7</v>
      </c>
    </row>
    <row r="52">
      <c r="A52" s="71">
        <f>IFERROR(__xludf.DUMMYFUNCTION("""COMPUTED_VALUE"""),49.0)</f>
        <v>49</v>
      </c>
      <c r="B52" s="61" t="str">
        <f>IFERROR(__xludf.DUMMYFUNCTION("""COMPUTED_VALUE"""),"integra principios de calidad, eficiencia y control de tiempos mediante el uso de cronogramas, presupuestos y simuladores para mejorar el desempeño y cumplimiento de los objetivos de proyectos de TI ")</f>
        <v>integra principios de calidad, eficiencia y control de tiempos mediante el uso de cronogramas, presupuestos y simuladores para mejorar el desempeño y cumplimiento de los objetivos de proyectos de TI </v>
      </c>
      <c r="C52" s="61">
        <f>IFERROR(__xludf.DUMMYFUNCTION("""COMPUTED_VALUE"""),5.0)</f>
        <v>5</v>
      </c>
      <c r="D52" s="61" t="str">
        <f>IFERROR(__xludf.DUMMYFUNCTION("""COMPUTED_VALUE"""),"Línea base de tiempo e hitos")</f>
        <v>Línea base de tiempo e hitos</v>
      </c>
      <c r="E52" s="61" t="str">
        <f>IFERROR(__xludf.DUMMYFUNCTION("""COMPUTED_VALUE"""),"Impacto del control de hitos en la finalización del proyecto
")</f>
        <v>Impacto del control de hitos en la finalización del proyecto
</v>
      </c>
      <c r="F52" s="71" t="str">
        <f>IFERROR(__xludf.DUMMYFUNCTION("""COMPUTED_VALUE"""),"Agosto")</f>
        <v>Agosto</v>
      </c>
      <c r="G52" s="71">
        <f>IFERROR(__xludf.DUMMYFUNCTION("""COMPUTED_VALUE"""),7.0)</f>
        <v>7</v>
      </c>
    </row>
    <row r="53">
      <c r="A53" s="71">
        <f>IFERROR(__xludf.DUMMYFUNCTION("""COMPUTED_VALUE"""),50.0)</f>
        <v>50</v>
      </c>
      <c r="B53" s="61" t="str">
        <f>IFERROR(__xludf.DUMMYFUNCTION("""COMPUTED_VALUE"""),"valida el desempeño de proyectos tecnológicos utilizando el método del valor ganado (EVM) y reportes de avance para tomar decisiones correctivas basadas en datos objetivos ")</f>
        <v>valida el desempeño de proyectos tecnológicos utilizando el método del valor ganado (EVM) y reportes de avance para tomar decisiones correctivas basadas en datos objetivos </v>
      </c>
      <c r="C53" s="61">
        <f>IFERROR(__xludf.DUMMYFUNCTION("""COMPUTED_VALUE"""),6.0)</f>
        <v>6</v>
      </c>
      <c r="D53" s="61" t="str">
        <f>IFERROR(__xludf.DUMMYFUNCTION("""COMPUTED_VALUE"""),"Método del valor ganado        ")</f>
        <v>Método del valor ganado        </v>
      </c>
      <c r="E53" s="61" t="str">
        <f>IFERROR(__xludf.DUMMYFUNCTION("""COMPUTED_VALUE"""),"Introducción al método del valor ganado (EVM)")</f>
        <v>Introducción al método del valor ganado (EVM)</v>
      </c>
      <c r="F53" s="71" t="str">
        <f>IFERROR(__xludf.DUMMYFUNCTION("""COMPUTED_VALUE"""),"Agosto")</f>
        <v>Agosto</v>
      </c>
      <c r="G53" s="71">
        <f>IFERROR(__xludf.DUMMYFUNCTION("""COMPUTED_VALUE"""),8.0)</f>
        <v>8</v>
      </c>
    </row>
    <row r="54">
      <c r="A54" s="71">
        <f>IFERROR(__xludf.DUMMYFUNCTION("""COMPUTED_VALUE"""),51.0)</f>
        <v>51</v>
      </c>
      <c r="B54" s="61" t="str">
        <f>IFERROR(__xludf.DUMMYFUNCTION("""COMPUTED_VALUE"""),"valida el desempeño de proyectos tecnológicos utilizando el método del valor ganado (EVM) y reportes de avance para tomar decisiones correctivas basadas en datos objetivos ")</f>
        <v>valida el desempeño de proyectos tecnológicos utilizando el método del valor ganado (EVM) y reportes de avance para tomar decisiones correctivas basadas en datos objetivos </v>
      </c>
      <c r="C54" s="61">
        <f>IFERROR(__xludf.DUMMYFUNCTION("""COMPUTED_VALUE"""),6.0)</f>
        <v>6</v>
      </c>
      <c r="D54" s="61" t="str">
        <f>IFERROR(__xludf.DUMMYFUNCTION("""COMPUTED_VALUE"""),"Método del valor ganado        ")</f>
        <v>Método del valor ganado        </v>
      </c>
      <c r="E54" s="61" t="str">
        <f>IFERROR(__xludf.DUMMYFUNCTION("""COMPUTED_VALUE"""),"Componentes clave del valor ganado: PV, EV, AC
")</f>
        <v>Componentes clave del valor ganado: PV, EV, AC
</v>
      </c>
      <c r="F54" s="71" t="str">
        <f>IFERROR(__xludf.DUMMYFUNCTION("""COMPUTED_VALUE"""),"Agosto")</f>
        <v>Agosto</v>
      </c>
      <c r="G54" s="71">
        <f>IFERROR(__xludf.DUMMYFUNCTION("""COMPUTED_VALUE"""),8.0)</f>
        <v>8</v>
      </c>
    </row>
    <row r="55">
      <c r="A55" s="71">
        <f>IFERROR(__xludf.DUMMYFUNCTION("""COMPUTED_VALUE"""),52.0)</f>
        <v>52</v>
      </c>
      <c r="B55" s="61" t="str">
        <f>IFERROR(__xludf.DUMMYFUNCTION("""COMPUTED_VALUE"""),"valida el desempeño de proyectos tecnológicos utilizando el método del valor ganado (EVM) y reportes de avance para tomar decisiones correctivas basadas en datos objetivos ")</f>
        <v>valida el desempeño de proyectos tecnológicos utilizando el método del valor ganado (EVM) y reportes de avance para tomar decisiones correctivas basadas en datos objetivos </v>
      </c>
      <c r="C55" s="61">
        <f>IFERROR(__xludf.DUMMYFUNCTION("""COMPUTED_VALUE"""),6.0)</f>
        <v>6</v>
      </c>
      <c r="D55" s="61" t="str">
        <f>IFERROR(__xludf.DUMMYFUNCTION("""COMPUTED_VALUE"""),"Método del valor ganado        ")</f>
        <v>Método del valor ganado        </v>
      </c>
      <c r="E55" s="61" t="str">
        <f>IFERROR(__xludf.DUMMYFUNCTION("""COMPUTED_VALUE"""),"Cálculo de métricas EVM (CPI, SPI)
")</f>
        <v>Cálculo de métricas EVM (CPI, SPI)
</v>
      </c>
      <c r="F55" s="71" t="str">
        <f>IFERROR(__xludf.DUMMYFUNCTION("""COMPUTED_VALUE"""),"Agosto")</f>
        <v>Agosto</v>
      </c>
      <c r="G55" s="71">
        <f>IFERROR(__xludf.DUMMYFUNCTION("""COMPUTED_VALUE"""),8.0)</f>
        <v>8</v>
      </c>
    </row>
    <row r="56">
      <c r="A56" s="71">
        <f>IFERROR(__xludf.DUMMYFUNCTION("""COMPUTED_VALUE"""),53.0)</f>
        <v>53</v>
      </c>
      <c r="B56" s="61" t="str">
        <f>IFERROR(__xludf.DUMMYFUNCTION("""COMPUTED_VALUE"""),"valida el desempeño de proyectos tecnológicos utilizando el método del valor ganado (EVM) y reportes de avance para tomar decisiones correctivas basadas en datos objetivos ")</f>
        <v>valida el desempeño de proyectos tecnológicos utilizando el método del valor ganado (EVM) y reportes de avance para tomar decisiones correctivas basadas en datos objetivos </v>
      </c>
      <c r="C56" s="61">
        <f>IFERROR(__xludf.DUMMYFUNCTION("""COMPUTED_VALUE"""),6.0)</f>
        <v>6</v>
      </c>
      <c r="D56" s="61" t="str">
        <f>IFERROR(__xludf.DUMMYFUNCTION("""COMPUTED_VALUE"""),"Método del valor ganado        ")</f>
        <v>Método del valor ganado        </v>
      </c>
      <c r="E56" s="61" t="str">
        <f>IFERROR(__xludf.DUMMYFUNCTION("""COMPUTED_VALUE"""),"Interpretación de resultados del EVM
")</f>
        <v>Interpretación de resultados del EVM
</v>
      </c>
      <c r="F56" s="71" t="str">
        <f>IFERROR(__xludf.DUMMYFUNCTION("""COMPUTED_VALUE"""),"Agosto")</f>
        <v>Agosto</v>
      </c>
      <c r="G56" s="71">
        <f>IFERROR(__xludf.DUMMYFUNCTION("""COMPUTED_VALUE"""),8.0)</f>
        <v>8</v>
      </c>
    </row>
    <row r="57">
      <c r="A57" s="71">
        <f>IFERROR(__xludf.DUMMYFUNCTION("""COMPUTED_VALUE"""),54.0)</f>
        <v>54</v>
      </c>
      <c r="B57" s="61" t="str">
        <f>IFERROR(__xludf.DUMMYFUNCTION("""COMPUTED_VALUE"""),"valida el desempeño de proyectos tecnológicos utilizando el método del valor ganado (EVM) y reportes de avance para tomar decisiones correctivas basadas en datos objetivos ")</f>
        <v>valida el desempeño de proyectos tecnológicos utilizando el método del valor ganado (EVM) y reportes de avance para tomar decisiones correctivas basadas en datos objetivos </v>
      </c>
      <c r="C57" s="61">
        <f>IFERROR(__xludf.DUMMYFUNCTION("""COMPUTED_VALUE"""),6.0)</f>
        <v>6</v>
      </c>
      <c r="D57" s="61" t="str">
        <f>IFERROR(__xludf.DUMMYFUNCTION("""COMPUTED_VALUE"""),"Método del valor ganado        ")</f>
        <v>Método del valor ganado        </v>
      </c>
      <c r="E57" s="61" t="str">
        <f>IFERROR(__xludf.DUMMYFUNCTION("""COMPUTED_VALUE"""),"Seguimiento del desempeño del proyecto con EVM")</f>
        <v>Seguimiento del desempeño del proyecto con EVM</v>
      </c>
      <c r="F57" s="71" t="str">
        <f>IFERROR(__xludf.DUMMYFUNCTION("""COMPUTED_VALUE"""),"Agosto")</f>
        <v>Agosto</v>
      </c>
      <c r="G57" s="71">
        <f>IFERROR(__xludf.DUMMYFUNCTION("""COMPUTED_VALUE"""),8.0)</f>
        <v>8</v>
      </c>
    </row>
    <row r="58">
      <c r="A58" s="71">
        <f>IFERROR(__xludf.DUMMYFUNCTION("""COMPUTED_VALUE"""),55.0)</f>
        <v>55</v>
      </c>
      <c r="B58" s="61" t="str">
        <f>IFERROR(__xludf.DUMMYFUNCTION("""COMPUTED_VALUE"""),"valida el desempeño de proyectos tecnológicos utilizando el método del valor ganado (EVM) y reportes de avance para tomar decisiones correctivas basadas en datos objetivos ")</f>
        <v>valida el desempeño de proyectos tecnológicos utilizando el método del valor ganado (EVM) y reportes de avance para tomar decisiones correctivas basadas en datos objetivos </v>
      </c>
      <c r="C58" s="61">
        <f>IFERROR(__xludf.DUMMYFUNCTION("""COMPUTED_VALUE"""),6.0)</f>
        <v>6</v>
      </c>
      <c r="D58" s="61" t="str">
        <f>IFERROR(__xludf.DUMMYFUNCTION("""COMPUTED_VALUE"""),"Método del valor ganado        ")</f>
        <v>Método del valor ganado        </v>
      </c>
      <c r="E58" s="61" t="str">
        <f>IFERROR(__xludf.DUMMYFUNCTION("""COMPUTED_VALUE"""),"Aplicación del método del valor ganado en proyectos reales
")</f>
        <v>Aplicación del método del valor ganado en proyectos reales
</v>
      </c>
      <c r="F58" s="71" t="str">
        <f>IFERROR(__xludf.DUMMYFUNCTION("""COMPUTED_VALUE"""),"Agosto")</f>
        <v>Agosto</v>
      </c>
      <c r="G58" s="71">
        <f>IFERROR(__xludf.DUMMYFUNCTION("""COMPUTED_VALUE"""),8.0)</f>
        <v>8</v>
      </c>
    </row>
    <row r="59">
      <c r="A59" s="71">
        <f>IFERROR(__xludf.DUMMYFUNCTION("""COMPUTED_VALUE"""),56.0)</f>
        <v>56</v>
      </c>
      <c r="B59" s="61" t="str">
        <f>IFERROR(__xludf.DUMMYFUNCTION("""COMPUTED_VALUE"""),"valida el desempeño de proyectos tecnológicos utilizando el método del valor ganado (EVM) y reportes de avance para tomar decisiones correctivas basadas en datos objetivos ")</f>
        <v>valida el desempeño de proyectos tecnológicos utilizando el método del valor ganado (EVM) y reportes de avance para tomar decisiones correctivas basadas en datos objetivos </v>
      </c>
      <c r="C59" s="61">
        <f>IFERROR(__xludf.DUMMYFUNCTION("""COMPUTED_VALUE"""),6.0)</f>
        <v>6</v>
      </c>
      <c r="D59" s="61" t="str">
        <f>IFERROR(__xludf.DUMMYFUNCTION("""COMPUTED_VALUE"""),"Método del valor ganado        ")</f>
        <v>Método del valor ganado        </v>
      </c>
      <c r="E59" s="61" t="str">
        <f>IFERROR(__xludf.DUMMYFUNCTION("""COMPUTED_VALUE"""),"Ejemplos de reportes basados en EVM
")</f>
        <v>Ejemplos de reportes basados en EVM
</v>
      </c>
      <c r="F59" s="71" t="str">
        <f>IFERROR(__xludf.DUMMYFUNCTION("""COMPUTED_VALUE"""),"Agosto")</f>
        <v>Agosto</v>
      </c>
      <c r="G59" s="71">
        <f>IFERROR(__xludf.DUMMYFUNCTION("""COMPUTED_VALUE"""),8.0)</f>
        <v>8</v>
      </c>
    </row>
    <row r="60">
      <c r="A60" s="71">
        <f>IFERROR(__xludf.DUMMYFUNCTION("""COMPUTED_VALUE"""),57.0)</f>
        <v>57</v>
      </c>
      <c r="B60" s="61" t="str">
        <f>IFERROR(__xludf.DUMMYFUNCTION("""COMPUTED_VALUE"""),"integra principios de calidad, eficiencia y control de tiempos mediante el uso de cronogramas, presupuestos y simuladores para mejorar el desempeño y cumplimiento de los objetivos de proyectos de TI ")</f>
        <v>integra principios de calidad, eficiencia y control de tiempos mediante el uso de cronogramas, presupuestos y simuladores para mejorar el desempeño y cumplimiento de los objetivos de proyectos de TI </v>
      </c>
      <c r="C60" s="61">
        <f>IFERROR(__xludf.DUMMYFUNCTION("""COMPUTED_VALUE"""),7.0)</f>
        <v>7</v>
      </c>
      <c r="D60" s="61" t="str">
        <f>IFERROR(__xludf.DUMMYFUNCTION("""COMPUTED_VALUE"""),"Presentación de informes gerenciales")</f>
        <v>Presentación de informes gerenciales</v>
      </c>
      <c r="E60" s="61" t="str">
        <f>IFERROR(__xludf.DUMMYFUNCTION("""COMPUTED_VALUE"""),"Estructura de un informe gerencial de proyectos
")</f>
        <v>Estructura de un informe gerencial de proyectos
</v>
      </c>
      <c r="F60" s="71" t="str">
        <f>IFERROR(__xludf.DUMMYFUNCTION("""COMPUTED_VALUE"""),"Septiembre")</f>
        <v>Septiembre</v>
      </c>
      <c r="G60" s="71">
        <f>IFERROR(__xludf.DUMMYFUNCTION("""COMPUTED_VALUE"""),9.0)</f>
        <v>9</v>
      </c>
    </row>
    <row r="61">
      <c r="A61" s="71">
        <f>IFERROR(__xludf.DUMMYFUNCTION("""COMPUTED_VALUE"""),58.0)</f>
        <v>58</v>
      </c>
      <c r="B61" s="61" t="str">
        <f>IFERROR(__xludf.DUMMYFUNCTION("""COMPUTED_VALUE"""),"integra principios de calidad, eficiencia y control de tiempos mediante el uso de cronogramas, presupuestos y simuladores para mejorar el desempeño y cumplimiento de los objetivos de proyectos de TI ")</f>
        <v>integra principios de calidad, eficiencia y control de tiempos mediante el uso de cronogramas, presupuestos y simuladores para mejorar el desempeño y cumplimiento de los objetivos de proyectos de TI </v>
      </c>
      <c r="C61" s="61">
        <f>IFERROR(__xludf.DUMMYFUNCTION("""COMPUTED_VALUE"""),7.0)</f>
        <v>7</v>
      </c>
      <c r="D61" s="61" t="str">
        <f>IFERROR(__xludf.DUMMYFUNCTION("""COMPUTED_VALUE"""),"Presentación de informes gerenciales")</f>
        <v>Presentación de informes gerenciales</v>
      </c>
      <c r="E61" s="61" t="str">
        <f>IFERROR(__xludf.DUMMYFUNCTION("""COMPUTED_VALUE"""),"Principales indicadores a presentar a los interesados
")</f>
        <v>Principales indicadores a presentar a los interesados
</v>
      </c>
      <c r="F61" s="71" t="str">
        <f>IFERROR(__xludf.DUMMYFUNCTION("""COMPUTED_VALUE"""),"Septiembre")</f>
        <v>Septiembre</v>
      </c>
      <c r="G61" s="71">
        <f>IFERROR(__xludf.DUMMYFUNCTION("""COMPUTED_VALUE"""),9.0)</f>
        <v>9</v>
      </c>
    </row>
    <row r="62">
      <c r="A62" s="71">
        <f>IFERROR(__xludf.DUMMYFUNCTION("""COMPUTED_VALUE"""),59.0)</f>
        <v>59</v>
      </c>
      <c r="B62" s="61" t="str">
        <f>IFERROR(__xludf.DUMMYFUNCTION("""COMPUTED_VALUE"""),"integra principios de calidad, eficiencia y control de tiempos mediante el uso de cronogramas, presupuestos y simuladores para mejorar el desempeño y cumplimiento de los objetivos de proyectos de TI ")</f>
        <v>integra principios de calidad, eficiencia y control de tiempos mediante el uso de cronogramas, presupuestos y simuladores para mejorar el desempeño y cumplimiento de los objetivos de proyectos de TI </v>
      </c>
      <c r="C62" s="61">
        <f>IFERROR(__xludf.DUMMYFUNCTION("""COMPUTED_VALUE"""),7.0)</f>
        <v>7</v>
      </c>
      <c r="D62" s="61" t="str">
        <f>IFERROR(__xludf.DUMMYFUNCTION("""COMPUTED_VALUE"""),"Presentación de informes gerenciales")</f>
        <v>Presentación de informes gerenciales</v>
      </c>
      <c r="E62" s="61" t="str">
        <f>IFERROR(__xludf.DUMMYFUNCTION("""COMPUTED_VALUE"""),"Técnicas para resumir información clave
")</f>
        <v>Técnicas para resumir información clave
</v>
      </c>
      <c r="F62" s="71" t="str">
        <f>IFERROR(__xludf.DUMMYFUNCTION("""COMPUTED_VALUE"""),"Septiembre")</f>
        <v>Septiembre</v>
      </c>
      <c r="G62" s="71">
        <f>IFERROR(__xludf.DUMMYFUNCTION("""COMPUTED_VALUE"""),9.0)</f>
        <v>9</v>
      </c>
    </row>
    <row r="63">
      <c r="A63" s="71">
        <f>IFERROR(__xludf.DUMMYFUNCTION("""COMPUTED_VALUE"""),60.0)</f>
        <v>60</v>
      </c>
      <c r="B63" s="61" t="str">
        <f>IFERROR(__xludf.DUMMYFUNCTION("""COMPUTED_VALUE"""),"integra principios de calidad, eficiencia y control de tiempos mediante el uso de cronogramas, presupuestos y simuladores para mejorar el desempeño y cumplimiento de los objetivos de proyectos de TI ")</f>
        <v>integra principios de calidad, eficiencia y control de tiempos mediante el uso de cronogramas, presupuestos y simuladores para mejorar el desempeño y cumplimiento de los objetivos de proyectos de TI </v>
      </c>
      <c r="C63" s="61">
        <f>IFERROR(__xludf.DUMMYFUNCTION("""COMPUTED_VALUE"""),7.0)</f>
        <v>7</v>
      </c>
      <c r="D63" s="61" t="str">
        <f>IFERROR(__xludf.DUMMYFUNCTION("""COMPUTED_VALUE"""),"Presentación de informes gerenciales")</f>
        <v>Presentación de informes gerenciales</v>
      </c>
      <c r="E63" s="61" t="str">
        <f>IFERROR(__xludf.DUMMYFUNCTION("""COMPUTED_VALUE"""),"Comunicación efectiva con stakeholders
")</f>
        <v>Comunicación efectiva con stakeholders
</v>
      </c>
      <c r="F63" s="71" t="str">
        <f>IFERROR(__xludf.DUMMYFUNCTION("""COMPUTED_VALUE"""),"Septiembre")</f>
        <v>Septiembre</v>
      </c>
      <c r="G63" s="71">
        <f>IFERROR(__xludf.DUMMYFUNCTION("""COMPUTED_VALUE"""),9.0)</f>
        <v>9</v>
      </c>
    </row>
    <row r="64">
      <c r="A64" s="71">
        <f>IFERROR(__xludf.DUMMYFUNCTION("""COMPUTED_VALUE"""),61.0)</f>
        <v>61</v>
      </c>
      <c r="B64" s="61" t="str">
        <f>IFERROR(__xludf.DUMMYFUNCTION("""COMPUTED_VALUE"""),"integra principios de calidad, eficiencia y control de tiempos mediante el uso de cronogramas, presupuestos y simuladores para mejorar el desempeño y cumplimiento de los objetivos de proyectos de TI ")</f>
        <v>integra principios de calidad, eficiencia y control de tiempos mediante el uso de cronogramas, presupuestos y simuladores para mejorar el desempeño y cumplimiento de los objetivos de proyectos de TI </v>
      </c>
      <c r="C64" s="61">
        <f>IFERROR(__xludf.DUMMYFUNCTION("""COMPUTED_VALUE"""),7.0)</f>
        <v>7</v>
      </c>
      <c r="D64" s="61" t="str">
        <f>IFERROR(__xludf.DUMMYFUNCTION("""COMPUTED_VALUE"""),"Presentación de informes gerenciales")</f>
        <v>Presentación de informes gerenciales</v>
      </c>
      <c r="E64" s="61" t="str">
        <f>IFERROR(__xludf.DUMMYFUNCTION("""COMPUTED_VALUE"""),"Herramientas de visualización para la presentación de informes (PowerPoint, Dashboards)
")</f>
        <v>Herramientas de visualización para la presentación de informes (PowerPoint, Dashboards)
</v>
      </c>
      <c r="F64" s="71" t="str">
        <f>IFERROR(__xludf.DUMMYFUNCTION("""COMPUTED_VALUE"""),"Septiembre")</f>
        <v>Septiembre</v>
      </c>
      <c r="G64" s="71">
        <f>IFERROR(__xludf.DUMMYFUNCTION("""COMPUTED_VALUE"""),9.0)</f>
        <v>9</v>
      </c>
    </row>
    <row r="65">
      <c r="A65" s="71">
        <f>IFERROR(__xludf.DUMMYFUNCTION("""COMPUTED_VALUE"""),62.0)</f>
        <v>62</v>
      </c>
      <c r="B65" s="61" t="str">
        <f>IFERROR(__xludf.DUMMYFUNCTION("""COMPUTED_VALUE"""),"integra principios de calidad, eficiencia y control de tiempos mediante el uso de cronogramas, presupuestos y simuladores para mejorar el desempeño y cumplimiento de los objetivos de proyectos de TI ")</f>
        <v>integra principios de calidad, eficiencia y control de tiempos mediante el uso de cronogramas, presupuestos y simuladores para mejorar el desempeño y cumplimiento de los objetivos de proyectos de TI </v>
      </c>
      <c r="C65" s="61">
        <f>IFERROR(__xludf.DUMMYFUNCTION("""COMPUTED_VALUE"""),7.0)</f>
        <v>7</v>
      </c>
      <c r="D65" s="61" t="str">
        <f>IFERROR(__xludf.DUMMYFUNCTION("""COMPUTED_VALUE"""),"Presentación de informes gerenciales")</f>
        <v>Presentación de informes gerenciales</v>
      </c>
      <c r="E65" s="61" t="str">
        <f>IFERROR(__xludf.DUMMYFUNCTION("""COMPUTED_VALUE"""),"Revisión de riesgos y progreso en el informe gerencial
")</f>
        <v>Revisión de riesgos y progreso en el informe gerencial
</v>
      </c>
      <c r="F65" s="71" t="str">
        <f>IFERROR(__xludf.DUMMYFUNCTION("""COMPUTED_VALUE"""),"Septiembre")</f>
        <v>Septiembre</v>
      </c>
      <c r="G65" s="71">
        <f>IFERROR(__xludf.DUMMYFUNCTION("""COMPUTED_VALUE"""),9.0)</f>
        <v>9</v>
      </c>
    </row>
    <row r="66">
      <c r="A66" s="71">
        <f>IFERROR(__xludf.DUMMYFUNCTION("""COMPUTED_VALUE"""),63.0)</f>
        <v>63</v>
      </c>
      <c r="B66" s="61" t="str">
        <f>IFERROR(__xludf.DUMMYFUNCTION("""COMPUTED_VALUE"""),"integra principios de calidad, eficiencia y control de tiempos mediante el uso de cronogramas, presupuestos y simuladores para mejorar el desempeño y cumplimiento de los objetivos de proyectos de TI ")</f>
        <v>integra principios de calidad, eficiencia y control de tiempos mediante el uso de cronogramas, presupuestos y simuladores para mejorar el desempeño y cumplimiento de los objetivos de proyectos de TI </v>
      </c>
      <c r="C66" s="61">
        <f>IFERROR(__xludf.DUMMYFUNCTION("""COMPUTED_VALUE"""),7.0)</f>
        <v>7</v>
      </c>
      <c r="D66" s="61" t="str">
        <f>IFERROR(__xludf.DUMMYFUNCTION("""COMPUTED_VALUE"""),"Presentación de informes gerenciales")</f>
        <v>Presentación de informes gerenciales</v>
      </c>
      <c r="E66" s="61" t="str">
        <f>IFERROR(__xludf.DUMMYFUNCTION("""COMPUTED_VALUE"""),"Seguimiento de feedback de los interesados
")</f>
        <v>Seguimiento de feedback de los interesados
</v>
      </c>
      <c r="F66" s="71" t="str">
        <f>IFERROR(__xludf.DUMMYFUNCTION("""COMPUTED_VALUE"""),"Septiembre")</f>
        <v>Septiembre</v>
      </c>
      <c r="G66" s="71">
        <f>IFERROR(__xludf.DUMMYFUNCTION("""COMPUTED_VALUE"""),9.0)</f>
        <v>9</v>
      </c>
    </row>
    <row r="67">
      <c r="A67" s="71">
        <f>IFERROR(__xludf.DUMMYFUNCTION("""COMPUTED_VALUE"""),64.0)</f>
        <v>64</v>
      </c>
      <c r="B67" s="61" t="str">
        <f>IFERROR(__xludf.DUMMYFUNCTION("""COMPUTED_VALUE"""),"integra principios de calidad, eficiencia y control de tiempos mediante el uso de cronogramas, presupuestos y simuladores para mejorar el desempeño y cumplimiento de los objetivos de proyectos de TI ")</f>
        <v>integra principios de calidad, eficiencia y control de tiempos mediante el uso de cronogramas, presupuestos y simuladores para mejorar el desempeño y cumplimiento de los objetivos de proyectos de TI </v>
      </c>
      <c r="C67" s="61">
        <f>IFERROR(__xludf.DUMMYFUNCTION("""COMPUTED_VALUE"""),8.0)</f>
        <v>8</v>
      </c>
      <c r="D67" s="61" t="str">
        <f>IFERROR(__xludf.DUMMYFUNCTION("""COMPUTED_VALUE"""),"Mejora continua")</f>
        <v>Mejora continua</v>
      </c>
      <c r="E67" s="61" t="str">
        <f>IFERROR(__xludf.DUMMYFUNCTION("""COMPUTED_VALUE"""),"Preparación de entregables finales del proyecto")</f>
        <v>Preparación de entregables finales del proyecto</v>
      </c>
      <c r="F67" s="71" t="str">
        <f>IFERROR(__xludf.DUMMYFUNCTION("""COMPUTED_VALUE"""),"Septiembre")</f>
        <v>Septiembre</v>
      </c>
      <c r="G67" s="71">
        <f>IFERROR(__xludf.DUMMYFUNCTION("""COMPUTED_VALUE"""),10.0)</f>
        <v>10</v>
      </c>
    </row>
    <row r="68">
      <c r="A68" s="71">
        <f>IFERROR(__xludf.DUMMYFUNCTION("""COMPUTED_VALUE"""),65.0)</f>
        <v>65</v>
      </c>
      <c r="B68" s="61" t="str">
        <f>IFERROR(__xludf.DUMMYFUNCTION("""COMPUTED_VALUE"""),"integra principios de calidad, eficiencia y control de tiempos mediante el uso de cronogramas, presupuestos y simuladores para mejorar el desempeño y cumplimiento de los objetivos de proyectos de TI ")</f>
        <v>integra principios de calidad, eficiencia y control de tiempos mediante el uso de cronogramas, presupuestos y simuladores para mejorar el desempeño y cumplimiento de los objetivos de proyectos de TI </v>
      </c>
      <c r="C68" s="61">
        <f>IFERROR(__xludf.DUMMYFUNCTION("""COMPUTED_VALUE"""),8.0)</f>
        <v>8</v>
      </c>
      <c r="D68" s="61" t="str">
        <f>IFERROR(__xludf.DUMMYFUNCTION("""COMPUTED_VALUE"""),"Mejora continua")</f>
        <v>Mejora continua</v>
      </c>
      <c r="E68" s="61" t="str">
        <f>IFERROR(__xludf.DUMMYFUNCTION("""COMPUTED_VALUE"""),"Validación y aceptación de los entregables
")</f>
        <v>Validación y aceptación de los entregables
</v>
      </c>
      <c r="F68" s="71" t="str">
        <f>IFERROR(__xludf.DUMMYFUNCTION("""COMPUTED_VALUE"""),"Septiembre")</f>
        <v>Septiembre</v>
      </c>
      <c r="G68" s="71">
        <f>IFERROR(__xludf.DUMMYFUNCTION("""COMPUTED_VALUE"""),10.0)</f>
        <v>10</v>
      </c>
    </row>
    <row r="69">
      <c r="A69" s="71">
        <f>IFERROR(__xludf.DUMMYFUNCTION("""COMPUTED_VALUE"""),66.0)</f>
        <v>66</v>
      </c>
      <c r="B69" s="61" t="str">
        <f>IFERROR(__xludf.DUMMYFUNCTION("""COMPUTED_VALUE"""),"integra principios de calidad, eficiencia y control de tiempos mediante el uso de cronogramas, presupuestos y simuladores para mejorar el desempeño y cumplimiento de los objetivos de proyectos de TI ")</f>
        <v>integra principios de calidad, eficiencia y control de tiempos mediante el uso de cronogramas, presupuestos y simuladores para mejorar el desempeño y cumplimiento de los objetivos de proyectos de TI </v>
      </c>
      <c r="C69" s="61">
        <f>IFERROR(__xludf.DUMMYFUNCTION("""COMPUTED_VALUE"""),8.0)</f>
        <v>8</v>
      </c>
      <c r="D69" s="61" t="str">
        <f>IFERROR(__xludf.DUMMYFUNCTION("""COMPUTED_VALUE"""),"Mejora continua")</f>
        <v>Mejora continua</v>
      </c>
      <c r="E69" s="61" t="str">
        <f>IFERROR(__xludf.DUMMYFUNCTION("""COMPUTED_VALUE"""),"Revisión del cumplimiento de los objetivos del proyecto
")</f>
        <v>Revisión del cumplimiento de los objetivos del proyecto
</v>
      </c>
      <c r="F69" s="71" t="str">
        <f>IFERROR(__xludf.DUMMYFUNCTION("""COMPUTED_VALUE"""),"Septiembre")</f>
        <v>Septiembre</v>
      </c>
      <c r="G69" s="71">
        <f>IFERROR(__xludf.DUMMYFUNCTION("""COMPUTED_VALUE"""),10.0)</f>
        <v>10</v>
      </c>
    </row>
    <row r="70">
      <c r="A70" s="71">
        <f>IFERROR(__xludf.DUMMYFUNCTION("""COMPUTED_VALUE"""),67.0)</f>
        <v>67</v>
      </c>
      <c r="B70" s="61" t="str">
        <f>IFERROR(__xludf.DUMMYFUNCTION("""COMPUTED_VALUE"""),"integra principios de calidad, eficiencia y control de tiempos mediante el uso de cronogramas, presupuestos y simuladores para mejorar el desempeño y cumplimiento de los objetivos de proyectos de TI ")</f>
        <v>integra principios de calidad, eficiencia y control de tiempos mediante el uso de cronogramas, presupuestos y simuladores para mejorar el desempeño y cumplimiento de los objetivos de proyectos de TI </v>
      </c>
      <c r="C70" s="61">
        <f>IFERROR(__xludf.DUMMYFUNCTION("""COMPUTED_VALUE"""),8.0)</f>
        <v>8</v>
      </c>
      <c r="D70" s="61" t="str">
        <f>IFERROR(__xludf.DUMMYFUNCTION("""COMPUTED_VALUE"""),"Mejora continua")</f>
        <v>Mejora continua</v>
      </c>
      <c r="E70" s="61" t="str">
        <f>IFERROR(__xludf.DUMMYFUNCTION("""COMPUTED_VALUE"""),"Documentación de lecciones aprendidas
")</f>
        <v>Documentación de lecciones aprendidas
</v>
      </c>
      <c r="F70" s="71" t="str">
        <f>IFERROR(__xludf.DUMMYFUNCTION("""COMPUTED_VALUE"""),"Septiembre")</f>
        <v>Septiembre</v>
      </c>
      <c r="G70" s="71">
        <f>IFERROR(__xludf.DUMMYFUNCTION("""COMPUTED_VALUE"""),10.0)</f>
        <v>10</v>
      </c>
    </row>
    <row r="71">
      <c r="A71" s="71">
        <f>IFERROR(__xludf.DUMMYFUNCTION("""COMPUTED_VALUE"""),68.0)</f>
        <v>68</v>
      </c>
      <c r="B71" s="61" t="str">
        <f>IFERROR(__xludf.DUMMYFUNCTION("""COMPUTED_VALUE"""),"integra principios de calidad, eficiencia y control de tiempos mediante el uso de cronogramas, presupuestos y simuladores para mejorar el desempeño y cumplimiento de los objetivos de proyectos de TI ")</f>
        <v>integra principios de calidad, eficiencia y control de tiempos mediante el uso de cronogramas, presupuestos y simuladores para mejorar el desempeño y cumplimiento de los objetivos de proyectos de TI </v>
      </c>
      <c r="C71" s="61">
        <f>IFERROR(__xludf.DUMMYFUNCTION("""COMPUTED_VALUE"""),8.0)</f>
        <v>8</v>
      </c>
      <c r="D71" s="61" t="str">
        <f>IFERROR(__xludf.DUMMYFUNCTION("""COMPUTED_VALUE"""),"Mejora continua")</f>
        <v>Mejora continua</v>
      </c>
      <c r="E71" s="61" t="str">
        <f>IFERROR(__xludf.DUMMYFUNCTION("""COMPUTED_VALUE"""),"Técnicas para el análisis retrospectivo del proyecto")</f>
        <v>Técnicas para el análisis retrospectivo del proyecto</v>
      </c>
      <c r="F71" s="71" t="str">
        <f>IFERROR(__xludf.DUMMYFUNCTION("""COMPUTED_VALUE"""),"Septiembre")</f>
        <v>Septiembre</v>
      </c>
      <c r="G71" s="71">
        <f>IFERROR(__xludf.DUMMYFUNCTION("""COMPUTED_VALUE"""),10.0)</f>
        <v>10</v>
      </c>
    </row>
    <row r="72">
      <c r="A72" s="71">
        <f>IFERROR(__xludf.DUMMYFUNCTION("""COMPUTED_VALUE"""),69.0)</f>
        <v>69</v>
      </c>
      <c r="B72" s="61" t="str">
        <f>IFERROR(__xludf.DUMMYFUNCTION("""COMPUTED_VALUE"""),"integra principios de calidad, eficiencia y control de tiempos mediante el uso de cronogramas, presupuestos y simuladores para mejorar el desempeño y cumplimiento de los objetivos de proyectos de TI ")</f>
        <v>integra principios de calidad, eficiencia y control de tiempos mediante el uso de cronogramas, presupuestos y simuladores para mejorar el desempeño y cumplimiento de los objetivos de proyectos de TI </v>
      </c>
      <c r="C72" s="61">
        <f>IFERROR(__xludf.DUMMYFUNCTION("""COMPUTED_VALUE"""),8.0)</f>
        <v>8</v>
      </c>
      <c r="D72" s="61" t="str">
        <f>IFERROR(__xludf.DUMMYFUNCTION("""COMPUTED_VALUE"""),"Mejora continua")</f>
        <v>Mejora continua</v>
      </c>
      <c r="E72" s="61" t="str">
        <f>IFERROR(__xludf.DUMMYFUNCTION("""COMPUTED_VALUE"""),"Identificación de áreas de mejora en la gestión de proyectos
")</f>
        <v>Identificación de áreas de mejora en la gestión de proyectos
</v>
      </c>
      <c r="F72" s="71" t="str">
        <f>IFERROR(__xludf.DUMMYFUNCTION("""COMPUTED_VALUE"""),"Septiembre")</f>
        <v>Septiembre</v>
      </c>
      <c r="G72" s="71">
        <f>IFERROR(__xludf.DUMMYFUNCTION("""COMPUTED_VALUE"""),10.0)</f>
        <v>10</v>
      </c>
    </row>
    <row r="73">
      <c r="A73" s="71">
        <f>IFERROR(__xludf.DUMMYFUNCTION("""COMPUTED_VALUE"""),70.0)</f>
        <v>70</v>
      </c>
      <c r="B73" s="61" t="str">
        <f>IFERROR(__xludf.DUMMYFUNCTION("""COMPUTED_VALUE"""),"integra principios de calidad, eficiencia y control de tiempos mediante el uso de cronogramas, presupuestos y simuladores para mejorar el desempeño y cumplimiento de los objetivos de proyectos de TI ")</f>
        <v>integra principios de calidad, eficiencia y control de tiempos mediante el uso de cronogramas, presupuestos y simuladores para mejorar el desempeño y cumplimiento de los objetivos de proyectos de TI </v>
      </c>
      <c r="C73" s="61">
        <f>IFERROR(__xludf.DUMMYFUNCTION("""COMPUTED_VALUE"""),8.0)</f>
        <v>8</v>
      </c>
      <c r="D73" s="61" t="str">
        <f>IFERROR(__xludf.DUMMYFUNCTION("""COMPUTED_VALUE"""),"Mejora continua")</f>
        <v>Mejora continua</v>
      </c>
      <c r="E73" s="61" t="str">
        <f>IFERROR(__xludf.DUMMYFUNCTION("""COMPUTED_VALUE"""),"Uso de lecciones aprendidas para proyectos futuros
")</f>
        <v>Uso de lecciones aprendidas para proyectos futuros
</v>
      </c>
      <c r="F73" s="71" t="str">
        <f>IFERROR(__xludf.DUMMYFUNCTION("""COMPUTED_VALUE"""),"Septiembre")</f>
        <v>Septiembre</v>
      </c>
      <c r="G73" s="71">
        <f>IFERROR(__xludf.DUMMYFUNCTION("""COMPUTED_VALUE"""),10.0)</f>
        <v>10</v>
      </c>
    </row>
    <row r="74">
      <c r="A74" s="71">
        <f>IFERROR(__xludf.DUMMYFUNCTION("""COMPUTED_VALUE"""),71.0)</f>
        <v>71</v>
      </c>
      <c r="B74" s="61" t="str">
        <f>IFERROR(__xludf.DUMMYFUNCTION("""COMPUTED_VALUE"""),"integra principios de calidad, eficiencia y control de tiempos mediante el uso de cronogramas, presupuestos y simuladores para mejorar el desempeño y cumplimiento de los objetivos de proyectos de TI ")</f>
        <v>integra principios de calidad, eficiencia y control de tiempos mediante el uso de cronogramas, presupuestos y simuladores para mejorar el desempeño y cumplimiento de los objetivos de proyectos de TI </v>
      </c>
      <c r="C74" s="61">
        <f>IFERROR(__xludf.DUMMYFUNCTION("""COMPUTED_VALUE"""),9.0)</f>
        <v>9</v>
      </c>
      <c r="D74" s="61" t="str">
        <f>IFERROR(__xludf.DUMMYFUNCTION("""COMPUTED_VALUE"""),"Juego de simulación de cronograma ")</f>
        <v>Juego de simulación de cronograma </v>
      </c>
      <c r="E74" s="61" t="str">
        <f>IFERROR(__xludf.DUMMYFUNCTION("""COMPUTED_VALUE"""),"Simulación de escenarios en gestión de proyectos")</f>
        <v>Simulación de escenarios en gestión de proyectos</v>
      </c>
      <c r="F74" s="71" t="str">
        <f>IFERROR(__xludf.DUMMYFUNCTION("""COMPUTED_VALUE"""),"Septiembre")</f>
        <v>Septiembre</v>
      </c>
      <c r="G74" s="71">
        <f>IFERROR(__xludf.DUMMYFUNCTION("""COMPUTED_VALUE"""),11.0)</f>
        <v>11</v>
      </c>
    </row>
    <row r="75">
      <c r="A75" s="71">
        <f>IFERROR(__xludf.DUMMYFUNCTION("""COMPUTED_VALUE"""),72.0)</f>
        <v>72</v>
      </c>
      <c r="B75" s="61" t="str">
        <f>IFERROR(__xludf.DUMMYFUNCTION("""COMPUTED_VALUE"""),"integra principios de calidad, eficiencia y control de tiempos mediante el uso de cronogramas, presupuestos y simuladores para mejorar el desempeño y cumplimiento de los objetivos de proyectos de TI ")</f>
        <v>integra principios de calidad, eficiencia y control de tiempos mediante el uso de cronogramas, presupuestos y simuladores para mejorar el desempeño y cumplimiento de los objetivos de proyectos de TI </v>
      </c>
      <c r="C75" s="61">
        <f>IFERROR(__xludf.DUMMYFUNCTION("""COMPUTED_VALUE"""),9.0)</f>
        <v>9</v>
      </c>
      <c r="D75" s="61" t="str">
        <f>IFERROR(__xludf.DUMMYFUNCTION("""COMPUTED_VALUE"""),"Juego de simulación de cronograma ")</f>
        <v>Juego de simulación de cronograma </v>
      </c>
      <c r="E75" s="61" t="str">
        <f>IFERROR(__xludf.DUMMYFUNCTION("""COMPUTED_VALUE"""),"Introducción a herramientas de simulación de cronogramas
")</f>
        <v>Introducción a herramientas de simulación de cronogramas
</v>
      </c>
      <c r="F75" s="71" t="str">
        <f>IFERROR(__xludf.DUMMYFUNCTION("""COMPUTED_VALUE"""),"Septiembre")</f>
        <v>Septiembre</v>
      </c>
      <c r="G75" s="71">
        <f>IFERROR(__xludf.DUMMYFUNCTION("""COMPUTED_VALUE"""),11.0)</f>
        <v>11</v>
      </c>
    </row>
    <row r="76">
      <c r="A76" s="71">
        <f>IFERROR(__xludf.DUMMYFUNCTION("""COMPUTED_VALUE"""),73.0)</f>
        <v>73</v>
      </c>
      <c r="B76" s="61" t="str">
        <f>IFERROR(__xludf.DUMMYFUNCTION("""COMPUTED_VALUE"""),"integra principios de calidad, eficiencia y control de tiempos mediante el uso de cronogramas, presupuestos y simuladores para mejorar el desempeño y cumplimiento de los objetivos de proyectos de TI ")</f>
        <v>integra principios de calidad, eficiencia y control de tiempos mediante el uso de cronogramas, presupuestos y simuladores para mejorar el desempeño y cumplimiento de los objetivos de proyectos de TI </v>
      </c>
      <c r="C76" s="61">
        <f>IFERROR(__xludf.DUMMYFUNCTION("""COMPUTED_VALUE"""),9.0)</f>
        <v>9</v>
      </c>
      <c r="D76" s="61" t="str">
        <f>IFERROR(__xludf.DUMMYFUNCTION("""COMPUTED_VALUE"""),"Juego de simulación de cronograma ")</f>
        <v>Juego de simulación de cronograma </v>
      </c>
      <c r="E76" s="61" t="str">
        <f>IFERROR(__xludf.DUMMYFUNCTION("""COMPUTED_VALUE"""),"Control de recursos en tiempo real
")</f>
        <v>Control de recursos en tiempo real
</v>
      </c>
      <c r="F76" s="71" t="str">
        <f>IFERROR(__xludf.DUMMYFUNCTION("""COMPUTED_VALUE"""),"Septiembre")</f>
        <v>Septiembre</v>
      </c>
      <c r="G76" s="71">
        <f>IFERROR(__xludf.DUMMYFUNCTION("""COMPUTED_VALUE"""),11.0)</f>
        <v>11</v>
      </c>
    </row>
    <row r="77">
      <c r="A77" s="71">
        <f>IFERROR(__xludf.DUMMYFUNCTION("""COMPUTED_VALUE"""),74.0)</f>
        <v>74</v>
      </c>
      <c r="B77" s="61" t="str">
        <f>IFERROR(__xludf.DUMMYFUNCTION("""COMPUTED_VALUE"""),"integra principios de calidad, eficiencia y control de tiempos mediante el uso de cronogramas, presupuestos y simuladores para mejorar el desempeño y cumplimiento de los objetivos de proyectos de TI ")</f>
        <v>integra principios de calidad, eficiencia y control de tiempos mediante el uso de cronogramas, presupuestos y simuladores para mejorar el desempeño y cumplimiento de los objetivos de proyectos de TI </v>
      </c>
      <c r="C77" s="61">
        <f>IFERROR(__xludf.DUMMYFUNCTION("""COMPUTED_VALUE"""),9.0)</f>
        <v>9</v>
      </c>
      <c r="D77" s="61" t="str">
        <f>IFERROR(__xludf.DUMMYFUNCTION("""COMPUTED_VALUE"""),"Juego de simulación de cronograma ")</f>
        <v>Juego de simulación de cronograma </v>
      </c>
      <c r="E77" s="61" t="str">
        <f>IFERROR(__xludf.DUMMYFUNCTION("""COMPUTED_VALUE"""),"Simulación de ajustes en cronogramas y su impacto
")</f>
        <v>Simulación de ajustes en cronogramas y su impacto
</v>
      </c>
      <c r="F77" s="71" t="str">
        <f>IFERROR(__xludf.DUMMYFUNCTION("""COMPUTED_VALUE"""),"Septiembre")</f>
        <v>Septiembre</v>
      </c>
      <c r="G77" s="71">
        <f>IFERROR(__xludf.DUMMYFUNCTION("""COMPUTED_VALUE"""),11.0)</f>
        <v>11</v>
      </c>
    </row>
    <row r="78">
      <c r="A78" s="71">
        <f>IFERROR(__xludf.DUMMYFUNCTION("""COMPUTED_VALUE"""),75.0)</f>
        <v>75</v>
      </c>
      <c r="B78" s="61" t="str">
        <f>IFERROR(__xludf.DUMMYFUNCTION("""COMPUTED_VALUE"""),"integra principios de calidad, eficiencia y control de tiempos mediante el uso de cronogramas, presupuestos y simuladores para mejorar el desempeño y cumplimiento de los objetivos de proyectos de TI ")</f>
        <v>integra principios de calidad, eficiencia y control de tiempos mediante el uso de cronogramas, presupuestos y simuladores para mejorar el desempeño y cumplimiento de los objetivos de proyectos de TI </v>
      </c>
      <c r="C78" s="61">
        <f>IFERROR(__xludf.DUMMYFUNCTION("""COMPUTED_VALUE"""),9.0)</f>
        <v>9</v>
      </c>
      <c r="D78" s="61" t="str">
        <f>IFERROR(__xludf.DUMMYFUNCTION("""COMPUTED_VALUE"""),"Juego de simulación de cronograma ")</f>
        <v>Juego de simulación de cronograma </v>
      </c>
      <c r="E78" s="61" t="str">
        <f>IFERROR(__xludf.DUMMYFUNCTION("""COMPUTED_VALUE"""),"Análisis de la variación de tiempos en el cronograma
")</f>
        <v>Análisis de la variación de tiempos en el cronograma
</v>
      </c>
      <c r="F78" s="71" t="str">
        <f>IFERROR(__xludf.DUMMYFUNCTION("""COMPUTED_VALUE"""),"Septiembre")</f>
        <v>Septiembre</v>
      </c>
      <c r="G78" s="71">
        <f>IFERROR(__xludf.DUMMYFUNCTION("""COMPUTED_VALUE"""),11.0)</f>
        <v>11</v>
      </c>
    </row>
    <row r="79">
      <c r="A79" s="71">
        <f>IFERROR(__xludf.DUMMYFUNCTION("""COMPUTED_VALUE"""),76.0)</f>
        <v>76</v>
      </c>
      <c r="B79" s="61" t="str">
        <f>IFERROR(__xludf.DUMMYFUNCTION("""COMPUTED_VALUE"""),"integra principios de calidad, eficiencia y control de tiempos mediante el uso de cronogramas, presupuestos y simuladores para mejorar el desempeño y cumplimiento de los objetivos de proyectos de TI ")</f>
        <v>integra principios de calidad, eficiencia y control de tiempos mediante el uso de cronogramas, presupuestos y simuladores para mejorar el desempeño y cumplimiento de los objetivos de proyectos de TI </v>
      </c>
      <c r="C79" s="61">
        <f>IFERROR(__xludf.DUMMYFUNCTION("""COMPUTED_VALUE"""),9.0)</f>
        <v>9</v>
      </c>
      <c r="D79" s="61" t="str">
        <f>IFERROR(__xludf.DUMMYFUNCTION("""COMPUTED_VALUE"""),"Juego de simulación de cronograma ")</f>
        <v>Juego de simulación de cronograma </v>
      </c>
      <c r="E79" s="61" t="str">
        <f>IFERROR(__xludf.DUMMYFUNCTION("""COMPUTED_VALUE"""),"Impacto del retraso de tareas en la finalización del proyecto
")</f>
        <v>Impacto del retraso de tareas en la finalización del proyecto
</v>
      </c>
      <c r="F79" s="71" t="str">
        <f>IFERROR(__xludf.DUMMYFUNCTION("""COMPUTED_VALUE"""),"Septiembre")</f>
        <v>Septiembre</v>
      </c>
      <c r="G79" s="71">
        <f>IFERROR(__xludf.DUMMYFUNCTION("""COMPUTED_VALUE"""),11.0)</f>
        <v>11</v>
      </c>
    </row>
    <row r="80">
      <c r="A80" s="71">
        <f>IFERROR(__xludf.DUMMYFUNCTION("""COMPUTED_VALUE"""),77.0)</f>
        <v>77</v>
      </c>
      <c r="B80" s="61" t="str">
        <f>IFERROR(__xludf.DUMMYFUNCTION("""COMPUTED_VALUE"""),"integra principios de calidad, eficiencia y control de tiempos mediante el uso de cronogramas, presupuestos y simuladores para mejorar el desempeño y cumplimiento de los objetivos de proyectos de TI ")</f>
        <v>integra principios de calidad, eficiencia y control de tiempos mediante el uso de cronogramas, presupuestos y simuladores para mejorar el desempeño y cumplimiento de los objetivos de proyectos de TI </v>
      </c>
      <c r="C80" s="61">
        <f>IFERROR(__xludf.DUMMYFUNCTION("""COMPUTED_VALUE"""),9.0)</f>
        <v>9</v>
      </c>
      <c r="D80" s="61" t="str">
        <f>IFERROR(__xludf.DUMMYFUNCTION("""COMPUTED_VALUE"""),"Juego de simulación de cronograma ")</f>
        <v>Juego de simulación de cronograma </v>
      </c>
      <c r="E80" s="61" t="str">
        <f>IFERROR(__xludf.DUMMYFUNCTION("""COMPUTED_VALUE"""),"Presentación de resultados de la simulación")</f>
        <v>Presentación de resultados de la simulación</v>
      </c>
      <c r="F80" s="71" t="str">
        <f>IFERROR(__xludf.DUMMYFUNCTION("""COMPUTED_VALUE"""),"Septiembre")</f>
        <v>Septiembre</v>
      </c>
      <c r="G80" s="71">
        <f>IFERROR(__xludf.DUMMYFUNCTION("""COMPUTED_VALUE"""),11.0)</f>
        <v>11</v>
      </c>
    </row>
    <row r="81">
      <c r="A81" s="71">
        <f>IFERROR(__xludf.DUMMYFUNCTION("""COMPUTED_VALUE"""),78.0)</f>
        <v>78</v>
      </c>
      <c r="B81" s="61" t="str">
        <f>IFERROR(__xludf.DUMMYFUNCTION("""COMPUTED_VALUE"""),"integra principios de calidad, eficiencia y control de tiempos mediante el uso de cronogramas, presupuestos y simuladores para mejorar el desempeño y cumplimiento de los objetivos de proyectos de TI ")</f>
        <v>integra principios de calidad, eficiencia y control de tiempos mediante el uso de cronogramas, presupuestos y simuladores para mejorar el desempeño y cumplimiento de los objetivos de proyectos de TI </v>
      </c>
      <c r="C81" s="61">
        <f>IFERROR(__xludf.DUMMYFUNCTION("""COMPUTED_VALUE"""),10.0)</f>
        <v>10</v>
      </c>
      <c r="D81" s="61" t="str">
        <f>IFERROR(__xludf.DUMMYFUNCTION("""COMPUTED_VALUE"""),"Desarrollo de equipos ágiles")</f>
        <v>Desarrollo de equipos ágiles</v>
      </c>
      <c r="E81" s="61" t="str">
        <f>IFERROR(__xludf.DUMMYFUNCTION("""COMPUTED_VALUE"""),"Principios y características de equipos ágiles")</f>
        <v>Principios y características de equipos ágiles</v>
      </c>
      <c r="F81" s="71" t="str">
        <f>IFERROR(__xludf.DUMMYFUNCTION("""COMPUTED_VALUE"""),"Septiembre")</f>
        <v>Septiembre</v>
      </c>
      <c r="G81" s="71">
        <f>IFERROR(__xludf.DUMMYFUNCTION("""COMPUTED_VALUE"""),12.0)</f>
        <v>12</v>
      </c>
    </row>
    <row r="82">
      <c r="A82" s="71">
        <f>IFERROR(__xludf.DUMMYFUNCTION("""COMPUTED_VALUE"""),79.0)</f>
        <v>79</v>
      </c>
      <c r="B82" s="61" t="str">
        <f>IFERROR(__xludf.DUMMYFUNCTION("""COMPUTED_VALUE"""),"combina prácticas ágiles de gestión de proyectos a través del uso de marcos como Scrum y Kanban para la ejecución iterativa de entregables y mejora continua del equipo ")</f>
        <v>combina prácticas ágiles de gestión de proyectos a través del uso de marcos como Scrum y Kanban para la ejecución iterativa de entregables y mejora continua del equipo </v>
      </c>
      <c r="C82" s="61">
        <f>IFERROR(__xludf.DUMMYFUNCTION("""COMPUTED_VALUE"""),10.0)</f>
        <v>10</v>
      </c>
      <c r="D82" s="61" t="str">
        <f>IFERROR(__xludf.DUMMYFUNCTION("""COMPUTED_VALUE"""),"Desarrollo de equipos ágiles")</f>
        <v>Desarrollo de equipos ágiles</v>
      </c>
      <c r="E82" s="61" t="str">
        <f>IFERROR(__xludf.DUMMYFUNCTION("""COMPUTED_VALUE"""),"Roles dentro de un equipo ágil
")</f>
        <v>Roles dentro de un equipo ágil
</v>
      </c>
      <c r="F82" s="71" t="str">
        <f>IFERROR(__xludf.DUMMYFUNCTION("""COMPUTED_VALUE"""),"Septiembre")</f>
        <v>Septiembre</v>
      </c>
      <c r="G82" s="71">
        <f>IFERROR(__xludf.DUMMYFUNCTION("""COMPUTED_VALUE"""),12.0)</f>
        <v>12</v>
      </c>
    </row>
    <row r="83">
      <c r="A83" s="71">
        <f>IFERROR(__xludf.DUMMYFUNCTION("""COMPUTED_VALUE"""),80.0)</f>
        <v>80</v>
      </c>
      <c r="B83" s="61" t="str">
        <f>IFERROR(__xludf.DUMMYFUNCTION("""COMPUTED_VALUE"""),"combina prácticas ágiles de gestión de proyectos a través del uso de marcos como Scrum y Kanban para la ejecución iterativa de entregables y mejora continua del equipo ")</f>
        <v>combina prácticas ágiles de gestión de proyectos a través del uso de marcos como Scrum y Kanban para la ejecución iterativa de entregables y mejora continua del equipo </v>
      </c>
      <c r="C83" s="61">
        <f>IFERROR(__xludf.DUMMYFUNCTION("""COMPUTED_VALUE"""),10.0)</f>
        <v>10</v>
      </c>
      <c r="D83" s="61" t="str">
        <f>IFERROR(__xludf.DUMMYFUNCTION("""COMPUTED_VALUE"""),"Desarrollo de equipos ágiles")</f>
        <v>Desarrollo de equipos ágiles</v>
      </c>
      <c r="E83" s="61" t="str">
        <f>IFERROR(__xludf.DUMMYFUNCTION("""COMPUTED_VALUE"""),"Técnicas para fomentar la colaboración en equipos ágiles
")</f>
        <v>Técnicas para fomentar la colaboración en equipos ágiles
</v>
      </c>
      <c r="F83" s="71" t="str">
        <f>IFERROR(__xludf.DUMMYFUNCTION("""COMPUTED_VALUE"""),"Septiembre")</f>
        <v>Septiembre</v>
      </c>
      <c r="G83" s="71">
        <f>IFERROR(__xludf.DUMMYFUNCTION("""COMPUTED_VALUE"""),12.0)</f>
        <v>12</v>
      </c>
    </row>
    <row r="84">
      <c r="A84" s="71">
        <f>IFERROR(__xludf.DUMMYFUNCTION("""COMPUTED_VALUE"""),81.0)</f>
        <v>81</v>
      </c>
      <c r="B84" s="61" t="str">
        <f>IFERROR(__xludf.DUMMYFUNCTION("""COMPUTED_VALUE"""),"combina prácticas ágiles de gestión de proyectos a través del uso de marcos como Scrum y Kanban para la ejecución iterativa de entregables y mejora continua del equipo ")</f>
        <v>combina prácticas ágiles de gestión de proyectos a través del uso de marcos como Scrum y Kanban para la ejecución iterativa de entregables y mejora continua del equipo </v>
      </c>
      <c r="C84" s="61">
        <f>IFERROR(__xludf.DUMMYFUNCTION("""COMPUTED_VALUE"""),10.0)</f>
        <v>10</v>
      </c>
      <c r="D84" s="61" t="str">
        <f>IFERROR(__xludf.DUMMYFUNCTION("""COMPUTED_VALUE"""),"Desarrollo de equipos ágiles")</f>
        <v>Desarrollo de equipos ágiles</v>
      </c>
      <c r="E84" s="61" t="str">
        <f>IFERROR(__xludf.DUMMYFUNCTION("""COMPUTED_VALUE"""),"Herramientas para la gestión de equipos ágiles (Scrum, Kanban)
")</f>
        <v>Herramientas para la gestión de equipos ágiles (Scrum, Kanban)
</v>
      </c>
      <c r="F84" s="71" t="str">
        <f>IFERROR(__xludf.DUMMYFUNCTION("""COMPUTED_VALUE"""),"Septiembre")</f>
        <v>Septiembre</v>
      </c>
      <c r="G84" s="71">
        <f>IFERROR(__xludf.DUMMYFUNCTION("""COMPUTED_VALUE"""),12.0)</f>
        <v>12</v>
      </c>
    </row>
    <row r="85">
      <c r="A85" s="71">
        <f>IFERROR(__xludf.DUMMYFUNCTION("""COMPUTED_VALUE"""),82.0)</f>
        <v>82</v>
      </c>
      <c r="B85" s="61" t="str">
        <f>IFERROR(__xludf.DUMMYFUNCTION("""COMPUTED_VALUE"""),"combina prácticas ágiles de gestión de proyectos a través del uso de marcos como Scrum y Kanban para la ejecución iterativa de entregables y mejora continua del equipo ")</f>
        <v>combina prácticas ágiles de gestión de proyectos a través del uso de marcos como Scrum y Kanban para la ejecución iterativa de entregables y mejora continua del equipo </v>
      </c>
      <c r="C85" s="61">
        <f>IFERROR(__xludf.DUMMYFUNCTION("""COMPUTED_VALUE"""),10.0)</f>
        <v>10</v>
      </c>
      <c r="D85" s="61" t="str">
        <f>IFERROR(__xludf.DUMMYFUNCTION("""COMPUTED_VALUE"""),"Desarrollo de equipos ágiles")</f>
        <v>Desarrollo de equipos ágiles</v>
      </c>
      <c r="E85" s="61" t="str">
        <f>IFERROR(__xludf.DUMMYFUNCTION("""COMPUTED_VALUE"""),"Implementación de retros en equipos ágiles
")</f>
        <v>Implementación de retros en equipos ágiles
</v>
      </c>
      <c r="F85" s="71" t="str">
        <f>IFERROR(__xludf.DUMMYFUNCTION("""COMPUTED_VALUE"""),"Septiembre")</f>
        <v>Septiembre</v>
      </c>
      <c r="G85" s="71">
        <f>IFERROR(__xludf.DUMMYFUNCTION("""COMPUTED_VALUE"""),12.0)</f>
        <v>12</v>
      </c>
    </row>
    <row r="86">
      <c r="A86" s="71">
        <f>IFERROR(__xludf.DUMMYFUNCTION("""COMPUTED_VALUE"""),83.0)</f>
        <v>83</v>
      </c>
      <c r="B86" s="61" t="str">
        <f>IFERROR(__xludf.DUMMYFUNCTION("""COMPUTED_VALUE"""),"combina prácticas ágiles de gestión de proyectos a través del uso de marcos como Scrum y Kanban para la ejecución iterativa de entregables y mejora continua del equipo ")</f>
        <v>combina prácticas ágiles de gestión de proyectos a través del uso de marcos como Scrum y Kanban para la ejecución iterativa de entregables y mejora continua del equipo </v>
      </c>
      <c r="C86" s="61">
        <f>IFERROR(__xludf.DUMMYFUNCTION("""COMPUTED_VALUE"""),10.0)</f>
        <v>10</v>
      </c>
      <c r="D86" s="61" t="str">
        <f>IFERROR(__xludf.DUMMYFUNCTION("""COMPUTED_VALUE"""),"Desarrollo de equipos ágiles")</f>
        <v>Desarrollo de equipos ágiles</v>
      </c>
      <c r="E86" s="61" t="str">
        <f>IFERROR(__xludf.DUMMYFUNCTION("""COMPUTED_VALUE"""),"Mejora continua en la dinámica del equipo")</f>
        <v>Mejora continua en la dinámica del equipo</v>
      </c>
      <c r="F86" s="71" t="str">
        <f>IFERROR(__xludf.DUMMYFUNCTION("""COMPUTED_VALUE"""),"Septiembre")</f>
        <v>Septiembre</v>
      </c>
      <c r="G86" s="71">
        <f>IFERROR(__xludf.DUMMYFUNCTION("""COMPUTED_VALUE"""),12.0)</f>
        <v>12</v>
      </c>
    </row>
    <row r="87">
      <c r="A87" s="71">
        <f>IFERROR(__xludf.DUMMYFUNCTION("""COMPUTED_VALUE"""),84.0)</f>
        <v>84</v>
      </c>
      <c r="B87" s="61" t="str">
        <f>IFERROR(__xludf.DUMMYFUNCTION("""COMPUTED_VALUE"""),"combina prácticas ágiles de gestión de proyectos a través del uso de marcos como Scrum y Kanban para la ejecución iterativa de entregables y mejora continua del equipo ")</f>
        <v>combina prácticas ágiles de gestión de proyectos a través del uso de marcos como Scrum y Kanban para la ejecución iterativa de entregables y mejora continua del equipo </v>
      </c>
      <c r="C87" s="61">
        <f>IFERROR(__xludf.DUMMYFUNCTION("""COMPUTED_VALUE"""),10.0)</f>
        <v>10</v>
      </c>
      <c r="D87" s="61" t="str">
        <f>IFERROR(__xludf.DUMMYFUNCTION("""COMPUTED_VALUE"""),"Desarrollo de equipos ágiles")</f>
        <v>Desarrollo de equipos ágiles</v>
      </c>
      <c r="E87" s="61" t="str">
        <f>IFERROR(__xludf.DUMMYFUNCTION("""COMPUTED_VALUE"""),"Medición del rendimiento de equipos ágiles
")</f>
        <v>Medición del rendimiento de equipos ágiles
</v>
      </c>
      <c r="F87" s="71" t="str">
        <f>IFERROR(__xludf.DUMMYFUNCTION("""COMPUTED_VALUE"""),"Septiembre")</f>
        <v>Septiembre</v>
      </c>
      <c r="G87" s="71">
        <f>IFERROR(__xludf.DUMMYFUNCTION("""COMPUTED_VALUE"""),12.0)</f>
        <v>12</v>
      </c>
    </row>
    <row r="88">
      <c r="A88" s="71">
        <f>IFERROR(__xludf.DUMMYFUNCTION("""COMPUTED_VALUE"""),85.0)</f>
        <v>85</v>
      </c>
      <c r="B88" s="61" t="str">
        <f>IFERROR(__xludf.DUMMYFUNCTION("""COMPUTED_VALUE"""),"combina prácticas ágiles de gestión de proyectos a través del uso de marcos como Scrum y Kanban para la ejecución iterativa de entregables y mejora continua del equipo ")</f>
        <v>combina prácticas ágiles de gestión de proyectos a través del uso de marcos como Scrum y Kanban para la ejecución iterativa de entregables y mejora continua del equipo </v>
      </c>
      <c r="C88" s="61">
        <f>IFERROR(__xludf.DUMMYFUNCTION("""COMPUTED_VALUE"""),11.0)</f>
        <v>11</v>
      </c>
      <c r="D88" s="61" t="str">
        <f>IFERROR(__xludf.DUMMYFUNCTION("""COMPUTED_VALUE"""),"Simulación con Scrum y Kanban")</f>
        <v>Simulación con Scrum y Kanban</v>
      </c>
      <c r="E88" s="61" t="str">
        <f>IFERROR(__xludf.DUMMYFUNCTION("""COMPUTED_VALUE"""),"Introducción a Scrum: roles, eventos, artefactos
")</f>
        <v>Introducción a Scrum: roles, eventos, artefactos
</v>
      </c>
      <c r="F88" s="71" t="str">
        <f>IFERROR(__xludf.DUMMYFUNCTION("""COMPUTED_VALUE"""),"Octubre")</f>
        <v>Octubre</v>
      </c>
      <c r="G88" s="71">
        <f>IFERROR(__xludf.DUMMYFUNCTION("""COMPUTED_VALUE"""),12.0)</f>
        <v>12</v>
      </c>
    </row>
    <row r="89">
      <c r="A89" s="71">
        <f>IFERROR(__xludf.DUMMYFUNCTION("""COMPUTED_VALUE"""),86.0)</f>
        <v>86</v>
      </c>
      <c r="B89" s="61" t="str">
        <f>IFERROR(__xludf.DUMMYFUNCTION("""COMPUTED_VALUE"""),"combina prácticas ágiles de gestión de proyectos a través del uso de marcos como Scrum y Kanban para la ejecución iterativa de entregables y mejora continua del equipo ")</f>
        <v>combina prácticas ágiles de gestión de proyectos a través del uso de marcos como Scrum y Kanban para la ejecución iterativa de entregables y mejora continua del equipo </v>
      </c>
      <c r="C89" s="61">
        <f>IFERROR(__xludf.DUMMYFUNCTION("""COMPUTED_VALUE"""),11.0)</f>
        <v>11</v>
      </c>
      <c r="D89" s="61" t="str">
        <f>IFERROR(__xludf.DUMMYFUNCTION("""COMPUTED_VALUE"""),"Simulación con Scrum y Kanban")</f>
        <v>Simulación con Scrum y Kanban</v>
      </c>
      <c r="E89" s="61" t="str">
        <f>IFERROR(__xludf.DUMMYFUNCTION("""COMPUTED_VALUE"""),"Creación de un backlog de producto
")</f>
        <v>Creación de un backlog de producto
</v>
      </c>
      <c r="F89" s="71" t="str">
        <f>IFERROR(__xludf.DUMMYFUNCTION("""COMPUTED_VALUE"""),"Octubre")</f>
        <v>Octubre</v>
      </c>
      <c r="G89" s="71">
        <f>IFERROR(__xludf.DUMMYFUNCTION("""COMPUTED_VALUE"""),12.0)</f>
        <v>12</v>
      </c>
    </row>
    <row r="90">
      <c r="A90" s="71">
        <f>IFERROR(__xludf.DUMMYFUNCTION("""COMPUTED_VALUE"""),87.0)</f>
        <v>87</v>
      </c>
      <c r="B90" s="61" t="str">
        <f>IFERROR(__xludf.DUMMYFUNCTION("""COMPUTED_VALUE"""),"combina prácticas ágiles de gestión de proyectos a través del uso de marcos como Scrum y Kanban para la ejecución iterativa de entregables y mejora continua del equipo ")</f>
        <v>combina prácticas ágiles de gestión de proyectos a través del uso de marcos como Scrum y Kanban para la ejecución iterativa de entregables y mejora continua del equipo </v>
      </c>
      <c r="C90" s="61">
        <f>IFERROR(__xludf.DUMMYFUNCTION("""COMPUTED_VALUE"""),11.0)</f>
        <v>11</v>
      </c>
      <c r="D90" s="61" t="str">
        <f>IFERROR(__xludf.DUMMYFUNCTION("""COMPUTED_VALUE"""),"Simulación con Scrum y Kanban")</f>
        <v>Simulación con Scrum y Kanban</v>
      </c>
      <c r="E90" s="61" t="str">
        <f>IFERROR(__xludf.DUMMYFUNCTION("""COMPUTED_VALUE"""),"Planificación de sprints en Scrum
")</f>
        <v>Planificación de sprints en Scrum
</v>
      </c>
      <c r="F90" s="71" t="str">
        <f>IFERROR(__xludf.DUMMYFUNCTION("""COMPUTED_VALUE"""),"Octubre")</f>
        <v>Octubre</v>
      </c>
      <c r="G90" s="71">
        <f>IFERROR(__xludf.DUMMYFUNCTION("""COMPUTED_VALUE"""),12.0)</f>
        <v>12</v>
      </c>
    </row>
    <row r="91">
      <c r="A91" s="71">
        <f>IFERROR(__xludf.DUMMYFUNCTION("""COMPUTED_VALUE"""),88.0)</f>
        <v>88</v>
      </c>
      <c r="B91" s="61" t="str">
        <f>IFERROR(__xludf.DUMMYFUNCTION("""COMPUTED_VALUE"""),"combina prácticas ágiles de gestión de proyectos a través del uso de marcos como Scrum y Kanban para la ejecución iterativa de entregables y mejora continua del equipo ")</f>
        <v>combina prácticas ágiles de gestión de proyectos a través del uso de marcos como Scrum y Kanban para la ejecución iterativa de entregables y mejora continua del equipo </v>
      </c>
      <c r="C91" s="61">
        <f>IFERROR(__xludf.DUMMYFUNCTION("""COMPUTED_VALUE"""),11.0)</f>
        <v>11</v>
      </c>
      <c r="D91" s="61" t="str">
        <f>IFERROR(__xludf.DUMMYFUNCTION("""COMPUTED_VALUE"""),"Simulación con Scrum y Kanban")</f>
        <v>Simulación con Scrum y Kanban</v>
      </c>
      <c r="E91" s="61" t="str">
        <f>IFERROR(__xludf.DUMMYFUNCTION("""COMPUTED_VALUE"""),"Seguimiento del progreso con el tablero Kanban")</f>
        <v>Seguimiento del progreso con el tablero Kanban</v>
      </c>
      <c r="F91" s="71" t="str">
        <f>IFERROR(__xludf.DUMMYFUNCTION("""COMPUTED_VALUE"""),"Octubre")</f>
        <v>Octubre</v>
      </c>
      <c r="G91" s="71">
        <f>IFERROR(__xludf.DUMMYFUNCTION("""COMPUTED_VALUE"""),12.0)</f>
        <v>12</v>
      </c>
    </row>
    <row r="92">
      <c r="A92" s="71">
        <f>IFERROR(__xludf.DUMMYFUNCTION("""COMPUTED_VALUE"""),89.0)</f>
        <v>89</v>
      </c>
      <c r="B92" s="61" t="str">
        <f>IFERROR(__xludf.DUMMYFUNCTION("""COMPUTED_VALUE"""),"combina prácticas ágiles de gestión de proyectos a través del uso de marcos como Scrum y Kanban para la ejecución iterativa de entregables y mejora continua del equipo ")</f>
        <v>combina prácticas ágiles de gestión de proyectos a través del uso de marcos como Scrum y Kanban para la ejecución iterativa de entregables y mejora continua del equipo </v>
      </c>
      <c r="C92" s="61">
        <f>IFERROR(__xludf.DUMMYFUNCTION("""COMPUTED_VALUE"""),11.0)</f>
        <v>11</v>
      </c>
      <c r="D92" s="61" t="str">
        <f>IFERROR(__xludf.DUMMYFUNCTION("""COMPUTED_VALUE"""),"Simulación con Scrum y Kanban")</f>
        <v>Simulación con Scrum y Kanban</v>
      </c>
      <c r="E92" s="61" t="str">
        <f>IFERROR(__xludf.DUMMYFUNCTION("""COMPUTED_VALUE"""),"Simulación del ciclo de un sprint")</f>
        <v>Simulación del ciclo de un sprint</v>
      </c>
      <c r="F92" s="71" t="str">
        <f>IFERROR(__xludf.DUMMYFUNCTION("""COMPUTED_VALUE"""),"Octubre")</f>
        <v>Octubre</v>
      </c>
      <c r="G92" s="71">
        <f>IFERROR(__xludf.DUMMYFUNCTION("""COMPUTED_VALUE"""),12.0)</f>
        <v>12</v>
      </c>
    </row>
    <row r="93">
      <c r="A93" s="71">
        <f>IFERROR(__xludf.DUMMYFUNCTION("""COMPUTED_VALUE"""),90.0)</f>
        <v>90</v>
      </c>
      <c r="B93" s="61" t="str">
        <f>IFERROR(__xludf.DUMMYFUNCTION("""COMPUTED_VALUE"""),"combina prácticas ágiles de gestión de proyectos a través del uso de marcos como Scrum y Kanban para la ejecución iterativa de entregables y mejora continua del equipo ")</f>
        <v>combina prácticas ágiles de gestión de proyectos a través del uso de marcos como Scrum y Kanban para la ejecución iterativa de entregables y mejora continua del equipo </v>
      </c>
      <c r="C93" s="61">
        <f>IFERROR(__xludf.DUMMYFUNCTION("""COMPUTED_VALUE"""),11.0)</f>
        <v>11</v>
      </c>
      <c r="D93" s="61" t="str">
        <f>IFERROR(__xludf.DUMMYFUNCTION("""COMPUTED_VALUE"""),"Simulación con Scrum y Kanban")</f>
        <v>Simulación con Scrum y Kanban</v>
      </c>
      <c r="E93" s="61" t="str">
        <f>IFERROR(__xludf.DUMMYFUNCTION("""COMPUTED_VALUE"""),"Análisis de la efectividad del uso de Scrum y Kanban juntos
")</f>
        <v>Análisis de la efectividad del uso de Scrum y Kanban juntos
</v>
      </c>
      <c r="F93" s="71" t="str">
        <f>IFERROR(__xludf.DUMMYFUNCTION("""COMPUTED_VALUE"""),"Octubre")</f>
        <v>Octubre</v>
      </c>
      <c r="G93" s="71">
        <f>IFERROR(__xludf.DUMMYFUNCTION("""COMPUTED_VALUE"""),12.0)</f>
        <v>12</v>
      </c>
    </row>
    <row r="94">
      <c r="A94" s="71">
        <f>IFERROR(__xludf.DUMMYFUNCTION("""COMPUTED_VALUE"""),91.0)</f>
        <v>91</v>
      </c>
      <c r="B94" s="61" t="str">
        <f>IFERROR(__xludf.DUMMYFUNCTION("""COMPUTED_VALUE"""),"combina prácticas ágiles de gestión de proyectos a través del uso de marcos como Scrum y Kanban para la ejecución iterativa de entregables y mejora continua del equipo ")</f>
        <v>combina prácticas ágiles de gestión de proyectos a través del uso de marcos como Scrum y Kanban para la ejecución iterativa de entregables y mejora continua del equipo </v>
      </c>
      <c r="C94" s="61">
        <f>IFERROR(__xludf.DUMMYFUNCTION("""COMPUTED_VALUE"""),12.0)</f>
        <v>12</v>
      </c>
      <c r="D94" s="61" t="str">
        <f>IFERROR(__xludf.DUMMYFUNCTION("""COMPUTED_VALUE"""),"Simulación con Scrum y Kanban")</f>
        <v>Simulación con Scrum y Kanban</v>
      </c>
      <c r="E94" s="61" t="str">
        <f>IFERROR(__xludf.DUMMYFUNCTION("""COMPUTED_VALUE"""),"Reportes de finalización del sprint y retrospectiva
")</f>
        <v>Reportes de finalización del sprint y retrospectiva
</v>
      </c>
      <c r="F94" s="71" t="str">
        <f>IFERROR(__xludf.DUMMYFUNCTION("""COMPUTED_VALUE"""),"Octubre")</f>
        <v>Octubre</v>
      </c>
      <c r="G94" s="71">
        <f>IFERROR(__xludf.DUMMYFUNCTION("""COMPUTED_VALUE"""),12.0)</f>
        <v>12</v>
      </c>
    </row>
    <row r="95">
      <c r="A95" s="71">
        <f>IFERROR(__xludf.DUMMYFUNCTION("""COMPUTED_VALUE"""),92.0)</f>
        <v>92</v>
      </c>
      <c r="B95" s="61" t="str">
        <f>IFERROR(__xludf.DUMMYFUNCTION("""COMPUTED_VALUE"""),"combina prácticas ágiles de gestión de proyectos a través del uso de marcos como Scrum y Kanban para la ejecución iterativa de entregables y mejora continua del equipo ")</f>
        <v>combina prácticas ágiles de gestión de proyectos a través del uso de marcos como Scrum y Kanban para la ejecución iterativa de entregables y mejora continua del equipo </v>
      </c>
      <c r="C95" s="61">
        <f>IFERROR(__xludf.DUMMYFUNCTION("""COMPUTED_VALUE"""),13.0)</f>
        <v>13</v>
      </c>
      <c r="D95" s="61" t="str">
        <f>IFERROR(__xludf.DUMMYFUNCTION("""COMPUTED_VALUE"""),"Simulación con Kanban")</f>
        <v>Simulación con Kanban</v>
      </c>
      <c r="E95" s="61" t="str">
        <f>IFERROR(__xludf.DUMMYFUNCTION("""COMPUTED_VALUE"""),"Principios fundamentales del tablero Kanban")</f>
        <v>Principios fundamentales del tablero Kanban</v>
      </c>
      <c r="F95" s="71" t="str">
        <f>IFERROR(__xludf.DUMMYFUNCTION("""COMPUTED_VALUE"""),"Octubre")</f>
        <v>Octubre</v>
      </c>
      <c r="G95" s="71">
        <f>IFERROR(__xludf.DUMMYFUNCTION("""COMPUTED_VALUE"""),12.0)</f>
        <v>12</v>
      </c>
    </row>
    <row r="96">
      <c r="A96" s="71">
        <f>IFERROR(__xludf.DUMMYFUNCTION("""COMPUTED_VALUE"""),93.0)</f>
        <v>93</v>
      </c>
      <c r="B96" s="61" t="str">
        <f>IFERROR(__xludf.DUMMYFUNCTION("""COMPUTED_VALUE"""),"combina prácticas ágiles de gestión de proyectos a través del uso de marcos como Scrum y Kanban para la ejecución iterativa de entregables y mejora continua del equipo ")</f>
        <v>combina prácticas ágiles de gestión de proyectos a través del uso de marcos como Scrum y Kanban para la ejecución iterativa de entregables y mejora continua del equipo </v>
      </c>
      <c r="C96" s="61">
        <f>IFERROR(__xludf.DUMMYFUNCTION("""COMPUTED_VALUE"""),13.0)</f>
        <v>13</v>
      </c>
      <c r="D96" s="61" t="str">
        <f>IFERROR(__xludf.DUMMYFUNCTION("""COMPUTED_VALUE"""),"Simulación con Kanban")</f>
        <v>Simulación con Kanban</v>
      </c>
      <c r="E96" s="61" t="str">
        <f>IFERROR(__xludf.DUMMYFUNCTION("""COMPUTED_VALUE"""),"Visualización del flujo de trabajo en Kanban
")</f>
        <v>Visualización del flujo de trabajo en Kanban
</v>
      </c>
      <c r="F96" s="71" t="str">
        <f>IFERROR(__xludf.DUMMYFUNCTION("""COMPUTED_VALUE"""),"Octubre")</f>
        <v>Octubre</v>
      </c>
      <c r="G96" s="71">
        <f>IFERROR(__xludf.DUMMYFUNCTION("""COMPUTED_VALUE"""),12.0)</f>
        <v>12</v>
      </c>
    </row>
    <row r="97">
      <c r="A97" s="71">
        <f>IFERROR(__xludf.DUMMYFUNCTION("""COMPUTED_VALUE"""),94.0)</f>
        <v>94</v>
      </c>
      <c r="B97" s="61" t="str">
        <f>IFERROR(__xludf.DUMMYFUNCTION("""COMPUTED_VALUE"""),"combina prácticas ágiles de gestión de proyectos a través del uso de marcos como Scrum y Kanban para la ejecución iterativa de entregables y mejora continua del equipo ")</f>
        <v>combina prácticas ágiles de gestión de proyectos a través del uso de marcos como Scrum y Kanban para la ejecución iterativa de entregables y mejora continua del equipo </v>
      </c>
      <c r="C97" s="61">
        <f>IFERROR(__xludf.DUMMYFUNCTION("""COMPUTED_VALUE"""),13.0)</f>
        <v>13</v>
      </c>
      <c r="D97" s="61" t="str">
        <f>IFERROR(__xludf.DUMMYFUNCTION("""COMPUTED_VALUE"""),"Simulación con Kanban")</f>
        <v>Simulación con Kanban</v>
      </c>
      <c r="E97" s="61" t="str">
        <f>IFERROR(__xludf.DUMMYFUNCTION("""COMPUTED_VALUE"""),"Implementación de WIP (Work in Progress) en Kanban")</f>
        <v>Implementación de WIP (Work in Progress) en Kanban</v>
      </c>
      <c r="F97" s="71" t="str">
        <f>IFERROR(__xludf.DUMMYFUNCTION("""COMPUTED_VALUE"""),"Octubre")</f>
        <v>Octubre</v>
      </c>
      <c r="G97" s="71">
        <f>IFERROR(__xludf.DUMMYFUNCTION("""COMPUTED_VALUE"""),12.0)</f>
        <v>12</v>
      </c>
    </row>
    <row r="98">
      <c r="A98" s="71">
        <f>IFERROR(__xludf.DUMMYFUNCTION("""COMPUTED_VALUE"""),95.0)</f>
        <v>95</v>
      </c>
      <c r="B98" s="61" t="str">
        <f>IFERROR(__xludf.DUMMYFUNCTION("""COMPUTED_VALUE"""),"combina prácticas ágiles de gestión de proyectos a través del uso de marcos como Scrum y Kanban para la ejecución iterativa de entregables y mejora continua del equipo ")</f>
        <v>combina prácticas ágiles de gestión de proyectos a través del uso de marcos como Scrum y Kanban para la ejecución iterativa de entregables y mejora continua del equipo </v>
      </c>
      <c r="C98" s="61">
        <f>IFERROR(__xludf.DUMMYFUNCTION("""COMPUTED_VALUE"""),13.0)</f>
        <v>13</v>
      </c>
      <c r="D98" s="61" t="str">
        <f>IFERROR(__xludf.DUMMYFUNCTION("""COMPUTED_VALUE"""),"Simulación con Kanban")</f>
        <v>Simulación con Kanban</v>
      </c>
      <c r="E98" s="61" t="str">
        <f>IFERROR(__xludf.DUMMYFUNCTION("""COMPUTED_VALUE"""),"Monitoreo de tiempos de ciclo y entrega
")</f>
        <v>Monitoreo de tiempos de ciclo y entrega
</v>
      </c>
      <c r="F98" s="71" t="str">
        <f>IFERROR(__xludf.DUMMYFUNCTION("""COMPUTED_VALUE"""),"Octubre")</f>
        <v>Octubre</v>
      </c>
      <c r="G98" s="71">
        <f>IFERROR(__xludf.DUMMYFUNCTION("""COMPUTED_VALUE"""),12.0)</f>
        <v>12</v>
      </c>
    </row>
    <row r="99">
      <c r="A99" s="71">
        <f>IFERROR(__xludf.DUMMYFUNCTION("""COMPUTED_VALUE"""),96.0)</f>
        <v>96</v>
      </c>
      <c r="B99" s="61" t="str">
        <f>IFERROR(__xludf.DUMMYFUNCTION("""COMPUTED_VALUE"""),"combina prácticas ágiles de gestión de proyectos a través del uso de marcos como Scrum y Kanban para la ejecución iterativa de entregables y mejora continua del equipo ")</f>
        <v>combina prácticas ágiles de gestión de proyectos a través del uso de marcos como Scrum y Kanban para la ejecución iterativa de entregables y mejora continua del equipo </v>
      </c>
      <c r="C99" s="61">
        <f>IFERROR(__xludf.DUMMYFUNCTION("""COMPUTED_VALUE"""),13.0)</f>
        <v>13</v>
      </c>
      <c r="D99" s="61" t="str">
        <f>IFERROR(__xludf.DUMMYFUNCTION("""COMPUTED_VALUE"""),"Simulación con Kanban")</f>
        <v>Simulación con Kanban</v>
      </c>
      <c r="E99" s="61" t="str">
        <f>IFERROR(__xludf.DUMMYFUNCTION("""COMPUTED_VALUE"""),"Ajustes en el flujo de trabajo basado en datos del tablero
")</f>
        <v>Ajustes en el flujo de trabajo basado en datos del tablero
</v>
      </c>
      <c r="F99" s="71" t="str">
        <f>IFERROR(__xludf.DUMMYFUNCTION("""COMPUTED_VALUE"""),"Octubre")</f>
        <v>Octubre</v>
      </c>
      <c r="G99" s="71">
        <f>IFERROR(__xludf.DUMMYFUNCTION("""COMPUTED_VALUE"""),12.0)</f>
        <v>12</v>
      </c>
    </row>
    <row r="100">
      <c r="A100" s="71">
        <f>IFERROR(__xludf.DUMMYFUNCTION("""COMPUTED_VALUE"""),97.0)</f>
        <v>97</v>
      </c>
      <c r="B100" s="61" t="str">
        <f>IFERROR(__xludf.DUMMYFUNCTION("""COMPUTED_VALUE"""),"combina prácticas ágiles de gestión de proyectos a través del uso de marcos como Scrum y Kanban para la ejecución iterativa de entregables y mejora continua del equipo ")</f>
        <v>combina prácticas ágiles de gestión de proyectos a través del uso de marcos como Scrum y Kanban para la ejecución iterativa de entregables y mejora continua del equipo </v>
      </c>
      <c r="C100" s="61">
        <f>IFERROR(__xludf.DUMMYFUNCTION("""COMPUTED_VALUE"""),13.0)</f>
        <v>13</v>
      </c>
      <c r="D100" s="61" t="str">
        <f>IFERROR(__xludf.DUMMYFUNCTION("""COMPUTED_VALUE"""),"Simulación con Kanban")</f>
        <v>Simulación con Kanban</v>
      </c>
      <c r="E100" s="61" t="str">
        <f>IFERROR(__xludf.DUMMYFUNCTION("""COMPUTED_VALUE"""),"Análisis de cuellos de botella y mejora continua
")</f>
        <v>Análisis de cuellos de botella y mejora continua
</v>
      </c>
      <c r="F100" s="71" t="str">
        <f>IFERROR(__xludf.DUMMYFUNCTION("""COMPUTED_VALUE"""),"Octubre")</f>
        <v>Octubre</v>
      </c>
      <c r="G100" s="71">
        <f>IFERROR(__xludf.DUMMYFUNCTION("""COMPUTED_VALUE"""),12.0)</f>
        <v>12</v>
      </c>
    </row>
    <row r="101">
      <c r="A101" s="71">
        <f>IFERROR(__xludf.DUMMYFUNCTION("""COMPUTED_VALUE"""),98.0)</f>
        <v>98</v>
      </c>
      <c r="B101" s="61" t="str">
        <f>IFERROR(__xludf.DUMMYFUNCTION("""COMPUTED_VALUE"""),"combina prácticas ágiles de gestión de proyectos a través del uso de marcos como Scrum y Kanban para la ejecución iterativa de entregables y mejora continua del equipo ")</f>
        <v>combina prácticas ágiles de gestión de proyectos a través del uso de marcos como Scrum y Kanban para la ejecución iterativa de entregables y mejora continua del equipo </v>
      </c>
      <c r="C101" s="61">
        <f>IFERROR(__xludf.DUMMYFUNCTION("""COMPUTED_VALUE"""),13.0)</f>
        <v>13</v>
      </c>
      <c r="D101" s="61" t="str">
        <f>IFERROR(__xludf.DUMMYFUNCTION("""COMPUTED_VALUE"""),"Simulación con Kanban")</f>
        <v>Simulación con Kanban</v>
      </c>
      <c r="E101" s="61" t="str">
        <f>IFERROR(__xludf.DUMMYFUNCTION("""COMPUTED_VALUE"""),"Evaluación del rendimiento del equipo usando Kanban
")</f>
        <v>Evaluación del rendimiento del equipo usando Kanban
</v>
      </c>
      <c r="F101" s="71" t="str">
        <f>IFERROR(__xludf.DUMMYFUNCTION("""COMPUTED_VALUE"""),"Octubre")</f>
        <v>Octubre</v>
      </c>
      <c r="G101" s="71">
        <f>IFERROR(__xludf.DUMMYFUNCTION("""COMPUTED_VALUE"""),12.0)</f>
        <v>12</v>
      </c>
    </row>
    <row r="102">
      <c r="A102" s="71"/>
      <c r="B102" s="61"/>
      <c r="C102" s="61"/>
      <c r="D102" s="61"/>
      <c r="E102" s="61"/>
      <c r="F102" s="71"/>
      <c r="G102" s="71"/>
    </row>
    <row r="103">
      <c r="A103" s="71"/>
      <c r="B103" s="61"/>
      <c r="C103" s="61"/>
      <c r="D103" s="61"/>
      <c r="E103" s="61"/>
      <c r="F103" s="71"/>
      <c r="G103" s="71"/>
    </row>
    <row r="104">
      <c r="A104" s="71"/>
      <c r="B104" s="61"/>
      <c r="C104" s="61"/>
      <c r="D104" s="61"/>
      <c r="E104" s="61"/>
      <c r="F104" s="71"/>
      <c r="G104" s="71"/>
    </row>
    <row r="105">
      <c r="A105" s="71"/>
      <c r="B105" s="61"/>
      <c r="C105" s="61"/>
      <c r="D105" s="61"/>
      <c r="E105" s="61"/>
      <c r="F105" s="71"/>
      <c r="G105" s="71"/>
    </row>
    <row r="106">
      <c r="A106" s="71"/>
      <c r="B106" s="61"/>
      <c r="C106" s="61"/>
      <c r="D106" s="61"/>
      <c r="E106" s="61"/>
      <c r="F106" s="71"/>
      <c r="G106" s="71"/>
    </row>
    <row r="107">
      <c r="A107" s="71"/>
      <c r="B107" s="61"/>
      <c r="C107" s="61"/>
      <c r="D107" s="61"/>
      <c r="E107" s="61"/>
      <c r="F107" s="71"/>
      <c r="G107" s="71"/>
    </row>
    <row r="108">
      <c r="A108" s="71"/>
      <c r="B108" s="61"/>
      <c r="C108" s="61"/>
      <c r="D108" s="61"/>
      <c r="E108" s="61"/>
      <c r="F108" s="71"/>
      <c r="G108" s="71"/>
    </row>
    <row r="109">
      <c r="A109" s="71"/>
      <c r="B109" s="61"/>
      <c r="C109" s="61"/>
      <c r="D109" s="61"/>
      <c r="E109" s="61"/>
      <c r="F109" s="71"/>
      <c r="G109" s="71"/>
    </row>
    <row r="110">
      <c r="A110" s="71"/>
      <c r="B110" s="61"/>
      <c r="C110" s="61"/>
      <c r="D110" s="61"/>
      <c r="E110" s="61"/>
      <c r="F110" s="71"/>
      <c r="G110" s="71"/>
    </row>
    <row r="111">
      <c r="A111" s="71"/>
      <c r="B111" s="61"/>
      <c r="C111" s="61"/>
      <c r="D111" s="61"/>
      <c r="E111" s="61"/>
      <c r="F111" s="71"/>
      <c r="G111" s="71"/>
    </row>
    <row r="112">
      <c r="A112" s="71"/>
      <c r="B112" s="61"/>
      <c r="C112" s="61"/>
      <c r="D112" s="61"/>
      <c r="E112" s="61"/>
      <c r="F112" s="71"/>
      <c r="G112" s="71"/>
    </row>
    <row r="113">
      <c r="A113" s="71"/>
      <c r="B113" s="61"/>
      <c r="C113" s="61"/>
      <c r="D113" s="61"/>
      <c r="E113" s="61"/>
      <c r="F113" s="71"/>
      <c r="G113" s="71"/>
    </row>
    <row r="114">
      <c r="A114" s="71"/>
      <c r="B114" s="61"/>
      <c r="C114" s="61"/>
      <c r="D114" s="61"/>
      <c r="E114" s="61"/>
      <c r="F114" s="71"/>
      <c r="G114" s="71"/>
    </row>
    <row r="115">
      <c r="A115" s="71"/>
      <c r="B115" s="61"/>
      <c r="C115" s="61"/>
      <c r="D115" s="61"/>
      <c r="E115" s="61"/>
      <c r="F115" s="71"/>
      <c r="G115" s="71"/>
    </row>
    <row r="116">
      <c r="A116" s="71"/>
      <c r="B116" s="61"/>
      <c r="C116" s="61"/>
      <c r="D116" s="61"/>
      <c r="E116" s="61"/>
      <c r="F116" s="71"/>
      <c r="G116" s="71"/>
    </row>
    <row r="117">
      <c r="A117" s="71"/>
      <c r="B117" s="61"/>
      <c r="C117" s="61"/>
      <c r="D117" s="61"/>
      <c r="E117" s="61"/>
      <c r="F117" s="71"/>
      <c r="G117" s="71"/>
    </row>
    <row r="118">
      <c r="A118" s="71"/>
      <c r="B118" s="61"/>
      <c r="C118" s="61"/>
      <c r="D118" s="61"/>
      <c r="E118" s="61"/>
      <c r="F118" s="71"/>
      <c r="G118" s="71"/>
    </row>
    <row r="119">
      <c r="A119" s="71"/>
      <c r="B119" s="61"/>
      <c r="C119" s="61"/>
      <c r="D119" s="61"/>
      <c r="E119" s="61"/>
      <c r="F119" s="71"/>
      <c r="G119" s="71"/>
    </row>
    <row r="120">
      <c r="A120" s="71"/>
      <c r="B120" s="61"/>
      <c r="C120" s="61"/>
      <c r="D120" s="61"/>
      <c r="E120" s="61"/>
      <c r="F120" s="71"/>
      <c r="G120" s="71"/>
    </row>
    <row r="121">
      <c r="A121" s="71"/>
      <c r="B121" s="61"/>
      <c r="C121" s="61"/>
      <c r="D121" s="61"/>
      <c r="E121" s="61"/>
      <c r="F121" s="71"/>
      <c r="G121" s="71"/>
    </row>
    <row r="122">
      <c r="A122" s="71"/>
      <c r="B122" s="61"/>
      <c r="C122" s="61"/>
      <c r="D122" s="61"/>
      <c r="E122" s="61"/>
      <c r="F122" s="71"/>
      <c r="G122" s="71"/>
    </row>
    <row r="123">
      <c r="A123" s="71"/>
      <c r="B123" s="61"/>
      <c r="C123" s="61"/>
      <c r="D123" s="61"/>
      <c r="E123" s="61"/>
      <c r="F123" s="71"/>
      <c r="G123" s="71"/>
    </row>
    <row r="124">
      <c r="A124" s="71"/>
      <c r="B124" s="61"/>
      <c r="C124" s="61"/>
      <c r="D124" s="61"/>
      <c r="E124" s="61"/>
      <c r="F124" s="71"/>
      <c r="G124" s="71"/>
    </row>
    <row r="125">
      <c r="A125" s="71"/>
      <c r="B125" s="61"/>
      <c r="C125" s="61"/>
      <c r="D125" s="61"/>
      <c r="E125" s="61"/>
      <c r="F125" s="71"/>
      <c r="G125" s="71"/>
    </row>
    <row r="126">
      <c r="A126" s="71"/>
      <c r="B126" s="61"/>
      <c r="C126" s="61"/>
      <c r="D126" s="61"/>
      <c r="E126" s="61"/>
      <c r="F126" s="71"/>
      <c r="G126" s="71"/>
    </row>
    <row r="127">
      <c r="A127" s="71"/>
      <c r="B127" s="61"/>
      <c r="C127" s="61"/>
      <c r="D127" s="61"/>
      <c r="E127" s="61"/>
      <c r="F127" s="71"/>
      <c r="G127" s="71"/>
    </row>
    <row r="128">
      <c r="A128" s="71"/>
      <c r="B128" s="61"/>
      <c r="C128" s="61"/>
      <c r="D128" s="61"/>
      <c r="E128" s="61"/>
      <c r="F128" s="71"/>
      <c r="G128" s="71"/>
    </row>
    <row r="129">
      <c r="A129" s="71"/>
      <c r="B129" s="61"/>
      <c r="C129" s="61"/>
      <c r="D129" s="61"/>
      <c r="E129" s="61"/>
      <c r="F129" s="71"/>
      <c r="G129" s="71"/>
    </row>
    <row r="130">
      <c r="A130" s="71"/>
      <c r="B130" s="61"/>
      <c r="C130" s="61"/>
      <c r="D130" s="61"/>
      <c r="E130" s="61"/>
      <c r="F130" s="71"/>
      <c r="G130" s="71"/>
    </row>
    <row r="131">
      <c r="A131" s="71"/>
      <c r="B131" s="61"/>
      <c r="C131" s="61"/>
      <c r="D131" s="61"/>
      <c r="E131" s="61"/>
      <c r="F131" s="71"/>
      <c r="G131" s="71"/>
    </row>
    <row r="132">
      <c r="A132" s="71"/>
      <c r="B132" s="61"/>
      <c r="C132" s="61"/>
      <c r="D132" s="61"/>
      <c r="E132" s="61"/>
      <c r="F132" s="71"/>
      <c r="G132" s="71"/>
    </row>
    <row r="133">
      <c r="A133" s="71"/>
      <c r="B133" s="61"/>
      <c r="C133" s="61"/>
      <c r="D133" s="61"/>
      <c r="E133" s="61"/>
      <c r="F133" s="71"/>
      <c r="G133" s="71"/>
    </row>
    <row r="134">
      <c r="A134" s="71"/>
      <c r="B134" s="61"/>
      <c r="C134" s="61"/>
      <c r="D134" s="61"/>
      <c r="E134" s="61"/>
      <c r="F134" s="71"/>
      <c r="G134" s="71"/>
    </row>
    <row r="135">
      <c r="A135" s="71"/>
      <c r="B135" s="61"/>
      <c r="C135" s="61"/>
      <c r="D135" s="61"/>
      <c r="E135" s="61"/>
      <c r="F135" s="71"/>
      <c r="G135" s="71"/>
    </row>
    <row r="136">
      <c r="A136" s="71"/>
      <c r="B136" s="61"/>
      <c r="C136" s="61"/>
      <c r="D136" s="61"/>
      <c r="E136" s="61"/>
      <c r="F136" s="71"/>
      <c r="G136" s="71"/>
    </row>
    <row r="137">
      <c r="A137" s="71"/>
      <c r="B137" s="61"/>
      <c r="C137" s="61"/>
      <c r="D137" s="61"/>
      <c r="E137" s="61"/>
      <c r="F137" s="71"/>
      <c r="G137" s="71"/>
    </row>
    <row r="138">
      <c r="A138" s="71"/>
      <c r="B138" s="61"/>
      <c r="C138" s="61"/>
      <c r="D138" s="61"/>
      <c r="E138" s="61"/>
      <c r="F138" s="71"/>
      <c r="G138" s="71"/>
    </row>
    <row r="139">
      <c r="A139" s="71"/>
      <c r="B139" s="61"/>
      <c r="C139" s="61"/>
      <c r="D139" s="61"/>
      <c r="E139" s="61"/>
      <c r="F139" s="71"/>
      <c r="G139" s="71"/>
    </row>
    <row r="140">
      <c r="A140" s="71"/>
      <c r="B140" s="61"/>
      <c r="C140" s="61"/>
      <c r="D140" s="61"/>
      <c r="E140" s="61"/>
      <c r="F140" s="71"/>
      <c r="G140" s="71"/>
    </row>
    <row r="141">
      <c r="A141" s="71"/>
      <c r="B141" s="61"/>
      <c r="C141" s="61"/>
      <c r="D141" s="61"/>
      <c r="E141" s="61"/>
      <c r="F141" s="71"/>
      <c r="G141" s="71"/>
    </row>
    <row r="142">
      <c r="A142" s="71"/>
      <c r="B142" s="61"/>
      <c r="C142" s="61"/>
      <c r="D142" s="61"/>
      <c r="E142" s="61"/>
      <c r="F142" s="71"/>
      <c r="G142" s="71"/>
    </row>
    <row r="143">
      <c r="A143" s="71"/>
      <c r="B143" s="61"/>
      <c r="C143" s="61"/>
      <c r="D143" s="61"/>
      <c r="E143" s="61"/>
      <c r="F143" s="71"/>
      <c r="G143" s="71"/>
    </row>
    <row r="144">
      <c r="A144" s="71"/>
      <c r="B144" s="61"/>
      <c r="C144" s="61"/>
      <c r="D144" s="61"/>
      <c r="E144" s="61"/>
      <c r="F144" s="71"/>
      <c r="G144" s="71"/>
    </row>
    <row r="145">
      <c r="A145" s="71"/>
      <c r="B145" s="61"/>
      <c r="C145" s="61"/>
      <c r="D145" s="61"/>
      <c r="E145" s="61"/>
      <c r="F145" s="71"/>
      <c r="G145" s="71"/>
    </row>
    <row r="146">
      <c r="A146" s="71"/>
      <c r="B146" s="61"/>
      <c r="C146" s="61"/>
      <c r="D146" s="61"/>
      <c r="E146" s="61"/>
      <c r="F146" s="71"/>
      <c r="G146" s="71"/>
    </row>
    <row r="147">
      <c r="A147" s="71"/>
      <c r="B147" s="61"/>
      <c r="C147" s="61"/>
      <c r="D147" s="61"/>
      <c r="E147" s="61"/>
      <c r="F147" s="71"/>
      <c r="G147" s="71"/>
    </row>
    <row r="148">
      <c r="A148" s="71"/>
      <c r="B148" s="61"/>
      <c r="C148" s="61"/>
      <c r="D148" s="61"/>
      <c r="E148" s="61"/>
      <c r="F148" s="71"/>
      <c r="G148" s="71"/>
    </row>
    <row r="149">
      <c r="A149" s="71"/>
      <c r="B149" s="61"/>
      <c r="C149" s="61"/>
      <c r="D149" s="61"/>
      <c r="E149" s="61"/>
      <c r="F149" s="71"/>
      <c r="G149" s="71"/>
    </row>
    <row r="150">
      <c r="A150" s="71"/>
      <c r="B150" s="61"/>
      <c r="C150" s="61"/>
      <c r="D150" s="61"/>
      <c r="E150" s="61"/>
      <c r="F150" s="71"/>
      <c r="G150" s="71"/>
    </row>
    <row r="151">
      <c r="A151" s="71"/>
      <c r="B151" s="61"/>
      <c r="C151" s="61"/>
      <c r="D151" s="61"/>
      <c r="E151" s="61"/>
      <c r="F151" s="71"/>
      <c r="G151" s="71"/>
    </row>
    <row r="152">
      <c r="A152" s="71"/>
      <c r="B152" s="61"/>
      <c r="C152" s="61"/>
      <c r="D152" s="61"/>
      <c r="E152" s="61"/>
      <c r="F152" s="71"/>
      <c r="G152" s="71"/>
    </row>
    <row r="153">
      <c r="A153" s="71"/>
      <c r="B153" s="61"/>
      <c r="C153" s="61"/>
      <c r="D153" s="61"/>
      <c r="E153" s="61"/>
      <c r="F153" s="71"/>
      <c r="G153" s="71"/>
    </row>
    <row r="154">
      <c r="A154" s="71"/>
      <c r="B154" s="61"/>
      <c r="C154" s="61"/>
      <c r="D154" s="61"/>
      <c r="E154" s="61"/>
      <c r="F154" s="71"/>
      <c r="G154" s="71"/>
    </row>
    <row r="155">
      <c r="A155" s="71"/>
      <c r="B155" s="61"/>
      <c r="C155" s="61"/>
      <c r="D155" s="61"/>
      <c r="E155" s="61"/>
      <c r="F155" s="71"/>
      <c r="G155" s="71"/>
    </row>
    <row r="156">
      <c r="A156" s="71"/>
      <c r="B156" s="61"/>
      <c r="C156" s="61"/>
      <c r="D156" s="61"/>
      <c r="E156" s="61"/>
      <c r="F156" s="71"/>
      <c r="G156" s="71"/>
    </row>
    <row r="157">
      <c r="A157" s="71"/>
      <c r="B157" s="61"/>
      <c r="C157" s="61"/>
      <c r="D157" s="61"/>
      <c r="E157" s="61"/>
      <c r="F157" s="71"/>
      <c r="G157" s="71"/>
    </row>
    <row r="158">
      <c r="A158" s="71"/>
      <c r="B158" s="61"/>
      <c r="C158" s="61"/>
      <c r="D158" s="61"/>
      <c r="E158" s="61"/>
      <c r="F158" s="71"/>
      <c r="G158" s="71"/>
    </row>
    <row r="159">
      <c r="A159" s="71"/>
      <c r="B159" s="61"/>
      <c r="C159" s="61"/>
      <c r="D159" s="61"/>
      <c r="E159" s="61"/>
      <c r="F159" s="71"/>
      <c r="G159" s="71"/>
    </row>
    <row r="160">
      <c r="A160" s="71"/>
      <c r="B160" s="61"/>
      <c r="C160" s="61"/>
      <c r="D160" s="61"/>
      <c r="E160" s="61"/>
      <c r="F160" s="71"/>
      <c r="G160" s="71"/>
    </row>
    <row r="161">
      <c r="A161" s="71"/>
      <c r="B161" s="61"/>
      <c r="C161" s="61"/>
      <c r="D161" s="61"/>
      <c r="E161" s="61"/>
      <c r="F161" s="71"/>
      <c r="G161" s="71"/>
    </row>
    <row r="162">
      <c r="A162" s="71"/>
      <c r="B162" s="61"/>
      <c r="C162" s="61"/>
      <c r="D162" s="61"/>
      <c r="E162" s="61"/>
      <c r="F162" s="71"/>
      <c r="G162" s="71"/>
    </row>
    <row r="163">
      <c r="A163" s="71"/>
      <c r="B163" s="61"/>
      <c r="C163" s="61"/>
      <c r="D163" s="61"/>
      <c r="E163" s="61"/>
      <c r="F163" s="71"/>
      <c r="G163" s="71"/>
    </row>
    <row r="164">
      <c r="A164" s="71"/>
      <c r="B164" s="61"/>
      <c r="C164" s="61"/>
      <c r="D164" s="61"/>
      <c r="E164" s="61"/>
      <c r="F164" s="71"/>
      <c r="G164" s="71"/>
    </row>
    <row r="165">
      <c r="A165" s="71"/>
      <c r="B165" s="61"/>
      <c r="C165" s="61"/>
      <c r="D165" s="61"/>
      <c r="E165" s="61"/>
      <c r="F165" s="71"/>
      <c r="G165" s="71"/>
    </row>
    <row r="166">
      <c r="A166" s="71"/>
      <c r="B166" s="61"/>
      <c r="C166" s="61"/>
      <c r="D166" s="61"/>
      <c r="E166" s="61"/>
      <c r="F166" s="71"/>
      <c r="G166" s="71"/>
    </row>
    <row r="167">
      <c r="A167" s="71"/>
      <c r="B167" s="61"/>
      <c r="C167" s="61"/>
      <c r="D167" s="61"/>
      <c r="E167" s="61"/>
      <c r="F167" s="71"/>
      <c r="G167" s="71"/>
    </row>
    <row r="168">
      <c r="A168" s="71"/>
      <c r="B168" s="61"/>
      <c r="C168" s="61"/>
      <c r="D168" s="61"/>
      <c r="E168" s="61"/>
      <c r="F168" s="71"/>
      <c r="G168" s="71"/>
    </row>
    <row r="169">
      <c r="A169" s="71"/>
      <c r="B169" s="61"/>
      <c r="C169" s="61"/>
      <c r="D169" s="61"/>
      <c r="E169" s="61"/>
      <c r="F169" s="71"/>
      <c r="G169" s="71"/>
    </row>
    <row r="170">
      <c r="A170" s="71"/>
      <c r="B170" s="61"/>
      <c r="C170" s="61"/>
      <c r="D170" s="61"/>
      <c r="E170" s="61"/>
      <c r="F170" s="71"/>
      <c r="G170" s="71"/>
    </row>
    <row r="171">
      <c r="A171" s="71"/>
      <c r="B171" s="61"/>
      <c r="C171" s="61"/>
      <c r="D171" s="61"/>
      <c r="E171" s="61"/>
      <c r="F171" s="71"/>
      <c r="G171" s="71"/>
    </row>
    <row r="172">
      <c r="A172" s="71"/>
      <c r="B172" s="61"/>
      <c r="C172" s="61"/>
      <c r="D172" s="61"/>
      <c r="E172" s="61"/>
      <c r="F172" s="71"/>
      <c r="G172" s="71"/>
    </row>
    <row r="173">
      <c r="A173" s="71"/>
      <c r="B173" s="61"/>
      <c r="C173" s="61"/>
      <c r="D173" s="61"/>
      <c r="E173" s="61"/>
      <c r="F173" s="71"/>
      <c r="G173" s="71"/>
    </row>
    <row r="174">
      <c r="A174" s="71"/>
      <c r="B174" s="61"/>
      <c r="C174" s="61"/>
      <c r="D174" s="61"/>
      <c r="E174" s="61"/>
      <c r="F174" s="71"/>
      <c r="G174" s="71"/>
    </row>
    <row r="175">
      <c r="A175" s="71"/>
      <c r="B175" s="61"/>
      <c r="C175" s="61"/>
      <c r="D175" s="61"/>
      <c r="E175" s="61"/>
      <c r="F175" s="71"/>
      <c r="G175" s="71"/>
    </row>
    <row r="176">
      <c r="A176" s="71"/>
      <c r="B176" s="61"/>
      <c r="C176" s="61"/>
      <c r="D176" s="61"/>
      <c r="E176" s="61"/>
      <c r="F176" s="71"/>
      <c r="G176" s="71"/>
    </row>
    <row r="177">
      <c r="A177" s="71"/>
      <c r="B177" s="61"/>
      <c r="C177" s="61"/>
      <c r="D177" s="61"/>
      <c r="E177" s="61"/>
      <c r="F177" s="71"/>
      <c r="G177" s="71"/>
    </row>
    <row r="178">
      <c r="A178" s="71"/>
      <c r="B178" s="61"/>
      <c r="C178" s="61"/>
      <c r="D178" s="61"/>
      <c r="E178" s="61"/>
      <c r="F178" s="71"/>
      <c r="G178" s="71"/>
    </row>
    <row r="179">
      <c r="A179" s="71"/>
      <c r="B179" s="61"/>
      <c r="C179" s="61"/>
      <c r="D179" s="61"/>
      <c r="E179" s="61"/>
      <c r="F179" s="71"/>
      <c r="G179" s="71"/>
    </row>
    <row r="180">
      <c r="A180" s="71"/>
      <c r="B180" s="61"/>
      <c r="C180" s="61"/>
      <c r="D180" s="61"/>
      <c r="E180" s="61"/>
      <c r="F180" s="71"/>
      <c r="G180" s="71"/>
    </row>
    <row r="181">
      <c r="A181" s="71"/>
      <c r="B181" s="61"/>
      <c r="C181" s="61"/>
      <c r="D181" s="61"/>
      <c r="E181" s="61"/>
      <c r="F181" s="71"/>
      <c r="G181" s="71"/>
    </row>
    <row r="182">
      <c r="A182" s="71"/>
      <c r="B182" s="61"/>
      <c r="C182" s="61"/>
      <c r="D182" s="61"/>
      <c r="E182" s="61"/>
      <c r="F182" s="71"/>
      <c r="G182" s="71"/>
    </row>
    <row r="183">
      <c r="A183" s="71"/>
      <c r="B183" s="61"/>
      <c r="C183" s="61"/>
      <c r="D183" s="61"/>
      <c r="E183" s="61"/>
      <c r="F183" s="71"/>
      <c r="G183" s="71"/>
    </row>
    <row r="184">
      <c r="A184" s="71"/>
      <c r="B184" s="61"/>
      <c r="C184" s="61"/>
      <c r="D184" s="61"/>
      <c r="E184" s="61"/>
      <c r="F184" s="71"/>
      <c r="G184" s="71"/>
    </row>
    <row r="185">
      <c r="A185" s="71"/>
      <c r="B185" s="61"/>
      <c r="C185" s="61"/>
      <c r="D185" s="61"/>
      <c r="E185" s="61"/>
      <c r="F185" s="71"/>
      <c r="G185" s="71"/>
    </row>
    <row r="186">
      <c r="A186" s="71"/>
      <c r="B186" s="61"/>
      <c r="C186" s="61"/>
      <c r="D186" s="61"/>
      <c r="E186" s="61"/>
      <c r="F186" s="71"/>
      <c r="G186" s="71"/>
    </row>
    <row r="187">
      <c r="A187" s="71"/>
      <c r="B187" s="61"/>
      <c r="C187" s="61"/>
      <c r="D187" s="61"/>
      <c r="E187" s="61"/>
      <c r="F187" s="71"/>
      <c r="G187" s="71"/>
    </row>
    <row r="188">
      <c r="A188" s="71"/>
      <c r="B188" s="61"/>
      <c r="C188" s="61"/>
      <c r="D188" s="61"/>
      <c r="E188" s="61"/>
      <c r="F188" s="71"/>
      <c r="G188" s="71"/>
    </row>
    <row r="189">
      <c r="A189" s="71"/>
      <c r="B189" s="61"/>
      <c r="C189" s="61"/>
      <c r="D189" s="61"/>
      <c r="E189" s="61"/>
      <c r="F189" s="71"/>
      <c r="G189" s="71"/>
    </row>
    <row r="190">
      <c r="A190" s="71"/>
      <c r="B190" s="61"/>
      <c r="C190" s="61"/>
      <c r="D190" s="61"/>
      <c r="E190" s="61"/>
      <c r="F190" s="71"/>
      <c r="G190" s="71"/>
    </row>
    <row r="191">
      <c r="A191" s="71"/>
      <c r="B191" s="61"/>
      <c r="C191" s="61"/>
      <c r="D191" s="61"/>
      <c r="E191" s="61"/>
      <c r="F191" s="71"/>
      <c r="G191" s="71"/>
    </row>
    <row r="192">
      <c r="A192" s="71"/>
      <c r="B192" s="61"/>
      <c r="C192" s="61"/>
      <c r="D192" s="61"/>
      <c r="E192" s="61"/>
      <c r="F192" s="71"/>
      <c r="G192" s="71"/>
    </row>
    <row r="193">
      <c r="A193" s="71"/>
      <c r="B193" s="61"/>
      <c r="C193" s="61"/>
      <c r="D193" s="61"/>
      <c r="E193" s="61"/>
      <c r="F193" s="71"/>
      <c r="G193" s="71"/>
    </row>
    <row r="194">
      <c r="A194" s="71"/>
      <c r="B194" s="61"/>
      <c r="C194" s="61"/>
      <c r="D194" s="61"/>
      <c r="E194" s="61"/>
      <c r="F194" s="71"/>
      <c r="G194" s="71"/>
    </row>
    <row r="195">
      <c r="A195" s="71"/>
      <c r="B195" s="61"/>
      <c r="C195" s="61"/>
      <c r="D195" s="61"/>
      <c r="E195" s="61"/>
      <c r="F195" s="71"/>
      <c r="G195" s="71"/>
    </row>
    <row r="196">
      <c r="A196" s="71"/>
      <c r="B196" s="61"/>
      <c r="C196" s="61"/>
      <c r="D196" s="61"/>
      <c r="E196" s="61"/>
      <c r="F196" s="71"/>
      <c r="G196" s="71"/>
    </row>
    <row r="197">
      <c r="A197" s="71"/>
      <c r="B197" s="61"/>
      <c r="C197" s="61"/>
      <c r="D197" s="61"/>
      <c r="E197" s="61"/>
      <c r="F197" s="71"/>
      <c r="G197" s="71"/>
    </row>
    <row r="198">
      <c r="A198" s="71"/>
      <c r="B198" s="61"/>
      <c r="C198" s="61"/>
      <c r="D198" s="61"/>
      <c r="E198" s="61"/>
      <c r="F198" s="71"/>
      <c r="G198" s="71"/>
    </row>
    <row r="199">
      <c r="A199" s="71"/>
      <c r="B199" s="61"/>
      <c r="C199" s="61"/>
      <c r="D199" s="61"/>
      <c r="E199" s="61"/>
      <c r="F199" s="71"/>
      <c r="G199" s="71"/>
    </row>
    <row r="200">
      <c r="A200" s="71"/>
      <c r="B200" s="61"/>
      <c r="C200" s="61"/>
      <c r="D200" s="61"/>
      <c r="E200" s="61"/>
      <c r="F200" s="71"/>
      <c r="G200" s="71"/>
    </row>
    <row r="201">
      <c r="A201" s="71"/>
      <c r="B201" s="61"/>
      <c r="C201" s="61"/>
      <c r="D201" s="61"/>
      <c r="E201" s="61"/>
      <c r="F201" s="71"/>
      <c r="G201" s="71"/>
    </row>
    <row r="202">
      <c r="A202" s="71"/>
      <c r="B202" s="61"/>
      <c r="C202" s="61"/>
      <c r="D202" s="61"/>
      <c r="E202" s="61"/>
      <c r="F202" s="71"/>
      <c r="G202" s="71"/>
    </row>
    <row r="203">
      <c r="A203" s="71"/>
      <c r="B203" s="61"/>
      <c r="C203" s="61"/>
      <c r="D203" s="61"/>
      <c r="E203" s="61"/>
      <c r="F203" s="71"/>
      <c r="G203" s="71"/>
    </row>
    <row r="204">
      <c r="A204" s="71"/>
      <c r="B204" s="61"/>
      <c r="C204" s="61"/>
      <c r="D204" s="61"/>
      <c r="E204" s="61"/>
      <c r="F204" s="71"/>
      <c r="G204" s="71"/>
    </row>
    <row r="205">
      <c r="A205" s="71"/>
      <c r="B205" s="61"/>
      <c r="C205" s="61"/>
      <c r="D205" s="61"/>
      <c r="E205" s="61"/>
      <c r="F205" s="71"/>
      <c r="G205" s="71"/>
    </row>
    <row r="206">
      <c r="A206" s="71"/>
      <c r="B206" s="61"/>
      <c r="C206" s="61"/>
      <c r="D206" s="61"/>
      <c r="E206" s="61"/>
      <c r="F206" s="71"/>
      <c r="G206" s="71"/>
    </row>
    <row r="207">
      <c r="A207" s="71"/>
      <c r="B207" s="61"/>
      <c r="C207" s="61"/>
      <c r="D207" s="61"/>
      <c r="E207" s="61"/>
      <c r="F207" s="71"/>
      <c r="G207" s="71"/>
    </row>
    <row r="208">
      <c r="A208" s="71"/>
      <c r="B208" s="61"/>
      <c r="C208" s="61"/>
      <c r="D208" s="61"/>
      <c r="E208" s="61"/>
      <c r="F208" s="71"/>
      <c r="G208" s="71"/>
    </row>
    <row r="209">
      <c r="A209" s="71"/>
      <c r="B209" s="61"/>
      <c r="C209" s="61"/>
      <c r="D209" s="61"/>
      <c r="E209" s="61"/>
      <c r="F209" s="71"/>
      <c r="G209" s="71"/>
    </row>
    <row r="210">
      <c r="A210" s="71"/>
      <c r="B210" s="61"/>
      <c r="C210" s="61"/>
      <c r="D210" s="61"/>
      <c r="E210" s="61"/>
      <c r="F210" s="71"/>
      <c r="G210" s="71"/>
    </row>
    <row r="211">
      <c r="A211" s="71"/>
      <c r="B211" s="61"/>
      <c r="C211" s="61"/>
      <c r="D211" s="61"/>
      <c r="E211" s="61"/>
      <c r="F211" s="71"/>
      <c r="G211" s="71"/>
    </row>
    <row r="212">
      <c r="A212" s="71"/>
      <c r="B212" s="61"/>
      <c r="C212" s="61"/>
      <c r="D212" s="61"/>
      <c r="E212" s="61"/>
      <c r="F212" s="71"/>
      <c r="G212" s="71"/>
    </row>
    <row r="213">
      <c r="A213" s="71"/>
      <c r="B213" s="61"/>
      <c r="C213" s="61"/>
      <c r="D213" s="61"/>
      <c r="E213" s="61"/>
      <c r="F213" s="71"/>
      <c r="G213" s="71"/>
    </row>
    <row r="214">
      <c r="A214" s="71"/>
      <c r="B214" s="61"/>
      <c r="C214" s="61"/>
      <c r="D214" s="61"/>
      <c r="E214" s="61"/>
      <c r="F214" s="71"/>
      <c r="G214" s="71"/>
    </row>
    <row r="215">
      <c r="A215" s="71"/>
      <c r="B215" s="61"/>
      <c r="C215" s="61"/>
      <c r="D215" s="61"/>
      <c r="E215" s="61"/>
      <c r="F215" s="71"/>
      <c r="G215" s="71"/>
    </row>
    <row r="216">
      <c r="A216" s="71"/>
      <c r="B216" s="61"/>
      <c r="C216" s="61"/>
      <c r="D216" s="61"/>
      <c r="E216" s="61"/>
      <c r="F216" s="71"/>
      <c r="G216" s="71"/>
    </row>
    <row r="217">
      <c r="A217" s="71"/>
      <c r="B217" s="61"/>
      <c r="C217" s="61"/>
      <c r="D217" s="61"/>
      <c r="E217" s="61"/>
      <c r="F217" s="71"/>
      <c r="G217" s="71"/>
    </row>
    <row r="218">
      <c r="A218" s="71"/>
      <c r="B218" s="61"/>
      <c r="C218" s="61"/>
      <c r="D218" s="61"/>
      <c r="E218" s="61"/>
      <c r="F218" s="71"/>
      <c r="G218" s="71"/>
    </row>
    <row r="219">
      <c r="A219" s="71"/>
      <c r="B219" s="61"/>
      <c r="C219" s="61"/>
      <c r="D219" s="61"/>
      <c r="E219" s="61"/>
      <c r="F219" s="71"/>
      <c r="G219" s="71"/>
    </row>
    <row r="220">
      <c r="A220" s="71"/>
      <c r="B220" s="61"/>
      <c r="C220" s="61"/>
      <c r="D220" s="61"/>
      <c r="E220" s="61"/>
      <c r="F220" s="71"/>
      <c r="G220" s="71"/>
    </row>
    <row r="221">
      <c r="A221" s="71"/>
      <c r="B221" s="61"/>
      <c r="C221" s="61"/>
      <c r="D221" s="61"/>
      <c r="E221" s="61"/>
      <c r="F221" s="71"/>
      <c r="G221" s="71"/>
    </row>
    <row r="222">
      <c r="A222" s="71"/>
      <c r="B222" s="61"/>
      <c r="C222" s="61"/>
      <c r="D222" s="61"/>
      <c r="E222" s="61"/>
      <c r="F222" s="71"/>
      <c r="G222" s="71"/>
    </row>
    <row r="223">
      <c r="A223" s="71"/>
      <c r="B223" s="61"/>
      <c r="C223" s="61"/>
      <c r="D223" s="61"/>
      <c r="E223" s="61"/>
      <c r="F223" s="71"/>
      <c r="G223" s="71"/>
    </row>
    <row r="224">
      <c r="A224" s="71"/>
      <c r="B224" s="61"/>
      <c r="C224" s="61"/>
      <c r="D224" s="61"/>
      <c r="E224" s="61"/>
      <c r="F224" s="71"/>
      <c r="G224" s="71"/>
    </row>
    <row r="225">
      <c r="A225" s="71"/>
      <c r="B225" s="61"/>
      <c r="C225" s="61"/>
      <c r="D225" s="61"/>
      <c r="E225" s="61"/>
      <c r="F225" s="71"/>
      <c r="G225" s="71"/>
    </row>
    <row r="226">
      <c r="A226" s="71"/>
      <c r="B226" s="61"/>
      <c r="C226" s="61"/>
      <c r="D226" s="61"/>
      <c r="E226" s="61"/>
      <c r="F226" s="71"/>
      <c r="G226" s="71"/>
    </row>
    <row r="227">
      <c r="A227" s="71"/>
      <c r="B227" s="61"/>
      <c r="C227" s="61"/>
      <c r="D227" s="61"/>
      <c r="E227" s="61"/>
      <c r="F227" s="71"/>
      <c r="G227" s="71"/>
    </row>
    <row r="228">
      <c r="A228" s="71"/>
      <c r="B228" s="61"/>
      <c r="C228" s="61"/>
      <c r="D228" s="61"/>
      <c r="E228" s="61"/>
      <c r="F228" s="71"/>
      <c r="G228" s="71"/>
    </row>
    <row r="229">
      <c r="A229" s="71"/>
      <c r="B229" s="61"/>
      <c r="C229" s="61"/>
      <c r="D229" s="61"/>
      <c r="E229" s="61"/>
      <c r="F229" s="71"/>
      <c r="G229" s="71"/>
    </row>
    <row r="230">
      <c r="A230" s="71"/>
      <c r="B230" s="61"/>
      <c r="C230" s="61"/>
      <c r="D230" s="61"/>
      <c r="E230" s="61"/>
      <c r="F230" s="71"/>
      <c r="G230" s="71"/>
    </row>
    <row r="231">
      <c r="A231" s="71"/>
      <c r="B231" s="61"/>
      <c r="C231" s="61"/>
      <c r="D231" s="61"/>
      <c r="E231" s="61"/>
      <c r="F231" s="71"/>
      <c r="G231" s="71"/>
    </row>
    <row r="232">
      <c r="A232" s="71"/>
      <c r="B232" s="61"/>
      <c r="C232" s="61"/>
      <c r="D232" s="61"/>
      <c r="E232" s="61"/>
      <c r="F232" s="71"/>
      <c r="G232" s="71"/>
    </row>
    <row r="233">
      <c r="A233" s="71"/>
      <c r="B233" s="61"/>
      <c r="C233" s="61"/>
      <c r="D233" s="61"/>
      <c r="E233" s="61"/>
      <c r="F233" s="71"/>
      <c r="G233" s="71"/>
    </row>
    <row r="234">
      <c r="A234" s="71"/>
      <c r="B234" s="61"/>
      <c r="C234" s="61"/>
      <c r="D234" s="61"/>
      <c r="E234" s="61"/>
      <c r="F234" s="71"/>
      <c r="G234" s="71"/>
    </row>
    <row r="235">
      <c r="A235" s="71"/>
      <c r="B235" s="61"/>
      <c r="C235" s="61"/>
      <c r="D235" s="61"/>
      <c r="E235" s="61"/>
      <c r="F235" s="71"/>
      <c r="G235" s="71"/>
    </row>
    <row r="236">
      <c r="A236" s="71"/>
      <c r="B236" s="61"/>
      <c r="C236" s="61"/>
      <c r="D236" s="61"/>
      <c r="E236" s="61"/>
      <c r="F236" s="71"/>
      <c r="G236" s="71"/>
    </row>
    <row r="237">
      <c r="A237" s="71"/>
      <c r="B237" s="61"/>
      <c r="C237" s="61"/>
      <c r="D237" s="61"/>
      <c r="E237" s="61"/>
      <c r="F237" s="71"/>
      <c r="G237" s="71"/>
    </row>
    <row r="238">
      <c r="A238" s="71"/>
      <c r="B238" s="61"/>
      <c r="C238" s="61"/>
      <c r="D238" s="61"/>
      <c r="E238" s="61"/>
      <c r="F238" s="71"/>
      <c r="G238" s="71"/>
    </row>
    <row r="239">
      <c r="A239" s="71"/>
      <c r="B239" s="61"/>
      <c r="C239" s="61"/>
      <c r="D239" s="61"/>
      <c r="E239" s="61"/>
      <c r="F239" s="71"/>
      <c r="G239" s="71"/>
    </row>
    <row r="240">
      <c r="A240" s="71"/>
      <c r="B240" s="61"/>
      <c r="C240" s="61"/>
      <c r="D240" s="61"/>
      <c r="E240" s="61"/>
      <c r="F240" s="71"/>
      <c r="G240" s="71"/>
    </row>
    <row r="241">
      <c r="A241" s="71"/>
      <c r="B241" s="61"/>
      <c r="C241" s="61"/>
      <c r="D241" s="61"/>
      <c r="E241" s="61"/>
      <c r="F241" s="71"/>
      <c r="G241" s="71"/>
    </row>
    <row r="242">
      <c r="A242" s="71"/>
      <c r="B242" s="61"/>
      <c r="C242" s="61"/>
      <c r="D242" s="61"/>
      <c r="E242" s="61"/>
      <c r="F242" s="71"/>
      <c r="G242" s="71"/>
    </row>
    <row r="243">
      <c r="A243" s="71"/>
      <c r="B243" s="61"/>
      <c r="C243" s="61"/>
      <c r="D243" s="61"/>
      <c r="E243" s="61"/>
      <c r="F243" s="71"/>
      <c r="G243" s="71"/>
    </row>
    <row r="244">
      <c r="A244" s="71"/>
      <c r="B244" s="61"/>
      <c r="C244" s="61"/>
      <c r="D244" s="61"/>
      <c r="E244" s="61"/>
      <c r="F244" s="71"/>
      <c r="G244" s="71"/>
    </row>
    <row r="245">
      <c r="A245" s="71"/>
      <c r="B245" s="61"/>
      <c r="C245" s="61"/>
      <c r="D245" s="61"/>
      <c r="E245" s="61"/>
      <c r="F245" s="71"/>
      <c r="G245" s="71"/>
    </row>
    <row r="246">
      <c r="A246" s="71"/>
      <c r="B246" s="61"/>
      <c r="C246" s="61"/>
      <c r="D246" s="61"/>
      <c r="E246" s="61"/>
      <c r="F246" s="71"/>
      <c r="G246" s="71"/>
    </row>
    <row r="247">
      <c r="A247" s="71"/>
      <c r="B247" s="61"/>
      <c r="C247" s="61"/>
      <c r="D247" s="61"/>
      <c r="E247" s="61"/>
      <c r="F247" s="71"/>
      <c r="G247" s="71"/>
    </row>
    <row r="248">
      <c r="A248" s="71"/>
      <c r="B248" s="61"/>
      <c r="C248" s="61"/>
      <c r="D248" s="61"/>
      <c r="E248" s="61"/>
      <c r="F248" s="71"/>
      <c r="G248" s="71"/>
    </row>
    <row r="249">
      <c r="A249" s="71"/>
      <c r="B249" s="61"/>
      <c r="C249" s="61"/>
      <c r="D249" s="61"/>
      <c r="E249" s="61"/>
      <c r="F249" s="71"/>
      <c r="G249" s="71"/>
    </row>
    <row r="250">
      <c r="A250" s="71"/>
      <c r="B250" s="61"/>
      <c r="C250" s="61"/>
      <c r="D250" s="61"/>
      <c r="E250" s="61"/>
      <c r="F250" s="71"/>
      <c r="G250" s="71"/>
    </row>
    <row r="251">
      <c r="A251" s="71"/>
      <c r="B251" s="61"/>
      <c r="C251" s="61"/>
      <c r="D251" s="61"/>
      <c r="E251" s="61"/>
      <c r="F251" s="71"/>
      <c r="G251" s="71"/>
    </row>
    <row r="252">
      <c r="A252" s="71"/>
      <c r="B252" s="61"/>
      <c r="C252" s="61"/>
      <c r="D252" s="61"/>
      <c r="E252" s="61"/>
      <c r="F252" s="71"/>
      <c r="G252" s="71"/>
    </row>
    <row r="253">
      <c r="A253" s="71"/>
      <c r="B253" s="61"/>
      <c r="C253" s="61"/>
      <c r="D253" s="61"/>
      <c r="E253" s="61"/>
      <c r="F253" s="71"/>
      <c r="G253" s="71"/>
    </row>
    <row r="254">
      <c r="A254" s="71"/>
      <c r="B254" s="61"/>
      <c r="C254" s="61"/>
      <c r="D254" s="61"/>
      <c r="E254" s="61"/>
      <c r="F254" s="71"/>
      <c r="G254" s="71"/>
    </row>
    <row r="255">
      <c r="A255" s="71"/>
      <c r="B255" s="61"/>
      <c r="C255" s="61"/>
      <c r="D255" s="61"/>
      <c r="E255" s="61"/>
      <c r="F255" s="71"/>
      <c r="G255" s="71"/>
    </row>
    <row r="256">
      <c r="A256" s="71"/>
      <c r="B256" s="61"/>
      <c r="C256" s="61"/>
      <c r="D256" s="61"/>
      <c r="E256" s="61"/>
      <c r="F256" s="71"/>
      <c r="G256" s="71"/>
    </row>
    <row r="257">
      <c r="A257" s="71"/>
      <c r="B257" s="61"/>
      <c r="C257" s="61"/>
      <c r="D257" s="61"/>
      <c r="E257" s="61"/>
      <c r="F257" s="71"/>
      <c r="G257" s="71"/>
    </row>
    <row r="258">
      <c r="A258" s="71"/>
      <c r="B258" s="61"/>
      <c r="C258" s="61"/>
      <c r="D258" s="61"/>
      <c r="E258" s="61"/>
      <c r="F258" s="71"/>
      <c r="G258" s="71"/>
    </row>
    <row r="259">
      <c r="A259" s="71"/>
      <c r="B259" s="61"/>
      <c r="C259" s="61"/>
      <c r="D259" s="61"/>
      <c r="E259" s="61"/>
      <c r="F259" s="71"/>
      <c r="G259" s="71"/>
    </row>
    <row r="260">
      <c r="A260" s="71"/>
      <c r="B260" s="61"/>
      <c r="C260" s="61"/>
      <c r="D260" s="61"/>
      <c r="E260" s="61"/>
      <c r="F260" s="71"/>
      <c r="G260" s="71"/>
    </row>
    <row r="261">
      <c r="A261" s="71"/>
      <c r="B261" s="61"/>
      <c r="C261" s="61"/>
      <c r="D261" s="61"/>
      <c r="E261" s="61"/>
      <c r="F261" s="71"/>
      <c r="G261" s="71"/>
    </row>
    <row r="262">
      <c r="A262" s="71"/>
      <c r="B262" s="61"/>
      <c r="C262" s="61"/>
      <c r="D262" s="61"/>
      <c r="E262" s="61"/>
      <c r="F262" s="71"/>
      <c r="G262" s="71"/>
    </row>
    <row r="263">
      <c r="A263" s="71"/>
      <c r="B263" s="61"/>
      <c r="C263" s="61"/>
      <c r="D263" s="61"/>
      <c r="E263" s="61"/>
      <c r="F263" s="71"/>
      <c r="G263" s="71"/>
    </row>
    <row r="264">
      <c r="A264" s="71"/>
      <c r="B264" s="61"/>
      <c r="C264" s="61"/>
      <c r="D264" s="61"/>
      <c r="E264" s="61"/>
      <c r="F264" s="71"/>
      <c r="G264" s="71"/>
    </row>
    <row r="265">
      <c r="A265" s="71"/>
      <c r="B265" s="61"/>
      <c r="C265" s="61"/>
      <c r="D265" s="61"/>
      <c r="E265" s="61"/>
      <c r="F265" s="71"/>
      <c r="G265" s="71"/>
    </row>
    <row r="266">
      <c r="A266" s="71"/>
      <c r="B266" s="61"/>
      <c r="C266" s="61"/>
      <c r="D266" s="61"/>
      <c r="E266" s="61"/>
      <c r="F266" s="71"/>
      <c r="G266" s="71"/>
    </row>
    <row r="267">
      <c r="A267" s="71"/>
      <c r="B267" s="61"/>
      <c r="C267" s="61"/>
      <c r="D267" s="61"/>
      <c r="E267" s="61"/>
      <c r="F267" s="71"/>
      <c r="G267" s="71"/>
    </row>
    <row r="268">
      <c r="A268" s="71"/>
      <c r="B268" s="61"/>
      <c r="C268" s="61"/>
      <c r="D268" s="61"/>
      <c r="E268" s="61"/>
      <c r="F268" s="71"/>
      <c r="G268" s="71"/>
    </row>
    <row r="269">
      <c r="A269" s="71"/>
      <c r="B269" s="61"/>
      <c r="C269" s="61"/>
      <c r="D269" s="61"/>
      <c r="E269" s="61"/>
      <c r="F269" s="71"/>
      <c r="G269" s="71"/>
    </row>
    <row r="270">
      <c r="A270" s="71"/>
      <c r="B270" s="61"/>
      <c r="C270" s="61"/>
      <c r="D270" s="61"/>
      <c r="E270" s="61"/>
      <c r="F270" s="71"/>
      <c r="G270" s="71"/>
    </row>
    <row r="271">
      <c r="A271" s="71"/>
      <c r="B271" s="61"/>
      <c r="C271" s="61"/>
      <c r="D271" s="61"/>
      <c r="E271" s="61"/>
      <c r="F271" s="71"/>
      <c r="G271" s="71"/>
    </row>
    <row r="272">
      <c r="A272" s="71"/>
      <c r="B272" s="61"/>
      <c r="C272" s="61"/>
      <c r="D272" s="61"/>
      <c r="E272" s="61"/>
      <c r="F272" s="71"/>
      <c r="G272" s="71"/>
    </row>
    <row r="273">
      <c r="A273" s="71"/>
      <c r="B273" s="61"/>
      <c r="C273" s="61"/>
      <c r="D273" s="61"/>
      <c r="E273" s="61"/>
      <c r="F273" s="71"/>
      <c r="G273" s="71"/>
    </row>
    <row r="274">
      <c r="A274" s="71"/>
      <c r="B274" s="61"/>
      <c r="C274" s="61"/>
      <c r="D274" s="61"/>
      <c r="E274" s="61"/>
      <c r="F274" s="71"/>
      <c r="G274" s="71"/>
    </row>
    <row r="275">
      <c r="A275" s="71"/>
      <c r="B275" s="61"/>
      <c r="C275" s="61"/>
      <c r="D275" s="61"/>
      <c r="E275" s="61"/>
      <c r="F275" s="71"/>
      <c r="G275" s="71"/>
    </row>
    <row r="276">
      <c r="A276" s="71"/>
      <c r="B276" s="61"/>
      <c r="C276" s="61"/>
      <c r="D276" s="61"/>
      <c r="E276" s="61"/>
      <c r="F276" s="71"/>
      <c r="G276" s="71"/>
    </row>
    <row r="277">
      <c r="A277" s="71"/>
      <c r="B277" s="61"/>
      <c r="C277" s="61"/>
      <c r="D277" s="61"/>
      <c r="E277" s="61"/>
      <c r="F277" s="71"/>
      <c r="G277" s="71"/>
    </row>
    <row r="278">
      <c r="A278" s="71"/>
      <c r="B278" s="61"/>
      <c r="C278" s="61"/>
      <c r="D278" s="61"/>
      <c r="E278" s="61"/>
      <c r="F278" s="71"/>
      <c r="G278" s="71"/>
    </row>
    <row r="279">
      <c r="A279" s="71"/>
      <c r="B279" s="61"/>
      <c r="C279" s="61"/>
      <c r="D279" s="61"/>
      <c r="E279" s="61"/>
      <c r="F279" s="71"/>
      <c r="G279" s="71"/>
    </row>
    <row r="280">
      <c r="A280" s="71"/>
      <c r="B280" s="61"/>
      <c r="C280" s="61"/>
      <c r="D280" s="61"/>
      <c r="E280" s="61"/>
      <c r="F280" s="71"/>
      <c r="G280" s="71"/>
    </row>
    <row r="281">
      <c r="A281" s="71"/>
      <c r="B281" s="61"/>
      <c r="C281" s="61"/>
      <c r="D281" s="61"/>
      <c r="E281" s="61"/>
      <c r="F281" s="71"/>
      <c r="G281" s="71"/>
    </row>
    <row r="282">
      <c r="A282" s="71"/>
      <c r="B282" s="61"/>
      <c r="C282" s="61"/>
      <c r="D282" s="61"/>
      <c r="E282" s="61"/>
      <c r="F282" s="71"/>
      <c r="G282" s="71"/>
    </row>
    <row r="283">
      <c r="A283" s="71"/>
      <c r="B283" s="61"/>
      <c r="C283" s="61"/>
      <c r="D283" s="61"/>
      <c r="E283" s="61"/>
      <c r="F283" s="71"/>
      <c r="G283" s="71"/>
    </row>
    <row r="284">
      <c r="A284" s="71"/>
      <c r="B284" s="61"/>
      <c r="C284" s="61"/>
      <c r="D284" s="61"/>
      <c r="E284" s="61"/>
      <c r="F284" s="71"/>
      <c r="G284" s="71"/>
    </row>
    <row r="285">
      <c r="A285" s="71"/>
      <c r="B285" s="61"/>
      <c r="C285" s="61"/>
      <c r="D285" s="61"/>
      <c r="E285" s="61"/>
      <c r="F285" s="71"/>
      <c r="G285" s="71"/>
    </row>
    <row r="286">
      <c r="A286" s="71"/>
      <c r="B286" s="61"/>
      <c r="C286" s="61"/>
      <c r="D286" s="61"/>
      <c r="E286" s="61"/>
      <c r="F286" s="71"/>
      <c r="G286" s="71"/>
    </row>
    <row r="287">
      <c r="A287" s="71"/>
      <c r="B287" s="61"/>
      <c r="C287" s="61"/>
      <c r="D287" s="61"/>
      <c r="E287" s="61"/>
      <c r="F287" s="71"/>
      <c r="G287" s="71"/>
    </row>
    <row r="288">
      <c r="A288" s="71"/>
      <c r="B288" s="61"/>
      <c r="C288" s="61"/>
      <c r="D288" s="61"/>
      <c r="E288" s="61"/>
      <c r="F288" s="71"/>
      <c r="G288" s="71"/>
    </row>
    <row r="289">
      <c r="A289" s="71"/>
      <c r="B289" s="61"/>
      <c r="C289" s="61"/>
      <c r="D289" s="61"/>
      <c r="E289" s="61"/>
      <c r="F289" s="71"/>
      <c r="G289" s="71"/>
    </row>
    <row r="290">
      <c r="A290" s="71"/>
      <c r="B290" s="61"/>
      <c r="C290" s="61"/>
      <c r="D290" s="61"/>
      <c r="E290" s="61"/>
      <c r="F290" s="71"/>
      <c r="G290" s="71"/>
    </row>
    <row r="291">
      <c r="A291" s="71"/>
      <c r="B291" s="61"/>
      <c r="C291" s="61"/>
      <c r="D291" s="61"/>
      <c r="E291" s="61"/>
      <c r="F291" s="71"/>
      <c r="G291" s="71"/>
    </row>
    <row r="292">
      <c r="A292" s="71"/>
      <c r="B292" s="61"/>
      <c r="C292" s="61"/>
      <c r="D292" s="61"/>
      <c r="E292" s="61"/>
      <c r="F292" s="71"/>
      <c r="G292" s="71"/>
    </row>
    <row r="293">
      <c r="A293" s="71"/>
      <c r="B293" s="61"/>
      <c r="C293" s="61"/>
      <c r="D293" s="61"/>
      <c r="E293" s="61"/>
      <c r="F293" s="71"/>
      <c r="G293" s="71"/>
    </row>
    <row r="294">
      <c r="A294" s="71"/>
      <c r="B294" s="61"/>
      <c r="C294" s="61"/>
      <c r="D294" s="61"/>
      <c r="E294" s="61"/>
      <c r="F294" s="71"/>
      <c r="G294" s="71"/>
    </row>
    <row r="295">
      <c r="A295" s="71"/>
      <c r="B295" s="61"/>
      <c r="C295" s="61"/>
      <c r="D295" s="61"/>
      <c r="E295" s="61"/>
      <c r="F295" s="71"/>
      <c r="G295" s="71"/>
    </row>
    <row r="296">
      <c r="A296" s="71"/>
      <c r="B296" s="61"/>
      <c r="C296" s="61"/>
      <c r="D296" s="61"/>
      <c r="E296" s="61"/>
      <c r="F296" s="71"/>
      <c r="G296" s="71"/>
    </row>
    <row r="297">
      <c r="A297" s="71"/>
      <c r="B297" s="61"/>
      <c r="C297" s="61"/>
      <c r="D297" s="61"/>
      <c r="E297" s="61"/>
      <c r="F297" s="71"/>
      <c r="G297" s="71"/>
    </row>
    <row r="298">
      <c r="A298" s="71"/>
      <c r="B298" s="61"/>
      <c r="C298" s="61"/>
      <c r="D298" s="61"/>
      <c r="E298" s="61"/>
      <c r="F298" s="71"/>
      <c r="G298" s="71"/>
    </row>
    <row r="299">
      <c r="A299" s="71"/>
      <c r="B299" s="61"/>
      <c r="C299" s="61"/>
      <c r="D299" s="61"/>
      <c r="E299" s="61"/>
      <c r="F299" s="71"/>
      <c r="G299" s="71"/>
    </row>
    <row r="300">
      <c r="A300" s="71"/>
      <c r="B300" s="61"/>
      <c r="C300" s="61"/>
      <c r="D300" s="61"/>
      <c r="E300" s="61"/>
      <c r="F300" s="71"/>
      <c r="G300" s="71"/>
    </row>
    <row r="301">
      <c r="A301" s="71"/>
      <c r="B301" s="61"/>
      <c r="C301" s="61"/>
      <c r="D301" s="61"/>
      <c r="E301" s="61"/>
      <c r="F301" s="71"/>
      <c r="G301" s="71"/>
    </row>
    <row r="302">
      <c r="A302" s="71"/>
      <c r="B302" s="61"/>
      <c r="C302" s="61"/>
      <c r="D302" s="61"/>
      <c r="E302" s="61"/>
      <c r="F302" s="71"/>
      <c r="G302" s="71"/>
    </row>
    <row r="303">
      <c r="A303" s="71"/>
      <c r="B303" s="61"/>
      <c r="C303" s="61"/>
      <c r="D303" s="61"/>
      <c r="E303" s="61"/>
      <c r="F303" s="71"/>
      <c r="G303" s="71"/>
    </row>
    <row r="304">
      <c r="A304" s="71"/>
      <c r="B304" s="61"/>
      <c r="C304" s="61"/>
      <c r="D304" s="61"/>
      <c r="E304" s="61"/>
      <c r="F304" s="71"/>
      <c r="G304" s="71"/>
    </row>
    <row r="305">
      <c r="A305" s="71"/>
      <c r="B305" s="61"/>
      <c r="C305" s="61"/>
      <c r="D305" s="61"/>
      <c r="E305" s="61"/>
      <c r="F305" s="71"/>
      <c r="G305" s="71"/>
    </row>
    <row r="306">
      <c r="A306" s="71"/>
      <c r="B306" s="61"/>
      <c r="C306" s="61"/>
      <c r="D306" s="61"/>
      <c r="E306" s="61"/>
      <c r="F306" s="71"/>
      <c r="G306" s="71"/>
    </row>
    <row r="307">
      <c r="A307" s="71"/>
      <c r="B307" s="61"/>
      <c r="C307" s="61"/>
      <c r="D307" s="61"/>
      <c r="E307" s="61"/>
      <c r="F307" s="71"/>
      <c r="G307" s="71"/>
    </row>
    <row r="308">
      <c r="A308" s="71"/>
      <c r="B308" s="61"/>
      <c r="C308" s="61"/>
      <c r="D308" s="61"/>
      <c r="E308" s="61"/>
      <c r="F308" s="71"/>
      <c r="G308" s="71"/>
    </row>
    <row r="309">
      <c r="A309" s="71"/>
      <c r="B309" s="61"/>
      <c r="C309" s="61"/>
      <c r="D309" s="61"/>
      <c r="E309" s="61"/>
      <c r="F309" s="71"/>
      <c r="G309" s="71"/>
    </row>
    <row r="310">
      <c r="A310" s="71"/>
      <c r="B310" s="61"/>
      <c r="C310" s="61"/>
      <c r="D310" s="61"/>
      <c r="E310" s="61"/>
      <c r="F310" s="71"/>
      <c r="G310" s="71"/>
    </row>
    <row r="311">
      <c r="A311" s="71"/>
      <c r="B311" s="61"/>
      <c r="C311" s="61"/>
      <c r="D311" s="61"/>
      <c r="E311" s="61"/>
      <c r="F311" s="71"/>
      <c r="G311" s="71"/>
    </row>
    <row r="312">
      <c r="A312" s="71"/>
      <c r="B312" s="61"/>
      <c r="C312" s="61"/>
      <c r="D312" s="61"/>
      <c r="E312" s="61"/>
      <c r="F312" s="71"/>
      <c r="G312" s="71"/>
    </row>
    <row r="313">
      <c r="A313" s="71"/>
      <c r="B313" s="61"/>
      <c r="C313" s="61"/>
      <c r="D313" s="61"/>
      <c r="E313" s="61"/>
      <c r="F313" s="71"/>
      <c r="G313" s="71"/>
    </row>
    <row r="314">
      <c r="A314" s="71"/>
      <c r="B314" s="61"/>
      <c r="C314" s="61"/>
      <c r="D314" s="61"/>
      <c r="E314" s="61"/>
      <c r="F314" s="71"/>
      <c r="G314" s="71"/>
    </row>
    <row r="315">
      <c r="A315" s="71"/>
      <c r="B315" s="61"/>
      <c r="C315" s="61"/>
      <c r="D315" s="61"/>
      <c r="E315" s="61"/>
      <c r="F315" s="71"/>
      <c r="G315" s="71"/>
    </row>
    <row r="316">
      <c r="A316" s="71"/>
      <c r="B316" s="61"/>
      <c r="C316" s="61"/>
      <c r="D316" s="61"/>
      <c r="E316" s="61"/>
      <c r="F316" s="71"/>
      <c r="G316" s="71"/>
    </row>
    <row r="317">
      <c r="A317" s="71"/>
      <c r="B317" s="61"/>
      <c r="C317" s="61"/>
      <c r="D317" s="61"/>
      <c r="E317" s="61"/>
      <c r="F317" s="71"/>
      <c r="G317" s="71"/>
    </row>
    <row r="318">
      <c r="A318" s="71"/>
      <c r="B318" s="61"/>
      <c r="C318" s="61"/>
      <c r="D318" s="61"/>
      <c r="E318" s="61"/>
      <c r="F318" s="71"/>
      <c r="G318" s="71"/>
    </row>
    <row r="319">
      <c r="A319" s="71"/>
      <c r="B319" s="61"/>
      <c r="C319" s="61"/>
      <c r="D319" s="61"/>
      <c r="E319" s="61"/>
      <c r="F319" s="71"/>
      <c r="G319" s="71"/>
    </row>
    <row r="320">
      <c r="A320" s="71"/>
      <c r="B320" s="61"/>
      <c r="C320" s="61"/>
      <c r="D320" s="61"/>
      <c r="E320" s="61"/>
      <c r="F320" s="71"/>
      <c r="G320" s="71"/>
    </row>
    <row r="321">
      <c r="A321" s="71"/>
      <c r="B321" s="61"/>
      <c r="C321" s="61"/>
      <c r="D321" s="61"/>
      <c r="E321" s="61"/>
      <c r="F321" s="71"/>
      <c r="G321" s="71"/>
    </row>
    <row r="322">
      <c r="A322" s="71"/>
      <c r="B322" s="61"/>
      <c r="C322" s="61"/>
      <c r="D322" s="61"/>
      <c r="E322" s="61"/>
      <c r="F322" s="71"/>
      <c r="G322" s="71"/>
    </row>
    <row r="323">
      <c r="A323" s="71"/>
      <c r="B323" s="61"/>
      <c r="C323" s="61"/>
      <c r="D323" s="61"/>
      <c r="E323" s="61"/>
      <c r="F323" s="71"/>
      <c r="G323" s="71"/>
    </row>
    <row r="324">
      <c r="A324" s="71"/>
      <c r="B324" s="61"/>
      <c r="C324" s="61"/>
      <c r="D324" s="61"/>
      <c r="E324" s="61"/>
      <c r="F324" s="71"/>
      <c r="G324" s="71"/>
    </row>
    <row r="325">
      <c r="A325" s="71"/>
      <c r="B325" s="61"/>
      <c r="C325" s="61"/>
      <c r="D325" s="61"/>
      <c r="E325" s="61"/>
      <c r="F325" s="71"/>
      <c r="G325" s="71"/>
    </row>
    <row r="326">
      <c r="A326" s="71"/>
      <c r="B326" s="61"/>
      <c r="C326" s="61"/>
      <c r="D326" s="61"/>
      <c r="E326" s="61"/>
      <c r="F326" s="71"/>
      <c r="G326" s="71"/>
    </row>
    <row r="327">
      <c r="A327" s="71"/>
      <c r="B327" s="61"/>
      <c r="C327" s="61"/>
      <c r="D327" s="61"/>
      <c r="E327" s="61"/>
      <c r="F327" s="71"/>
      <c r="G327" s="71"/>
    </row>
    <row r="328">
      <c r="A328" s="71"/>
      <c r="B328" s="61"/>
      <c r="C328" s="61"/>
      <c r="D328" s="61"/>
      <c r="E328" s="61"/>
      <c r="F328" s="71"/>
      <c r="G328" s="71"/>
    </row>
    <row r="329">
      <c r="A329" s="71"/>
      <c r="B329" s="61"/>
      <c r="C329" s="61"/>
      <c r="D329" s="61"/>
      <c r="E329" s="61"/>
      <c r="F329" s="71"/>
      <c r="G329" s="71"/>
    </row>
    <row r="330">
      <c r="A330" s="71"/>
      <c r="B330" s="61"/>
      <c r="C330" s="61"/>
      <c r="D330" s="61"/>
      <c r="E330" s="61"/>
      <c r="F330" s="71"/>
      <c r="G330" s="71"/>
    </row>
    <row r="331">
      <c r="A331" s="71"/>
      <c r="B331" s="61"/>
      <c r="C331" s="61"/>
      <c r="D331" s="61"/>
      <c r="E331" s="61"/>
      <c r="F331" s="71"/>
      <c r="G331" s="71"/>
    </row>
    <row r="332">
      <c r="A332" s="71"/>
      <c r="B332" s="61"/>
      <c r="C332" s="61"/>
      <c r="D332" s="61"/>
      <c r="E332" s="61"/>
      <c r="F332" s="71"/>
      <c r="G332" s="71"/>
    </row>
    <row r="333">
      <c r="A333" s="71"/>
      <c r="B333" s="61"/>
      <c r="C333" s="61"/>
      <c r="D333" s="61"/>
      <c r="E333" s="61"/>
      <c r="F333" s="71"/>
      <c r="G333" s="71"/>
    </row>
    <row r="334">
      <c r="A334" s="71"/>
      <c r="B334" s="61"/>
      <c r="C334" s="61"/>
      <c r="D334" s="61"/>
      <c r="E334" s="61"/>
      <c r="F334" s="71"/>
      <c r="G334" s="71"/>
    </row>
    <row r="335">
      <c r="A335" s="71"/>
      <c r="B335" s="61"/>
      <c r="C335" s="61"/>
      <c r="D335" s="61"/>
      <c r="E335" s="61"/>
      <c r="F335" s="71"/>
      <c r="G335" s="71"/>
    </row>
    <row r="336">
      <c r="A336" s="71"/>
      <c r="B336" s="61"/>
      <c r="C336" s="61"/>
      <c r="D336" s="61"/>
      <c r="E336" s="61"/>
      <c r="F336" s="71"/>
      <c r="G336" s="71"/>
    </row>
    <row r="337">
      <c r="A337" s="71"/>
      <c r="B337" s="61"/>
      <c r="C337" s="61"/>
      <c r="D337" s="61"/>
      <c r="E337" s="61"/>
      <c r="F337" s="71"/>
      <c r="G337" s="71"/>
    </row>
    <row r="338">
      <c r="A338" s="71"/>
      <c r="B338" s="61"/>
      <c r="C338" s="61"/>
      <c r="D338" s="61"/>
      <c r="E338" s="61"/>
      <c r="F338" s="71"/>
      <c r="G338" s="71"/>
    </row>
    <row r="339">
      <c r="A339" s="71"/>
      <c r="B339" s="61"/>
      <c r="C339" s="61"/>
      <c r="D339" s="61"/>
      <c r="E339" s="61"/>
      <c r="F339" s="71"/>
      <c r="G339" s="71"/>
    </row>
    <row r="340">
      <c r="A340" s="71"/>
      <c r="B340" s="61"/>
      <c r="C340" s="61"/>
      <c r="D340" s="61"/>
      <c r="E340" s="61"/>
      <c r="F340" s="71"/>
      <c r="G340" s="71"/>
    </row>
    <row r="341">
      <c r="A341" s="71"/>
      <c r="B341" s="61"/>
      <c r="C341" s="61"/>
      <c r="D341" s="61"/>
      <c r="E341" s="61"/>
      <c r="F341" s="71"/>
      <c r="G341" s="71"/>
    </row>
    <row r="342">
      <c r="A342" s="71"/>
      <c r="B342" s="61"/>
      <c r="C342" s="61"/>
      <c r="D342" s="61"/>
      <c r="E342" s="61"/>
      <c r="F342" s="71"/>
      <c r="G342" s="71"/>
    </row>
    <row r="343">
      <c r="A343" s="71"/>
      <c r="B343" s="61"/>
      <c r="C343" s="61"/>
      <c r="D343" s="61"/>
      <c r="E343" s="61"/>
      <c r="F343" s="71"/>
      <c r="G343" s="71"/>
    </row>
    <row r="344">
      <c r="A344" s="71"/>
      <c r="B344" s="61"/>
      <c r="C344" s="61"/>
      <c r="D344" s="61"/>
      <c r="E344" s="61"/>
      <c r="F344" s="71"/>
      <c r="G344" s="71"/>
    </row>
    <row r="345">
      <c r="A345" s="71"/>
      <c r="B345" s="61"/>
      <c r="C345" s="61"/>
      <c r="D345" s="61"/>
      <c r="E345" s="61"/>
      <c r="F345" s="71"/>
      <c r="G345" s="71"/>
    </row>
    <row r="346">
      <c r="A346" s="71"/>
      <c r="B346" s="61"/>
      <c r="C346" s="61"/>
      <c r="D346" s="61"/>
      <c r="E346" s="61"/>
      <c r="F346" s="71"/>
      <c r="G346" s="71"/>
    </row>
    <row r="347">
      <c r="A347" s="71"/>
      <c r="B347" s="61"/>
      <c r="C347" s="61"/>
      <c r="D347" s="61"/>
      <c r="E347" s="61"/>
      <c r="F347" s="71"/>
      <c r="G347" s="71"/>
    </row>
    <row r="348">
      <c r="A348" s="71"/>
      <c r="B348" s="61"/>
      <c r="C348" s="61"/>
      <c r="D348" s="61"/>
      <c r="E348" s="61"/>
      <c r="F348" s="71"/>
      <c r="G348" s="71"/>
    </row>
    <row r="349">
      <c r="A349" s="71"/>
      <c r="B349" s="61"/>
      <c r="C349" s="61"/>
      <c r="D349" s="61"/>
      <c r="E349" s="61"/>
      <c r="F349" s="71"/>
      <c r="G349" s="71"/>
    </row>
    <row r="350">
      <c r="A350" s="71"/>
      <c r="B350" s="61"/>
      <c r="C350" s="61"/>
      <c r="D350" s="61"/>
      <c r="E350" s="61"/>
      <c r="F350" s="71"/>
      <c r="G350" s="71"/>
    </row>
    <row r="351">
      <c r="A351" s="71"/>
      <c r="B351" s="61"/>
      <c r="C351" s="61"/>
      <c r="D351" s="61"/>
      <c r="E351" s="61"/>
      <c r="F351" s="71"/>
      <c r="G351" s="71"/>
    </row>
    <row r="352">
      <c r="A352" s="71"/>
      <c r="B352" s="61"/>
      <c r="C352" s="61"/>
      <c r="D352" s="61"/>
      <c r="E352" s="61"/>
      <c r="F352" s="71"/>
      <c r="G352" s="71"/>
    </row>
    <row r="353">
      <c r="A353" s="71"/>
      <c r="B353" s="61"/>
      <c r="C353" s="61"/>
      <c r="D353" s="61"/>
      <c r="E353" s="61"/>
      <c r="F353" s="71"/>
      <c r="G353" s="71"/>
    </row>
    <row r="354">
      <c r="A354" s="71"/>
      <c r="B354" s="61"/>
      <c r="C354" s="61"/>
      <c r="D354" s="61"/>
      <c r="E354" s="61"/>
      <c r="F354" s="71"/>
      <c r="G354" s="71"/>
    </row>
    <row r="355">
      <c r="A355" s="71"/>
      <c r="B355" s="61"/>
      <c r="C355" s="61"/>
      <c r="D355" s="61"/>
      <c r="E355" s="61"/>
      <c r="F355" s="71"/>
      <c r="G355" s="71"/>
    </row>
    <row r="356">
      <c r="A356" s="71"/>
      <c r="B356" s="61"/>
      <c r="C356" s="61"/>
      <c r="D356" s="61"/>
      <c r="E356" s="61"/>
      <c r="F356" s="71"/>
      <c r="G356" s="71"/>
    </row>
    <row r="357">
      <c r="A357" s="71"/>
      <c r="B357" s="61"/>
      <c r="C357" s="61"/>
      <c r="D357" s="61"/>
      <c r="E357" s="61"/>
      <c r="F357" s="71"/>
      <c r="G357" s="71"/>
    </row>
    <row r="358">
      <c r="A358" s="71"/>
      <c r="B358" s="61"/>
      <c r="C358" s="61"/>
      <c r="D358" s="61"/>
      <c r="E358" s="61"/>
      <c r="F358" s="71"/>
      <c r="G358" s="71"/>
    </row>
    <row r="359">
      <c r="A359" s="71"/>
      <c r="B359" s="61"/>
      <c r="C359" s="61"/>
      <c r="D359" s="61"/>
      <c r="E359" s="61"/>
      <c r="F359" s="71"/>
      <c r="G359" s="71"/>
    </row>
    <row r="360">
      <c r="A360" s="71"/>
      <c r="B360" s="61"/>
      <c r="C360" s="61"/>
      <c r="D360" s="61"/>
      <c r="E360" s="61"/>
      <c r="F360" s="71"/>
      <c r="G360" s="71"/>
    </row>
    <row r="361">
      <c r="A361" s="71"/>
      <c r="B361" s="61"/>
      <c r="C361" s="61"/>
      <c r="D361" s="61"/>
      <c r="E361" s="61"/>
      <c r="F361" s="71"/>
      <c r="G361" s="71"/>
    </row>
    <row r="362">
      <c r="A362" s="71"/>
      <c r="B362" s="61"/>
      <c r="C362" s="61"/>
      <c r="D362" s="61"/>
      <c r="E362" s="61"/>
      <c r="F362" s="71"/>
      <c r="G362" s="71"/>
    </row>
    <row r="363">
      <c r="A363" s="71"/>
      <c r="B363" s="61"/>
      <c r="C363" s="61"/>
      <c r="D363" s="61"/>
      <c r="E363" s="61"/>
      <c r="F363" s="71"/>
      <c r="G363" s="71"/>
    </row>
    <row r="364">
      <c r="A364" s="71"/>
      <c r="B364" s="61"/>
      <c r="C364" s="61"/>
      <c r="D364" s="61"/>
      <c r="E364" s="61"/>
      <c r="F364" s="71"/>
      <c r="G364" s="71"/>
    </row>
    <row r="365">
      <c r="A365" s="71"/>
      <c r="B365" s="61"/>
      <c r="C365" s="61"/>
      <c r="D365" s="61"/>
      <c r="E365" s="61"/>
      <c r="F365" s="71"/>
      <c r="G365" s="71"/>
    </row>
    <row r="366">
      <c r="A366" s="71"/>
      <c r="B366" s="61"/>
      <c r="C366" s="61"/>
      <c r="D366" s="61"/>
      <c r="E366" s="61"/>
      <c r="F366" s="71"/>
      <c r="G366" s="71"/>
    </row>
    <row r="367">
      <c r="A367" s="71"/>
      <c r="B367" s="61"/>
      <c r="C367" s="61"/>
      <c r="D367" s="61"/>
      <c r="E367" s="61"/>
      <c r="F367" s="71"/>
      <c r="G367" s="71"/>
    </row>
    <row r="368">
      <c r="A368" s="71"/>
      <c r="B368" s="61"/>
      <c r="C368" s="61"/>
      <c r="D368" s="61"/>
      <c r="E368" s="61"/>
      <c r="F368" s="71"/>
      <c r="G368" s="71"/>
    </row>
    <row r="369">
      <c r="A369" s="71"/>
      <c r="B369" s="61"/>
      <c r="C369" s="61"/>
      <c r="D369" s="61"/>
      <c r="E369" s="61"/>
      <c r="F369" s="71"/>
      <c r="G369" s="71"/>
    </row>
    <row r="370">
      <c r="A370" s="71"/>
      <c r="B370" s="61"/>
      <c r="C370" s="61"/>
      <c r="D370" s="61"/>
      <c r="E370" s="61"/>
      <c r="F370" s="71"/>
      <c r="G370" s="71"/>
    </row>
    <row r="371">
      <c r="A371" s="71"/>
      <c r="B371" s="61"/>
      <c r="C371" s="61"/>
      <c r="D371" s="61"/>
      <c r="E371" s="61"/>
      <c r="F371" s="71"/>
      <c r="G371" s="71"/>
    </row>
    <row r="372">
      <c r="A372" s="71"/>
      <c r="B372" s="61"/>
      <c r="C372" s="61"/>
      <c r="D372" s="61"/>
      <c r="E372" s="61"/>
      <c r="F372" s="71"/>
      <c r="G372" s="71"/>
    </row>
    <row r="373">
      <c r="A373" s="71"/>
      <c r="B373" s="61"/>
      <c r="C373" s="61"/>
      <c r="D373" s="61"/>
      <c r="E373" s="61"/>
      <c r="F373" s="71"/>
      <c r="G373" s="71"/>
    </row>
    <row r="374">
      <c r="A374" s="71"/>
      <c r="B374" s="61"/>
      <c r="C374" s="61"/>
      <c r="D374" s="61"/>
      <c r="E374" s="61"/>
      <c r="F374" s="71"/>
      <c r="G374" s="71"/>
    </row>
    <row r="375">
      <c r="A375" s="71"/>
      <c r="B375" s="61"/>
      <c r="C375" s="61"/>
      <c r="D375" s="61"/>
      <c r="E375" s="61"/>
      <c r="F375" s="71"/>
      <c r="G375" s="71"/>
    </row>
    <row r="376">
      <c r="A376" s="71"/>
      <c r="B376" s="61"/>
      <c r="C376" s="61"/>
      <c r="D376" s="61"/>
      <c r="E376" s="61"/>
      <c r="F376" s="71"/>
      <c r="G376" s="71"/>
    </row>
    <row r="377">
      <c r="A377" s="71"/>
      <c r="B377" s="61"/>
      <c r="C377" s="61"/>
      <c r="D377" s="61"/>
      <c r="E377" s="61"/>
      <c r="F377" s="71"/>
      <c r="G377" s="71"/>
    </row>
    <row r="378">
      <c r="A378" s="71"/>
      <c r="B378" s="61"/>
      <c r="C378" s="61"/>
      <c r="D378" s="61"/>
      <c r="E378" s="61"/>
      <c r="F378" s="71"/>
      <c r="G378" s="71"/>
    </row>
    <row r="379">
      <c r="A379" s="71"/>
      <c r="B379" s="61"/>
      <c r="C379" s="61"/>
      <c r="D379" s="61"/>
      <c r="E379" s="61"/>
      <c r="F379" s="71"/>
      <c r="G379" s="71"/>
    </row>
    <row r="380">
      <c r="A380" s="71"/>
      <c r="B380" s="61"/>
      <c r="C380" s="61"/>
      <c r="D380" s="61"/>
      <c r="E380" s="61"/>
      <c r="F380" s="71"/>
      <c r="G380" s="71"/>
    </row>
    <row r="381">
      <c r="A381" s="71"/>
      <c r="B381" s="61"/>
      <c r="C381" s="61"/>
      <c r="D381" s="61"/>
      <c r="E381" s="61"/>
      <c r="F381" s="71"/>
      <c r="G381" s="71"/>
    </row>
    <row r="382">
      <c r="A382" s="71"/>
      <c r="B382" s="61"/>
      <c r="C382" s="61"/>
      <c r="D382" s="61"/>
      <c r="E382" s="61"/>
      <c r="F382" s="71"/>
      <c r="G382" s="71"/>
    </row>
    <row r="383">
      <c r="A383" s="71"/>
      <c r="B383" s="61"/>
      <c r="C383" s="61"/>
      <c r="D383" s="61"/>
      <c r="E383" s="61"/>
      <c r="F383" s="71"/>
      <c r="G383" s="71"/>
    </row>
    <row r="384">
      <c r="A384" s="71"/>
      <c r="B384" s="61"/>
      <c r="C384" s="61"/>
      <c r="D384" s="61"/>
      <c r="E384" s="61"/>
      <c r="F384" s="71"/>
      <c r="G384" s="71"/>
    </row>
    <row r="385">
      <c r="A385" s="71"/>
      <c r="B385" s="61"/>
      <c r="C385" s="61"/>
      <c r="D385" s="61"/>
      <c r="E385" s="61"/>
      <c r="F385" s="71"/>
      <c r="G385" s="71"/>
    </row>
    <row r="386">
      <c r="A386" s="71"/>
      <c r="B386" s="61"/>
      <c r="C386" s="61"/>
      <c r="D386" s="61"/>
      <c r="E386" s="61"/>
      <c r="F386" s="71"/>
      <c r="G386" s="71"/>
    </row>
    <row r="387">
      <c r="A387" s="71"/>
      <c r="B387" s="61"/>
      <c r="C387" s="61"/>
      <c r="D387" s="61"/>
      <c r="E387" s="61"/>
      <c r="F387" s="71"/>
      <c r="G387" s="71"/>
    </row>
    <row r="388">
      <c r="A388" s="71"/>
      <c r="B388" s="61"/>
      <c r="C388" s="61"/>
      <c r="D388" s="61"/>
      <c r="E388" s="61"/>
      <c r="F388" s="71"/>
      <c r="G388" s="71"/>
    </row>
    <row r="389">
      <c r="A389" s="71"/>
      <c r="B389" s="61"/>
      <c r="C389" s="61"/>
      <c r="D389" s="61"/>
      <c r="E389" s="61"/>
      <c r="F389" s="71"/>
      <c r="G389" s="71"/>
    </row>
    <row r="390">
      <c r="A390" s="71"/>
      <c r="B390" s="61"/>
      <c r="C390" s="61"/>
      <c r="D390" s="61"/>
      <c r="E390" s="61"/>
      <c r="F390" s="71"/>
      <c r="G390" s="71"/>
    </row>
    <row r="391">
      <c r="A391" s="71"/>
      <c r="B391" s="61"/>
      <c r="C391" s="61"/>
      <c r="D391" s="61"/>
      <c r="E391" s="61"/>
      <c r="F391" s="71"/>
      <c r="G391" s="71"/>
    </row>
    <row r="392">
      <c r="A392" s="71"/>
      <c r="B392" s="61"/>
      <c r="C392" s="61"/>
      <c r="D392" s="61"/>
      <c r="E392" s="61"/>
      <c r="F392" s="71"/>
      <c r="G392" s="71"/>
    </row>
    <row r="393">
      <c r="A393" s="71"/>
      <c r="B393" s="61"/>
      <c r="C393" s="61"/>
      <c r="D393" s="61"/>
      <c r="E393" s="61"/>
      <c r="F393" s="71"/>
      <c r="G393" s="71"/>
    </row>
    <row r="394">
      <c r="A394" s="71"/>
      <c r="B394" s="61"/>
      <c r="C394" s="61"/>
      <c r="D394" s="61"/>
      <c r="E394" s="61"/>
      <c r="F394" s="71"/>
      <c r="G394" s="71"/>
    </row>
    <row r="395">
      <c r="A395" s="71"/>
      <c r="B395" s="61"/>
      <c r="C395" s="61"/>
      <c r="D395" s="61"/>
      <c r="E395" s="61"/>
      <c r="F395" s="71"/>
      <c r="G395" s="71"/>
    </row>
    <row r="396">
      <c r="A396" s="71"/>
      <c r="B396" s="61"/>
      <c r="C396" s="61"/>
      <c r="D396" s="61"/>
      <c r="E396" s="61"/>
      <c r="F396" s="71"/>
      <c r="G396" s="71"/>
    </row>
    <row r="397">
      <c r="A397" s="71"/>
      <c r="B397" s="61"/>
      <c r="C397" s="61"/>
      <c r="D397" s="61"/>
      <c r="E397" s="61"/>
      <c r="F397" s="71"/>
      <c r="G397" s="71"/>
    </row>
    <row r="398">
      <c r="A398" s="71"/>
      <c r="B398" s="61"/>
      <c r="C398" s="61"/>
      <c r="D398" s="61"/>
      <c r="E398" s="61"/>
      <c r="F398" s="71"/>
      <c r="G398" s="71"/>
    </row>
    <row r="399">
      <c r="A399" s="71"/>
      <c r="B399" s="61"/>
      <c r="C399" s="61"/>
      <c r="D399" s="61"/>
      <c r="E399" s="61"/>
      <c r="F399" s="71"/>
      <c r="G399" s="71"/>
    </row>
    <row r="400">
      <c r="A400" s="71"/>
      <c r="B400" s="61"/>
      <c r="C400" s="61"/>
      <c r="D400" s="61"/>
      <c r="E400" s="61"/>
      <c r="F400" s="71"/>
      <c r="G400" s="71"/>
    </row>
    <row r="401">
      <c r="A401" s="71"/>
      <c r="B401" s="61"/>
      <c r="C401" s="61"/>
      <c r="D401" s="61"/>
      <c r="E401" s="61"/>
      <c r="F401" s="71"/>
      <c r="G401" s="71"/>
    </row>
    <row r="402">
      <c r="A402" s="71"/>
      <c r="B402" s="61"/>
      <c r="C402" s="61"/>
      <c r="D402" s="61"/>
      <c r="E402" s="61"/>
      <c r="F402" s="71"/>
      <c r="G402" s="71"/>
    </row>
    <row r="403">
      <c r="A403" s="71"/>
      <c r="B403" s="61"/>
      <c r="C403" s="61"/>
      <c r="D403" s="61"/>
      <c r="E403" s="61"/>
      <c r="F403" s="71"/>
      <c r="G403" s="71"/>
    </row>
    <row r="404">
      <c r="A404" s="71"/>
      <c r="B404" s="61"/>
      <c r="C404" s="61"/>
      <c r="D404" s="61"/>
      <c r="E404" s="61"/>
      <c r="F404" s="71"/>
      <c r="G404" s="71"/>
    </row>
    <row r="405">
      <c r="A405" s="71"/>
      <c r="B405" s="61"/>
      <c r="C405" s="61"/>
      <c r="D405" s="61"/>
      <c r="E405" s="61"/>
      <c r="F405" s="71"/>
      <c r="G405" s="71"/>
    </row>
    <row r="406">
      <c r="A406" s="71"/>
      <c r="B406" s="61"/>
      <c r="C406" s="61"/>
      <c r="D406" s="61"/>
      <c r="E406" s="61"/>
      <c r="F406" s="71"/>
      <c r="G406" s="71"/>
    </row>
    <row r="407">
      <c r="A407" s="71"/>
      <c r="B407" s="61"/>
      <c r="C407" s="61"/>
      <c r="D407" s="61"/>
      <c r="E407" s="61"/>
      <c r="F407" s="71"/>
      <c r="G407" s="71"/>
    </row>
    <row r="408">
      <c r="A408" s="71"/>
      <c r="B408" s="61"/>
      <c r="C408" s="61"/>
      <c r="D408" s="61"/>
      <c r="E408" s="61"/>
      <c r="F408" s="71"/>
      <c r="G408" s="71"/>
    </row>
    <row r="409">
      <c r="A409" s="71"/>
      <c r="B409" s="61"/>
      <c r="C409" s="61"/>
      <c r="D409" s="61"/>
      <c r="E409" s="61"/>
      <c r="F409" s="71"/>
      <c r="G409" s="71"/>
    </row>
    <row r="410">
      <c r="A410" s="71"/>
      <c r="B410" s="61"/>
      <c r="C410" s="61"/>
      <c r="D410" s="61"/>
      <c r="E410" s="61"/>
      <c r="F410" s="71"/>
      <c r="G410" s="71"/>
    </row>
    <row r="411">
      <c r="A411" s="71"/>
      <c r="B411" s="61"/>
      <c r="C411" s="61"/>
      <c r="D411" s="61"/>
      <c r="E411" s="61"/>
      <c r="F411" s="71"/>
      <c r="G411" s="71"/>
    </row>
    <row r="412">
      <c r="A412" s="71"/>
      <c r="B412" s="61"/>
      <c r="C412" s="61"/>
      <c r="D412" s="61"/>
      <c r="E412" s="61"/>
      <c r="F412" s="71"/>
      <c r="G412" s="71"/>
    </row>
    <row r="413">
      <c r="A413" s="71"/>
      <c r="B413" s="61"/>
      <c r="C413" s="61"/>
      <c r="D413" s="61"/>
      <c r="E413" s="61"/>
      <c r="F413" s="71"/>
      <c r="G413" s="71"/>
    </row>
    <row r="414">
      <c r="A414" s="71"/>
      <c r="B414" s="61"/>
      <c r="C414" s="61"/>
      <c r="D414" s="61"/>
      <c r="E414" s="61"/>
      <c r="F414" s="71"/>
      <c r="G414" s="71"/>
    </row>
    <row r="415">
      <c r="A415" s="71"/>
      <c r="B415" s="61"/>
      <c r="C415" s="61"/>
      <c r="D415" s="61"/>
      <c r="E415" s="61"/>
      <c r="F415" s="71"/>
      <c r="G415" s="71"/>
    </row>
    <row r="416">
      <c r="A416" s="71"/>
      <c r="B416" s="61"/>
      <c r="C416" s="61"/>
      <c r="D416" s="61"/>
      <c r="E416" s="61"/>
      <c r="F416" s="71"/>
      <c r="G416" s="71"/>
    </row>
    <row r="417">
      <c r="A417" s="71"/>
      <c r="B417" s="61"/>
      <c r="C417" s="61"/>
      <c r="D417" s="61"/>
      <c r="E417" s="61"/>
      <c r="F417" s="71"/>
      <c r="G417" s="71"/>
    </row>
    <row r="418">
      <c r="A418" s="71"/>
      <c r="B418" s="61"/>
      <c r="C418" s="61"/>
      <c r="D418" s="61"/>
      <c r="E418" s="61"/>
      <c r="F418" s="71"/>
      <c r="G418" s="71"/>
    </row>
    <row r="419">
      <c r="A419" s="71"/>
      <c r="B419" s="61"/>
      <c r="C419" s="61"/>
      <c r="D419" s="61"/>
      <c r="E419" s="61"/>
      <c r="F419" s="71"/>
      <c r="G419" s="71"/>
    </row>
    <row r="420">
      <c r="A420" s="71"/>
      <c r="B420" s="61"/>
      <c r="C420" s="61"/>
      <c r="D420" s="61"/>
      <c r="E420" s="61"/>
      <c r="F420" s="71"/>
      <c r="G420" s="71"/>
    </row>
    <row r="421">
      <c r="A421" s="71"/>
      <c r="B421" s="61"/>
      <c r="C421" s="61"/>
      <c r="D421" s="61"/>
      <c r="E421" s="61"/>
      <c r="F421" s="71"/>
      <c r="G421" s="71"/>
    </row>
    <row r="422">
      <c r="A422" s="71"/>
      <c r="B422" s="61"/>
      <c r="C422" s="61"/>
      <c r="D422" s="61"/>
      <c r="E422" s="61"/>
      <c r="F422" s="71"/>
      <c r="G422" s="71"/>
    </row>
    <row r="423">
      <c r="A423" s="71"/>
      <c r="B423" s="61"/>
      <c r="C423" s="61"/>
      <c r="D423" s="61"/>
      <c r="E423" s="61"/>
      <c r="F423" s="71"/>
      <c r="G423" s="71"/>
    </row>
    <row r="424">
      <c r="A424" s="71"/>
      <c r="B424" s="61"/>
      <c r="C424" s="61"/>
      <c r="D424" s="61"/>
      <c r="E424" s="61"/>
      <c r="F424" s="71"/>
      <c r="G424" s="71"/>
    </row>
    <row r="425">
      <c r="A425" s="71"/>
      <c r="B425" s="61"/>
      <c r="C425" s="61"/>
      <c r="D425" s="61"/>
      <c r="E425" s="61"/>
      <c r="F425" s="71"/>
      <c r="G425" s="71"/>
    </row>
    <row r="426">
      <c r="A426" s="71"/>
      <c r="B426" s="61"/>
      <c r="C426" s="61"/>
      <c r="D426" s="61"/>
      <c r="E426" s="61"/>
      <c r="F426" s="71"/>
      <c r="G426" s="71"/>
    </row>
    <row r="427">
      <c r="A427" s="71"/>
      <c r="B427" s="61"/>
      <c r="C427" s="61"/>
      <c r="D427" s="61"/>
      <c r="E427" s="61"/>
      <c r="F427" s="71"/>
      <c r="G427" s="71"/>
    </row>
    <row r="428">
      <c r="A428" s="71"/>
      <c r="B428" s="61"/>
      <c r="C428" s="61"/>
      <c r="D428" s="61"/>
      <c r="E428" s="61"/>
      <c r="F428" s="71"/>
      <c r="G428" s="71"/>
    </row>
    <row r="429">
      <c r="A429" s="71"/>
      <c r="B429" s="61"/>
      <c r="C429" s="61"/>
      <c r="D429" s="61"/>
      <c r="E429" s="61"/>
      <c r="F429" s="71"/>
      <c r="G429" s="71"/>
    </row>
    <row r="430">
      <c r="A430" s="71"/>
      <c r="B430" s="61"/>
      <c r="C430" s="61"/>
      <c r="D430" s="61"/>
      <c r="E430" s="61"/>
      <c r="F430" s="71"/>
      <c r="G430" s="71"/>
    </row>
    <row r="431">
      <c r="A431" s="71"/>
      <c r="B431" s="61"/>
      <c r="C431" s="61"/>
      <c r="D431" s="61"/>
      <c r="E431" s="61"/>
      <c r="F431" s="71"/>
      <c r="G431" s="71"/>
    </row>
    <row r="432">
      <c r="A432" s="71"/>
      <c r="B432" s="61"/>
      <c r="C432" s="61"/>
      <c r="D432" s="61"/>
      <c r="E432" s="61"/>
      <c r="F432" s="71"/>
      <c r="G432" s="71"/>
    </row>
    <row r="433">
      <c r="A433" s="71"/>
      <c r="B433" s="61"/>
      <c r="C433" s="61"/>
      <c r="D433" s="61"/>
      <c r="E433" s="61"/>
      <c r="F433" s="71"/>
      <c r="G433" s="71"/>
    </row>
    <row r="434">
      <c r="A434" s="71"/>
      <c r="B434" s="61"/>
      <c r="C434" s="61"/>
      <c r="D434" s="61"/>
      <c r="E434" s="61"/>
      <c r="F434" s="71"/>
      <c r="G434" s="71"/>
    </row>
    <row r="435">
      <c r="A435" s="71"/>
      <c r="B435" s="61"/>
      <c r="C435" s="61"/>
      <c r="D435" s="61"/>
      <c r="E435" s="61"/>
      <c r="F435" s="71"/>
      <c r="G435" s="71"/>
    </row>
    <row r="436">
      <c r="A436" s="71"/>
      <c r="B436" s="61"/>
      <c r="C436" s="61"/>
      <c r="D436" s="61"/>
      <c r="E436" s="61"/>
      <c r="F436" s="71"/>
      <c r="G436" s="71"/>
    </row>
    <row r="437">
      <c r="A437" s="71"/>
      <c r="B437" s="61"/>
      <c r="C437" s="61"/>
      <c r="D437" s="61"/>
      <c r="E437" s="61"/>
      <c r="F437" s="71"/>
      <c r="G437" s="71"/>
    </row>
    <row r="438">
      <c r="A438" s="71"/>
      <c r="B438" s="61"/>
      <c r="C438" s="61"/>
      <c r="D438" s="61"/>
      <c r="E438" s="61"/>
      <c r="F438" s="71"/>
      <c r="G438" s="71"/>
    </row>
    <row r="439">
      <c r="A439" s="71"/>
      <c r="B439" s="61"/>
      <c r="C439" s="61"/>
      <c r="D439" s="61"/>
      <c r="E439" s="61"/>
      <c r="F439" s="71"/>
      <c r="G439" s="71"/>
    </row>
    <row r="440">
      <c r="A440" s="71"/>
      <c r="B440" s="61"/>
      <c r="C440" s="61"/>
      <c r="D440" s="61"/>
      <c r="E440" s="61"/>
      <c r="F440" s="71"/>
      <c r="G440" s="71"/>
    </row>
    <row r="441">
      <c r="A441" s="71"/>
      <c r="B441" s="61"/>
      <c r="C441" s="61"/>
      <c r="D441" s="61"/>
      <c r="E441" s="61"/>
      <c r="F441" s="71"/>
      <c r="G441" s="71"/>
    </row>
    <row r="442">
      <c r="A442" s="71"/>
      <c r="B442" s="61"/>
      <c r="C442" s="61"/>
      <c r="D442" s="61"/>
      <c r="E442" s="61"/>
      <c r="F442" s="71"/>
      <c r="G442" s="71"/>
    </row>
    <row r="443">
      <c r="A443" s="71"/>
      <c r="B443" s="61"/>
      <c r="C443" s="61"/>
      <c r="D443" s="61"/>
      <c r="E443" s="61"/>
      <c r="F443" s="71"/>
      <c r="G443" s="71"/>
    </row>
    <row r="444">
      <c r="A444" s="71"/>
      <c r="B444" s="61"/>
      <c r="C444" s="61"/>
      <c r="D444" s="61"/>
      <c r="E444" s="61"/>
      <c r="F444" s="71"/>
      <c r="G444" s="71"/>
    </row>
    <row r="445">
      <c r="A445" s="71"/>
      <c r="B445" s="61"/>
      <c r="C445" s="61"/>
      <c r="D445" s="61"/>
      <c r="E445" s="61"/>
      <c r="F445" s="71"/>
      <c r="G445" s="71"/>
    </row>
    <row r="446">
      <c r="A446" s="71"/>
      <c r="B446" s="61"/>
      <c r="C446" s="61"/>
      <c r="D446" s="61"/>
      <c r="E446" s="61"/>
      <c r="F446" s="71"/>
      <c r="G446" s="71"/>
    </row>
    <row r="447">
      <c r="A447" s="71"/>
      <c r="B447" s="61"/>
      <c r="C447" s="61"/>
      <c r="D447" s="61"/>
      <c r="E447" s="61"/>
      <c r="F447" s="71"/>
      <c r="G447" s="71"/>
    </row>
    <row r="448">
      <c r="A448" s="71"/>
      <c r="B448" s="61"/>
      <c r="C448" s="61"/>
      <c r="D448" s="61"/>
      <c r="E448" s="61"/>
      <c r="F448" s="71"/>
      <c r="G448" s="71"/>
    </row>
    <row r="449">
      <c r="A449" s="71"/>
      <c r="B449" s="61"/>
      <c r="C449" s="61"/>
      <c r="D449" s="61"/>
      <c r="E449" s="61"/>
      <c r="F449" s="71"/>
      <c r="G449" s="71"/>
    </row>
    <row r="450">
      <c r="A450" s="71"/>
      <c r="B450" s="61"/>
      <c r="C450" s="61"/>
      <c r="D450" s="61"/>
      <c r="E450" s="61"/>
      <c r="F450" s="71"/>
      <c r="G450" s="71"/>
    </row>
    <row r="451">
      <c r="A451" s="71"/>
      <c r="B451" s="61"/>
      <c r="C451" s="61"/>
      <c r="D451" s="61"/>
      <c r="E451" s="61"/>
      <c r="F451" s="71"/>
      <c r="G451" s="71"/>
    </row>
    <row r="452">
      <c r="A452" s="71"/>
      <c r="B452" s="61"/>
      <c r="C452" s="61"/>
      <c r="D452" s="61"/>
      <c r="E452" s="61"/>
      <c r="F452" s="71"/>
      <c r="G452" s="71"/>
    </row>
    <row r="453">
      <c r="A453" s="71"/>
      <c r="B453" s="61"/>
      <c r="C453" s="61"/>
      <c r="D453" s="61"/>
      <c r="E453" s="61"/>
      <c r="F453" s="71"/>
      <c r="G453" s="71"/>
    </row>
    <row r="454">
      <c r="A454" s="71"/>
      <c r="B454" s="61"/>
      <c r="C454" s="61"/>
      <c r="D454" s="61"/>
      <c r="E454" s="61"/>
      <c r="F454" s="71"/>
      <c r="G454" s="71"/>
    </row>
    <row r="455">
      <c r="A455" s="71"/>
      <c r="B455" s="61"/>
      <c r="C455" s="61"/>
      <c r="D455" s="61"/>
      <c r="E455" s="61"/>
      <c r="F455" s="71"/>
      <c r="G455" s="71"/>
    </row>
    <row r="456">
      <c r="A456" s="71"/>
      <c r="B456" s="61"/>
      <c r="C456" s="61"/>
      <c r="D456" s="61"/>
      <c r="E456" s="61"/>
      <c r="F456" s="71"/>
      <c r="G456" s="71"/>
    </row>
    <row r="457">
      <c r="A457" s="71"/>
      <c r="B457" s="61"/>
      <c r="C457" s="61"/>
      <c r="D457" s="61"/>
      <c r="E457" s="61"/>
      <c r="F457" s="71"/>
      <c r="G457" s="71"/>
    </row>
    <row r="458">
      <c r="A458" s="71"/>
      <c r="B458" s="61"/>
      <c r="C458" s="61"/>
      <c r="D458" s="61"/>
      <c r="E458" s="61"/>
      <c r="F458" s="71"/>
      <c r="G458" s="71"/>
    </row>
    <row r="459">
      <c r="A459" s="71"/>
      <c r="B459" s="61"/>
      <c r="C459" s="61"/>
      <c r="D459" s="61"/>
      <c r="E459" s="61"/>
      <c r="F459" s="71"/>
      <c r="G459" s="71"/>
    </row>
    <row r="460">
      <c r="A460" s="71"/>
      <c r="B460" s="61"/>
      <c r="C460" s="61"/>
      <c r="D460" s="61"/>
      <c r="E460" s="61"/>
      <c r="F460" s="71"/>
      <c r="G460" s="71"/>
    </row>
    <row r="461">
      <c r="A461" s="71"/>
      <c r="B461" s="61"/>
      <c r="C461" s="61"/>
      <c r="D461" s="61"/>
      <c r="E461" s="61"/>
      <c r="F461" s="71"/>
      <c r="G461" s="71"/>
    </row>
    <row r="462">
      <c r="A462" s="71"/>
      <c r="B462" s="61"/>
      <c r="C462" s="61"/>
      <c r="D462" s="61"/>
      <c r="E462" s="61"/>
      <c r="F462" s="71"/>
      <c r="G462" s="71"/>
    </row>
    <row r="463">
      <c r="A463" s="71"/>
      <c r="B463" s="61"/>
      <c r="C463" s="61"/>
      <c r="D463" s="61"/>
      <c r="E463" s="61"/>
      <c r="F463" s="71"/>
      <c r="G463" s="71"/>
    </row>
    <row r="464">
      <c r="A464" s="71"/>
      <c r="B464" s="61"/>
      <c r="C464" s="61"/>
      <c r="D464" s="61"/>
      <c r="E464" s="61"/>
      <c r="F464" s="71"/>
      <c r="G464" s="71"/>
    </row>
    <row r="465">
      <c r="A465" s="71"/>
      <c r="B465" s="61"/>
      <c r="C465" s="61"/>
      <c r="D465" s="61"/>
      <c r="E465" s="61"/>
      <c r="F465" s="71"/>
      <c r="G465" s="71"/>
    </row>
    <row r="466">
      <c r="A466" s="71"/>
      <c r="B466" s="61"/>
      <c r="C466" s="61"/>
      <c r="D466" s="61"/>
      <c r="E466" s="61"/>
      <c r="F466" s="71"/>
      <c r="G466" s="71"/>
    </row>
    <row r="467">
      <c r="A467" s="71"/>
      <c r="B467" s="61"/>
      <c r="C467" s="61"/>
      <c r="D467" s="61"/>
      <c r="E467" s="61"/>
      <c r="F467" s="71"/>
      <c r="G467" s="71"/>
    </row>
    <row r="468">
      <c r="A468" s="71"/>
      <c r="B468" s="61"/>
      <c r="C468" s="61"/>
      <c r="D468" s="61"/>
      <c r="E468" s="61"/>
      <c r="F468" s="71"/>
      <c r="G468" s="71"/>
    </row>
    <row r="469">
      <c r="A469" s="71"/>
      <c r="B469" s="61"/>
      <c r="C469" s="61"/>
      <c r="D469" s="61"/>
      <c r="E469" s="61"/>
      <c r="F469" s="71"/>
      <c r="G469" s="71"/>
    </row>
    <row r="470">
      <c r="A470" s="71"/>
      <c r="B470" s="61"/>
      <c r="C470" s="61"/>
      <c r="D470" s="61"/>
      <c r="E470" s="61"/>
      <c r="F470" s="71"/>
      <c r="G470" s="71"/>
    </row>
    <row r="471">
      <c r="A471" s="71"/>
      <c r="B471" s="61"/>
      <c r="C471" s="61"/>
      <c r="D471" s="61"/>
      <c r="E471" s="61"/>
      <c r="F471" s="71"/>
      <c r="G471" s="71"/>
    </row>
    <row r="472">
      <c r="A472" s="71"/>
      <c r="B472" s="61"/>
      <c r="C472" s="61"/>
      <c r="D472" s="61"/>
      <c r="E472" s="61"/>
      <c r="F472" s="71"/>
      <c r="G472" s="71"/>
    </row>
    <row r="473">
      <c r="A473" s="71"/>
      <c r="B473" s="61"/>
      <c r="C473" s="61"/>
      <c r="D473" s="61"/>
      <c r="E473" s="61"/>
      <c r="F473" s="71"/>
      <c r="G473" s="71"/>
    </row>
    <row r="474">
      <c r="A474" s="71"/>
      <c r="B474" s="61"/>
      <c r="C474" s="61"/>
      <c r="D474" s="61"/>
      <c r="E474" s="61"/>
      <c r="F474" s="71"/>
      <c r="G474" s="71"/>
    </row>
    <row r="475">
      <c r="A475" s="71"/>
      <c r="B475" s="61"/>
      <c r="C475" s="61"/>
      <c r="D475" s="61"/>
      <c r="E475" s="61"/>
      <c r="F475" s="71"/>
      <c r="G475" s="71"/>
    </row>
    <row r="476">
      <c r="A476" s="71"/>
      <c r="B476" s="61"/>
      <c r="C476" s="61"/>
      <c r="D476" s="61"/>
      <c r="E476" s="61"/>
      <c r="F476" s="71"/>
      <c r="G476" s="71"/>
    </row>
    <row r="477">
      <c r="A477" s="71"/>
      <c r="B477" s="61"/>
      <c r="C477" s="61"/>
      <c r="D477" s="61"/>
      <c r="E477" s="61"/>
      <c r="F477" s="71"/>
      <c r="G477" s="71"/>
    </row>
    <row r="478">
      <c r="A478" s="71"/>
      <c r="B478" s="61"/>
      <c r="C478" s="61"/>
      <c r="D478" s="61"/>
      <c r="E478" s="61"/>
      <c r="F478" s="71"/>
      <c r="G478" s="71"/>
    </row>
    <row r="479">
      <c r="A479" s="71"/>
      <c r="B479" s="61"/>
      <c r="C479" s="61"/>
      <c r="D479" s="61"/>
      <c r="E479" s="61"/>
      <c r="F479" s="71"/>
      <c r="G479" s="71"/>
    </row>
    <row r="480">
      <c r="A480" s="71"/>
      <c r="B480" s="61"/>
      <c r="C480" s="61"/>
      <c r="D480" s="61"/>
      <c r="E480" s="61"/>
      <c r="F480" s="71"/>
      <c r="G480" s="71"/>
    </row>
    <row r="481">
      <c r="A481" s="71"/>
      <c r="B481" s="61"/>
      <c r="C481" s="61"/>
      <c r="D481" s="61"/>
      <c r="E481" s="61"/>
      <c r="F481" s="71"/>
      <c r="G481" s="71"/>
    </row>
    <row r="482">
      <c r="A482" s="71"/>
      <c r="B482" s="61"/>
      <c r="C482" s="61"/>
      <c r="D482" s="61"/>
      <c r="E482" s="61"/>
      <c r="F482" s="71"/>
      <c r="G482" s="71"/>
    </row>
    <row r="483">
      <c r="A483" s="71"/>
      <c r="B483" s="61"/>
      <c r="C483" s="61"/>
      <c r="D483" s="61"/>
      <c r="E483" s="61"/>
      <c r="F483" s="71"/>
      <c r="G483" s="71"/>
    </row>
    <row r="484">
      <c r="A484" s="71"/>
      <c r="B484" s="61"/>
      <c r="C484" s="61"/>
      <c r="D484" s="61"/>
      <c r="E484" s="61"/>
      <c r="F484" s="71"/>
      <c r="G484" s="71"/>
    </row>
    <row r="485">
      <c r="A485" s="71"/>
      <c r="B485" s="61"/>
      <c r="C485" s="61"/>
      <c r="D485" s="61"/>
      <c r="E485" s="61"/>
      <c r="F485" s="71"/>
      <c r="G485" s="71"/>
    </row>
    <row r="486">
      <c r="A486" s="71"/>
      <c r="B486" s="61"/>
      <c r="C486" s="61"/>
      <c r="D486" s="61"/>
      <c r="E486" s="61"/>
      <c r="F486" s="71"/>
      <c r="G486" s="71"/>
    </row>
    <row r="487">
      <c r="A487" s="71"/>
      <c r="B487" s="61"/>
      <c r="C487" s="61"/>
      <c r="D487" s="61"/>
      <c r="E487" s="61"/>
      <c r="F487" s="71"/>
      <c r="G487" s="71"/>
    </row>
    <row r="488">
      <c r="A488" s="71"/>
      <c r="B488" s="61"/>
      <c r="C488" s="61"/>
      <c r="D488" s="61"/>
      <c r="E488" s="61"/>
      <c r="F488" s="71"/>
      <c r="G488" s="71"/>
    </row>
    <row r="489">
      <c r="A489" s="71"/>
      <c r="B489" s="61"/>
      <c r="C489" s="61"/>
      <c r="D489" s="61"/>
      <c r="E489" s="61"/>
      <c r="F489" s="71"/>
      <c r="G489" s="71"/>
    </row>
    <row r="490">
      <c r="A490" s="71"/>
      <c r="B490" s="61"/>
      <c r="C490" s="61"/>
      <c r="D490" s="61"/>
      <c r="E490" s="61"/>
      <c r="F490" s="71"/>
      <c r="G490" s="71"/>
    </row>
    <row r="491">
      <c r="A491" s="71"/>
      <c r="B491" s="61"/>
      <c r="C491" s="61"/>
      <c r="D491" s="61"/>
      <c r="E491" s="61"/>
      <c r="F491" s="71"/>
      <c r="G491" s="71"/>
    </row>
    <row r="492">
      <c r="A492" s="71"/>
      <c r="B492" s="61"/>
      <c r="C492" s="61"/>
      <c r="D492" s="61"/>
      <c r="E492" s="61"/>
      <c r="F492" s="71"/>
      <c r="G492" s="71"/>
    </row>
    <row r="493">
      <c r="A493" s="71"/>
      <c r="B493" s="61"/>
      <c r="C493" s="61"/>
      <c r="D493" s="61"/>
      <c r="E493" s="61"/>
      <c r="F493" s="71"/>
      <c r="G493" s="71"/>
    </row>
    <row r="494">
      <c r="A494" s="71"/>
      <c r="B494" s="61"/>
      <c r="C494" s="61"/>
      <c r="D494" s="61"/>
      <c r="E494" s="61"/>
      <c r="F494" s="71"/>
      <c r="G494" s="71"/>
    </row>
    <row r="495">
      <c r="A495" s="71"/>
      <c r="B495" s="61"/>
      <c r="C495" s="61"/>
      <c r="D495" s="61"/>
      <c r="E495" s="61"/>
      <c r="F495" s="71"/>
      <c r="G495" s="71"/>
    </row>
    <row r="496">
      <c r="A496" s="71"/>
      <c r="B496" s="61"/>
      <c r="C496" s="61"/>
      <c r="D496" s="61"/>
      <c r="E496" s="61"/>
      <c r="F496" s="71"/>
      <c r="G496" s="71"/>
    </row>
    <row r="497">
      <c r="A497" s="71"/>
      <c r="B497" s="61"/>
      <c r="C497" s="61"/>
      <c r="D497" s="61"/>
      <c r="E497" s="61"/>
      <c r="F497" s="71"/>
      <c r="G497" s="71"/>
    </row>
    <row r="498">
      <c r="A498" s="71"/>
      <c r="B498" s="61"/>
      <c r="C498" s="61"/>
      <c r="D498" s="61"/>
      <c r="E498" s="61"/>
      <c r="F498" s="71"/>
      <c r="G498" s="71"/>
    </row>
    <row r="499">
      <c r="A499" s="71"/>
      <c r="B499" s="61"/>
      <c r="C499" s="61"/>
      <c r="D499" s="61"/>
      <c r="E499" s="61"/>
      <c r="F499" s="71"/>
      <c r="G499" s="71"/>
    </row>
    <row r="500">
      <c r="A500" s="71"/>
      <c r="B500" s="61"/>
      <c r="C500" s="61"/>
      <c r="D500" s="61"/>
      <c r="E500" s="61"/>
      <c r="F500" s="71"/>
      <c r="G500" s="71"/>
    </row>
    <row r="501">
      <c r="B501" s="61"/>
      <c r="C501" s="61"/>
      <c r="D501" s="61"/>
      <c r="E501" s="61"/>
    </row>
    <row r="502">
      <c r="B502" s="61"/>
      <c r="C502" s="61"/>
      <c r="D502" s="61"/>
      <c r="E502" s="61"/>
    </row>
    <row r="503">
      <c r="B503" s="61"/>
      <c r="C503" s="61"/>
      <c r="D503" s="61"/>
      <c r="E503" s="61"/>
    </row>
    <row r="504">
      <c r="B504" s="61"/>
      <c r="C504" s="61"/>
      <c r="D504" s="61"/>
      <c r="E504" s="61"/>
    </row>
    <row r="505">
      <c r="B505" s="61"/>
      <c r="C505" s="61"/>
      <c r="D505" s="61"/>
      <c r="E505" s="61"/>
    </row>
    <row r="506">
      <c r="B506" s="61"/>
      <c r="C506" s="61"/>
      <c r="D506" s="61"/>
      <c r="E506" s="61"/>
    </row>
    <row r="507">
      <c r="B507" s="61"/>
      <c r="C507" s="61"/>
      <c r="D507" s="61"/>
      <c r="E507" s="61"/>
    </row>
    <row r="508">
      <c r="B508" s="61"/>
      <c r="C508" s="61"/>
      <c r="D508" s="61"/>
      <c r="E508" s="61"/>
    </row>
    <row r="509">
      <c r="B509" s="61"/>
      <c r="C509" s="61"/>
      <c r="D509" s="61"/>
      <c r="E509" s="61"/>
    </row>
    <row r="510">
      <c r="B510" s="61"/>
      <c r="C510" s="61"/>
      <c r="D510" s="61"/>
      <c r="E510" s="61"/>
    </row>
    <row r="511">
      <c r="B511" s="61"/>
      <c r="C511" s="61"/>
      <c r="D511" s="61"/>
      <c r="E511" s="61"/>
    </row>
    <row r="512">
      <c r="B512" s="61"/>
      <c r="C512" s="61"/>
      <c r="D512" s="61"/>
      <c r="E512" s="61"/>
    </row>
    <row r="513">
      <c r="B513" s="61"/>
      <c r="C513" s="61"/>
      <c r="D513" s="61"/>
      <c r="E513" s="61"/>
    </row>
    <row r="514">
      <c r="B514" s="61"/>
      <c r="C514" s="61"/>
      <c r="D514" s="61"/>
      <c r="E514" s="61"/>
    </row>
    <row r="515">
      <c r="B515" s="61"/>
      <c r="C515" s="61"/>
      <c r="D515" s="61"/>
      <c r="E515" s="61"/>
    </row>
    <row r="516">
      <c r="B516" s="61"/>
      <c r="C516" s="61"/>
      <c r="D516" s="61"/>
      <c r="E516" s="61"/>
    </row>
    <row r="517">
      <c r="B517" s="61"/>
      <c r="C517" s="61"/>
      <c r="D517" s="61"/>
      <c r="E517" s="61"/>
    </row>
    <row r="518">
      <c r="B518" s="61"/>
      <c r="C518" s="61"/>
      <c r="D518" s="61"/>
      <c r="E518" s="61"/>
    </row>
    <row r="519">
      <c r="B519" s="61"/>
      <c r="C519" s="61"/>
      <c r="D519" s="61"/>
      <c r="E519" s="61"/>
    </row>
    <row r="520">
      <c r="B520" s="61"/>
      <c r="C520" s="61"/>
      <c r="D520" s="61"/>
      <c r="E520" s="61"/>
    </row>
    <row r="521">
      <c r="B521" s="61"/>
      <c r="C521" s="61"/>
      <c r="D521" s="61"/>
      <c r="E521" s="61"/>
    </row>
    <row r="522">
      <c r="B522" s="61"/>
      <c r="C522" s="61"/>
      <c r="D522" s="61"/>
      <c r="E522" s="61"/>
    </row>
    <row r="523">
      <c r="B523" s="61"/>
      <c r="C523" s="61"/>
      <c r="D523" s="61"/>
      <c r="E523" s="61"/>
    </row>
    <row r="524">
      <c r="B524" s="61"/>
      <c r="C524" s="61"/>
      <c r="D524" s="61"/>
      <c r="E524" s="61"/>
    </row>
    <row r="525">
      <c r="B525" s="61"/>
      <c r="C525" s="61"/>
      <c r="D525" s="61"/>
      <c r="E525" s="61"/>
    </row>
    <row r="526">
      <c r="B526" s="61"/>
      <c r="C526" s="61"/>
      <c r="D526" s="61"/>
      <c r="E526" s="61"/>
    </row>
    <row r="527">
      <c r="B527" s="61"/>
      <c r="C527" s="61"/>
      <c r="D527" s="61"/>
      <c r="E527" s="61"/>
    </row>
    <row r="528">
      <c r="B528" s="61"/>
      <c r="C528" s="61"/>
      <c r="D528" s="61"/>
      <c r="E528" s="61"/>
    </row>
    <row r="529">
      <c r="B529" s="61"/>
      <c r="C529" s="61"/>
      <c r="D529" s="61"/>
      <c r="E529" s="61"/>
    </row>
    <row r="530">
      <c r="B530" s="61"/>
      <c r="C530" s="61"/>
      <c r="D530" s="61"/>
      <c r="E530" s="61"/>
    </row>
    <row r="531">
      <c r="B531" s="61"/>
      <c r="C531" s="61"/>
      <c r="D531" s="61"/>
      <c r="E531" s="61"/>
    </row>
    <row r="532">
      <c r="B532" s="61"/>
      <c r="C532" s="61"/>
      <c r="D532" s="61"/>
      <c r="E532" s="61"/>
    </row>
    <row r="533">
      <c r="B533" s="61"/>
      <c r="C533" s="61"/>
      <c r="D533" s="61"/>
      <c r="E533" s="61"/>
    </row>
    <row r="534">
      <c r="B534" s="61"/>
      <c r="C534" s="61"/>
      <c r="D534" s="61"/>
      <c r="E534" s="61"/>
    </row>
    <row r="535">
      <c r="B535" s="61"/>
      <c r="C535" s="61"/>
      <c r="D535" s="61"/>
      <c r="E535" s="61"/>
    </row>
    <row r="536">
      <c r="B536" s="61"/>
      <c r="C536" s="61"/>
      <c r="D536" s="61"/>
      <c r="E536" s="61"/>
    </row>
    <row r="537">
      <c r="B537" s="61"/>
      <c r="C537" s="61"/>
      <c r="D537" s="61"/>
      <c r="E537" s="61"/>
    </row>
    <row r="538">
      <c r="B538" s="61"/>
      <c r="C538" s="61"/>
      <c r="D538" s="61"/>
      <c r="E538" s="61"/>
    </row>
    <row r="539">
      <c r="B539" s="61"/>
      <c r="C539" s="61"/>
      <c r="D539" s="61"/>
      <c r="E539" s="61"/>
    </row>
    <row r="540">
      <c r="B540" s="61"/>
      <c r="C540" s="61"/>
      <c r="D540" s="61"/>
      <c r="E540" s="61"/>
    </row>
    <row r="541">
      <c r="B541" s="61"/>
      <c r="C541" s="61"/>
      <c r="D541" s="61"/>
      <c r="E541" s="61"/>
    </row>
    <row r="542">
      <c r="B542" s="61"/>
      <c r="C542" s="61"/>
      <c r="D542" s="61"/>
      <c r="E542" s="61"/>
    </row>
    <row r="543">
      <c r="B543" s="61"/>
      <c r="C543" s="61"/>
      <c r="D543" s="61"/>
      <c r="E543" s="61"/>
    </row>
    <row r="544">
      <c r="B544" s="61"/>
      <c r="C544" s="61"/>
      <c r="D544" s="61"/>
      <c r="E544" s="61"/>
    </row>
    <row r="545">
      <c r="B545" s="61"/>
      <c r="C545" s="61"/>
      <c r="D545" s="61"/>
      <c r="E545" s="61"/>
    </row>
    <row r="546">
      <c r="B546" s="61"/>
      <c r="C546" s="61"/>
      <c r="D546" s="61"/>
      <c r="E546" s="61"/>
    </row>
    <row r="547">
      <c r="B547" s="61"/>
      <c r="C547" s="61"/>
      <c r="D547" s="61"/>
      <c r="E547" s="61"/>
    </row>
    <row r="548">
      <c r="B548" s="61"/>
      <c r="C548" s="61"/>
      <c r="D548" s="61"/>
      <c r="E548" s="61"/>
    </row>
    <row r="549">
      <c r="B549" s="61"/>
      <c r="C549" s="61"/>
      <c r="D549" s="61"/>
      <c r="E549" s="61"/>
    </row>
    <row r="550">
      <c r="B550" s="61"/>
      <c r="C550" s="61"/>
      <c r="D550" s="61"/>
      <c r="E550" s="61"/>
    </row>
    <row r="551">
      <c r="B551" s="61"/>
      <c r="C551" s="61"/>
      <c r="D551" s="61"/>
      <c r="E551" s="61"/>
    </row>
    <row r="552">
      <c r="B552" s="61"/>
      <c r="C552" s="61"/>
      <c r="D552" s="61"/>
      <c r="E552" s="61"/>
    </row>
    <row r="553">
      <c r="B553" s="61"/>
      <c r="C553" s="61"/>
      <c r="D553" s="61"/>
      <c r="E553" s="61"/>
    </row>
    <row r="554">
      <c r="B554" s="61"/>
      <c r="C554" s="61"/>
      <c r="D554" s="61"/>
      <c r="E554" s="61"/>
    </row>
    <row r="555">
      <c r="B555" s="61"/>
      <c r="C555" s="61"/>
      <c r="D555" s="61"/>
      <c r="E555" s="61"/>
    </row>
    <row r="556">
      <c r="B556" s="61"/>
      <c r="C556" s="61"/>
      <c r="D556" s="61"/>
      <c r="E556" s="61"/>
    </row>
    <row r="557">
      <c r="B557" s="61"/>
      <c r="C557" s="61"/>
      <c r="D557" s="61"/>
      <c r="E557" s="61"/>
    </row>
    <row r="558">
      <c r="B558" s="61"/>
      <c r="C558" s="61"/>
      <c r="D558" s="61"/>
      <c r="E558" s="61"/>
    </row>
    <row r="559">
      <c r="B559" s="61"/>
      <c r="C559" s="61"/>
      <c r="D559" s="61"/>
      <c r="E559" s="61"/>
    </row>
    <row r="560">
      <c r="B560" s="61"/>
      <c r="C560" s="61"/>
      <c r="D560" s="61"/>
      <c r="E560" s="61"/>
    </row>
    <row r="561">
      <c r="B561" s="61"/>
      <c r="C561" s="61"/>
      <c r="D561" s="61"/>
      <c r="E561" s="61"/>
    </row>
    <row r="562">
      <c r="B562" s="61"/>
      <c r="C562" s="61"/>
      <c r="D562" s="61"/>
      <c r="E562" s="61"/>
    </row>
    <row r="563">
      <c r="B563" s="61"/>
      <c r="C563" s="61"/>
      <c r="D563" s="61"/>
      <c r="E563" s="61"/>
    </row>
    <row r="564">
      <c r="B564" s="61"/>
      <c r="C564" s="61"/>
      <c r="D564" s="61"/>
      <c r="E564" s="61"/>
    </row>
    <row r="565">
      <c r="B565" s="61"/>
      <c r="C565" s="61"/>
      <c r="D565" s="61"/>
      <c r="E565" s="61"/>
    </row>
    <row r="566">
      <c r="B566" s="61"/>
      <c r="C566" s="61"/>
      <c r="D566" s="61"/>
      <c r="E566" s="61"/>
    </row>
    <row r="567">
      <c r="B567" s="61"/>
      <c r="C567" s="61"/>
      <c r="D567" s="61"/>
      <c r="E567" s="61"/>
    </row>
    <row r="568">
      <c r="B568" s="61"/>
      <c r="C568" s="61"/>
      <c r="D568" s="61"/>
      <c r="E568" s="61"/>
    </row>
    <row r="569">
      <c r="B569" s="61"/>
      <c r="C569" s="61"/>
      <c r="D569" s="61"/>
      <c r="E569" s="61"/>
    </row>
    <row r="570">
      <c r="B570" s="61"/>
      <c r="C570" s="61"/>
      <c r="D570" s="61"/>
      <c r="E570" s="61"/>
    </row>
    <row r="571">
      <c r="B571" s="61"/>
      <c r="C571" s="61"/>
      <c r="D571" s="61"/>
      <c r="E571" s="61"/>
    </row>
    <row r="572">
      <c r="B572" s="61"/>
      <c r="C572" s="61"/>
      <c r="D572" s="61"/>
      <c r="E572" s="61"/>
    </row>
    <row r="573">
      <c r="B573" s="61"/>
      <c r="C573" s="61"/>
      <c r="D573" s="61"/>
      <c r="E573" s="61"/>
    </row>
    <row r="574">
      <c r="B574" s="61"/>
      <c r="C574" s="61"/>
      <c r="D574" s="61"/>
      <c r="E574" s="61"/>
    </row>
    <row r="575">
      <c r="B575" s="61"/>
      <c r="C575" s="61"/>
      <c r="D575" s="61"/>
      <c r="E575" s="61"/>
    </row>
    <row r="576">
      <c r="B576" s="61"/>
      <c r="C576" s="61"/>
      <c r="D576" s="61"/>
      <c r="E576" s="61"/>
    </row>
    <row r="577">
      <c r="B577" s="61"/>
      <c r="C577" s="61"/>
      <c r="D577" s="61"/>
      <c r="E577" s="61"/>
    </row>
    <row r="578">
      <c r="B578" s="61"/>
      <c r="C578" s="61"/>
      <c r="D578" s="61"/>
      <c r="E578" s="61"/>
    </row>
    <row r="579">
      <c r="B579" s="61"/>
      <c r="C579" s="61"/>
      <c r="D579" s="61"/>
      <c r="E579" s="61"/>
    </row>
    <row r="580">
      <c r="B580" s="61"/>
      <c r="C580" s="61"/>
      <c r="D580" s="61"/>
      <c r="E580" s="61"/>
    </row>
    <row r="581">
      <c r="B581" s="61"/>
      <c r="C581" s="61"/>
      <c r="D581" s="61"/>
      <c r="E581" s="61"/>
    </row>
    <row r="582">
      <c r="B582" s="61"/>
      <c r="C582" s="61"/>
      <c r="D582" s="61"/>
      <c r="E582" s="61"/>
    </row>
    <row r="583">
      <c r="B583" s="61"/>
      <c r="C583" s="61"/>
      <c r="D583" s="61"/>
      <c r="E583" s="61"/>
    </row>
    <row r="584">
      <c r="B584" s="61"/>
      <c r="C584" s="61"/>
      <c r="D584" s="61"/>
      <c r="E584" s="61"/>
    </row>
    <row r="585">
      <c r="B585" s="61"/>
      <c r="C585" s="61"/>
      <c r="D585" s="61"/>
      <c r="E585" s="61"/>
    </row>
    <row r="586">
      <c r="B586" s="61"/>
      <c r="C586" s="61"/>
      <c r="D586" s="61"/>
      <c r="E586" s="61"/>
    </row>
    <row r="587">
      <c r="B587" s="61"/>
      <c r="C587" s="61"/>
      <c r="D587" s="61"/>
      <c r="E587" s="61"/>
    </row>
    <row r="588">
      <c r="B588" s="61"/>
      <c r="C588" s="61"/>
      <c r="D588" s="61"/>
      <c r="E588" s="61"/>
    </row>
    <row r="589">
      <c r="B589" s="61"/>
      <c r="C589" s="61"/>
      <c r="D589" s="61"/>
      <c r="E589" s="61"/>
    </row>
    <row r="590">
      <c r="B590" s="61"/>
      <c r="C590" s="61"/>
      <c r="D590" s="61"/>
      <c r="E590" s="61"/>
    </row>
    <row r="591">
      <c r="B591" s="61"/>
      <c r="C591" s="61"/>
      <c r="D591" s="61"/>
      <c r="E591" s="61"/>
    </row>
    <row r="592">
      <c r="B592" s="61"/>
      <c r="C592" s="61"/>
      <c r="D592" s="61"/>
      <c r="E592" s="61"/>
    </row>
    <row r="593">
      <c r="B593" s="61"/>
      <c r="C593" s="61"/>
      <c r="D593" s="61"/>
      <c r="E593" s="61"/>
    </row>
    <row r="594">
      <c r="B594" s="61"/>
      <c r="C594" s="61"/>
      <c r="D594" s="61"/>
      <c r="E594" s="61"/>
    </row>
    <row r="595">
      <c r="B595" s="61"/>
      <c r="C595" s="61"/>
      <c r="D595" s="61"/>
      <c r="E595" s="61"/>
    </row>
    <row r="596">
      <c r="B596" s="61"/>
      <c r="C596" s="61"/>
      <c r="D596" s="61"/>
      <c r="E596" s="61"/>
    </row>
    <row r="597">
      <c r="B597" s="61"/>
      <c r="C597" s="61"/>
      <c r="D597" s="61"/>
      <c r="E597" s="61"/>
    </row>
    <row r="598">
      <c r="B598" s="61"/>
      <c r="C598" s="61"/>
      <c r="D598" s="61"/>
      <c r="E598" s="61"/>
    </row>
    <row r="599">
      <c r="B599" s="61"/>
      <c r="C599" s="61"/>
      <c r="D599" s="61"/>
      <c r="E599" s="61"/>
    </row>
    <row r="600">
      <c r="B600" s="61"/>
      <c r="C600" s="61"/>
      <c r="D600" s="61"/>
      <c r="E600" s="61"/>
    </row>
    <row r="601">
      <c r="B601" s="61"/>
      <c r="C601" s="61"/>
      <c r="D601" s="61"/>
      <c r="E601" s="61"/>
    </row>
    <row r="602">
      <c r="B602" s="61"/>
      <c r="C602" s="61"/>
      <c r="D602" s="61"/>
      <c r="E602" s="61"/>
    </row>
    <row r="603">
      <c r="B603" s="61"/>
      <c r="C603" s="61"/>
      <c r="D603" s="61"/>
      <c r="E603" s="61"/>
    </row>
    <row r="604">
      <c r="B604" s="61"/>
      <c r="C604" s="61"/>
      <c r="D604" s="61"/>
      <c r="E604" s="61"/>
    </row>
    <row r="605">
      <c r="B605" s="61"/>
      <c r="C605" s="61"/>
      <c r="D605" s="61"/>
      <c r="E605" s="61"/>
    </row>
    <row r="606">
      <c r="B606" s="61"/>
      <c r="C606" s="61"/>
      <c r="D606" s="61"/>
      <c r="E606" s="61"/>
    </row>
    <row r="607">
      <c r="B607" s="61"/>
      <c r="C607" s="61"/>
      <c r="D607" s="61"/>
      <c r="E607" s="61"/>
    </row>
    <row r="608">
      <c r="B608" s="61"/>
      <c r="C608" s="61"/>
      <c r="D608" s="61"/>
      <c r="E608" s="61"/>
    </row>
    <row r="609">
      <c r="B609" s="61"/>
      <c r="C609" s="61"/>
      <c r="D609" s="61"/>
      <c r="E609" s="61"/>
    </row>
    <row r="610">
      <c r="B610" s="61"/>
      <c r="C610" s="61"/>
      <c r="D610" s="61"/>
      <c r="E610" s="61"/>
    </row>
    <row r="611">
      <c r="B611" s="61"/>
      <c r="C611" s="61"/>
      <c r="D611" s="61"/>
      <c r="E611" s="61"/>
    </row>
    <row r="612">
      <c r="B612" s="61"/>
      <c r="C612" s="61"/>
      <c r="D612" s="61"/>
      <c r="E612" s="61"/>
    </row>
    <row r="613">
      <c r="B613" s="61"/>
      <c r="C613" s="61"/>
      <c r="D613" s="61"/>
      <c r="E613" s="61"/>
    </row>
    <row r="614">
      <c r="B614" s="61"/>
      <c r="C614" s="61"/>
      <c r="D614" s="61"/>
      <c r="E614" s="61"/>
    </row>
    <row r="615">
      <c r="B615" s="61"/>
      <c r="C615" s="61"/>
      <c r="D615" s="61"/>
      <c r="E615" s="61"/>
    </row>
    <row r="616">
      <c r="B616" s="61"/>
      <c r="C616" s="61"/>
      <c r="D616" s="61"/>
      <c r="E616" s="61"/>
    </row>
    <row r="617">
      <c r="B617" s="61"/>
      <c r="C617" s="61"/>
      <c r="D617" s="61"/>
      <c r="E617" s="61"/>
    </row>
    <row r="618">
      <c r="B618" s="61"/>
      <c r="C618" s="61"/>
      <c r="D618" s="61"/>
      <c r="E618" s="61"/>
    </row>
    <row r="619">
      <c r="B619" s="61"/>
      <c r="C619" s="61"/>
      <c r="D619" s="61"/>
      <c r="E619" s="61"/>
    </row>
    <row r="620">
      <c r="B620" s="61"/>
      <c r="C620" s="61"/>
      <c r="D620" s="61"/>
      <c r="E620" s="61"/>
    </row>
    <row r="621">
      <c r="B621" s="61"/>
      <c r="C621" s="61"/>
      <c r="D621" s="61"/>
      <c r="E621" s="61"/>
    </row>
    <row r="622">
      <c r="B622" s="61"/>
      <c r="C622" s="61"/>
      <c r="D622" s="61"/>
      <c r="E622" s="61"/>
    </row>
    <row r="623">
      <c r="B623" s="61"/>
      <c r="C623" s="61"/>
      <c r="D623" s="61"/>
      <c r="E623" s="61"/>
    </row>
    <row r="624">
      <c r="B624" s="61"/>
      <c r="C624" s="61"/>
      <c r="D624" s="61"/>
      <c r="E624" s="61"/>
    </row>
    <row r="625">
      <c r="B625" s="61"/>
      <c r="C625" s="61"/>
      <c r="D625" s="61"/>
      <c r="E625" s="61"/>
    </row>
    <row r="626">
      <c r="B626" s="61"/>
      <c r="C626" s="61"/>
      <c r="D626" s="61"/>
      <c r="E626" s="61"/>
    </row>
    <row r="627">
      <c r="B627" s="61"/>
      <c r="C627" s="61"/>
      <c r="D627" s="61"/>
      <c r="E627" s="61"/>
    </row>
    <row r="628">
      <c r="B628" s="61"/>
      <c r="C628" s="61"/>
      <c r="D628" s="61"/>
      <c r="E628" s="61"/>
    </row>
    <row r="629">
      <c r="B629" s="61"/>
      <c r="C629" s="61"/>
      <c r="D629" s="61"/>
      <c r="E629" s="61"/>
    </row>
    <row r="630">
      <c r="B630" s="61"/>
      <c r="C630" s="61"/>
      <c r="D630" s="61"/>
      <c r="E630" s="61"/>
    </row>
    <row r="631">
      <c r="B631" s="61"/>
      <c r="C631" s="61"/>
      <c r="D631" s="61"/>
      <c r="E631" s="61"/>
    </row>
    <row r="632">
      <c r="B632" s="61"/>
      <c r="C632" s="61"/>
      <c r="D632" s="61"/>
      <c r="E632" s="61"/>
    </row>
    <row r="633">
      <c r="B633" s="61"/>
      <c r="C633" s="61"/>
      <c r="D633" s="61"/>
      <c r="E633" s="61"/>
    </row>
    <row r="634">
      <c r="B634" s="61"/>
      <c r="C634" s="61"/>
      <c r="D634" s="61"/>
      <c r="E634" s="61"/>
    </row>
    <row r="635">
      <c r="B635" s="61"/>
      <c r="C635" s="61"/>
      <c r="D635" s="61"/>
      <c r="E635" s="61"/>
    </row>
    <row r="636">
      <c r="B636" s="61"/>
      <c r="C636" s="61"/>
      <c r="D636" s="61"/>
      <c r="E636" s="61"/>
    </row>
    <row r="637">
      <c r="B637" s="61"/>
      <c r="C637" s="61"/>
      <c r="D637" s="61"/>
      <c r="E637" s="61"/>
    </row>
    <row r="638">
      <c r="B638" s="61"/>
      <c r="C638" s="61"/>
      <c r="D638" s="61"/>
      <c r="E638" s="61"/>
    </row>
    <row r="639">
      <c r="B639" s="61"/>
      <c r="C639" s="61"/>
      <c r="D639" s="61"/>
      <c r="E639" s="61"/>
    </row>
    <row r="640">
      <c r="B640" s="61"/>
      <c r="C640" s="61"/>
      <c r="D640" s="61"/>
      <c r="E640" s="61"/>
    </row>
    <row r="641">
      <c r="B641" s="61"/>
      <c r="C641" s="61"/>
      <c r="D641" s="61"/>
      <c r="E641" s="61"/>
    </row>
    <row r="642">
      <c r="B642" s="61"/>
      <c r="C642" s="61"/>
      <c r="D642" s="61"/>
      <c r="E642" s="61"/>
    </row>
    <row r="643">
      <c r="B643" s="61"/>
      <c r="C643" s="61"/>
      <c r="D643" s="61"/>
      <c r="E643" s="61"/>
    </row>
    <row r="644">
      <c r="B644" s="61"/>
      <c r="C644" s="61"/>
      <c r="D644" s="61"/>
      <c r="E644" s="61"/>
    </row>
    <row r="645">
      <c r="B645" s="61"/>
      <c r="C645" s="61"/>
      <c r="D645" s="61"/>
      <c r="E645" s="61"/>
    </row>
    <row r="646">
      <c r="B646" s="61"/>
      <c r="C646" s="61"/>
      <c r="D646" s="61"/>
      <c r="E646" s="61"/>
    </row>
    <row r="647">
      <c r="B647" s="61"/>
      <c r="C647" s="61"/>
      <c r="D647" s="61"/>
      <c r="E647" s="61"/>
    </row>
    <row r="648">
      <c r="B648" s="61"/>
      <c r="C648" s="61"/>
      <c r="D648" s="61"/>
      <c r="E648" s="61"/>
    </row>
    <row r="649">
      <c r="B649" s="61"/>
      <c r="C649" s="61"/>
      <c r="D649" s="61"/>
      <c r="E649" s="61"/>
    </row>
    <row r="650">
      <c r="B650" s="61"/>
      <c r="C650" s="61"/>
      <c r="D650" s="61"/>
      <c r="E650" s="61"/>
    </row>
    <row r="651">
      <c r="B651" s="61"/>
      <c r="C651" s="61"/>
      <c r="D651" s="61"/>
      <c r="E651" s="61"/>
    </row>
    <row r="652">
      <c r="B652" s="61"/>
      <c r="C652" s="61"/>
      <c r="D652" s="61"/>
      <c r="E652" s="61"/>
    </row>
    <row r="653">
      <c r="B653" s="61"/>
      <c r="C653" s="61"/>
      <c r="D653" s="61"/>
      <c r="E653" s="61"/>
    </row>
    <row r="654">
      <c r="B654" s="61"/>
      <c r="C654" s="61"/>
      <c r="D654" s="61"/>
      <c r="E654" s="61"/>
    </row>
    <row r="655">
      <c r="B655" s="61"/>
      <c r="C655" s="61"/>
      <c r="D655" s="61"/>
      <c r="E655" s="61"/>
    </row>
    <row r="656">
      <c r="B656" s="61"/>
      <c r="C656" s="61"/>
      <c r="D656" s="61"/>
      <c r="E656" s="61"/>
    </row>
    <row r="657">
      <c r="B657" s="61"/>
      <c r="C657" s="61"/>
      <c r="D657" s="61"/>
      <c r="E657" s="61"/>
    </row>
    <row r="658">
      <c r="B658" s="61"/>
      <c r="C658" s="61"/>
      <c r="D658" s="61"/>
      <c r="E658" s="61"/>
    </row>
    <row r="659">
      <c r="B659" s="61"/>
      <c r="C659" s="61"/>
      <c r="D659" s="61"/>
      <c r="E659" s="61"/>
    </row>
    <row r="660">
      <c r="B660" s="61"/>
      <c r="C660" s="61"/>
      <c r="D660" s="61"/>
      <c r="E660" s="61"/>
    </row>
    <row r="661">
      <c r="B661" s="61"/>
      <c r="C661" s="61"/>
      <c r="D661" s="61"/>
      <c r="E661" s="61"/>
    </row>
    <row r="662">
      <c r="B662" s="61"/>
      <c r="C662" s="61"/>
      <c r="D662" s="61"/>
      <c r="E662" s="61"/>
    </row>
    <row r="663">
      <c r="B663" s="61"/>
      <c r="C663" s="61"/>
      <c r="D663" s="61"/>
      <c r="E663" s="61"/>
    </row>
    <row r="664">
      <c r="B664" s="61"/>
      <c r="C664" s="61"/>
      <c r="D664" s="61"/>
      <c r="E664" s="61"/>
    </row>
    <row r="665">
      <c r="B665" s="61"/>
      <c r="C665" s="61"/>
      <c r="D665" s="61"/>
      <c r="E665" s="61"/>
    </row>
    <row r="666">
      <c r="B666" s="61"/>
      <c r="C666" s="61"/>
      <c r="D666" s="61"/>
      <c r="E666" s="61"/>
    </row>
    <row r="667">
      <c r="B667" s="61"/>
      <c r="C667" s="61"/>
      <c r="D667" s="61"/>
      <c r="E667" s="61"/>
    </row>
    <row r="668">
      <c r="B668" s="61"/>
      <c r="C668" s="61"/>
      <c r="D668" s="61"/>
      <c r="E668" s="61"/>
    </row>
    <row r="669">
      <c r="B669" s="61"/>
      <c r="C669" s="61"/>
      <c r="D669" s="61"/>
      <c r="E669" s="61"/>
    </row>
    <row r="670">
      <c r="B670" s="61"/>
      <c r="C670" s="61"/>
      <c r="D670" s="61"/>
      <c r="E670" s="61"/>
    </row>
    <row r="671">
      <c r="B671" s="61"/>
      <c r="C671" s="61"/>
      <c r="D671" s="61"/>
      <c r="E671" s="61"/>
    </row>
    <row r="672">
      <c r="B672" s="61"/>
      <c r="C672" s="61"/>
      <c r="D672" s="61"/>
      <c r="E672" s="61"/>
    </row>
    <row r="673">
      <c r="B673" s="61"/>
      <c r="C673" s="61"/>
      <c r="D673" s="61"/>
      <c r="E673" s="61"/>
    </row>
    <row r="674">
      <c r="B674" s="61"/>
      <c r="C674" s="61"/>
      <c r="D674" s="61"/>
      <c r="E674" s="61"/>
    </row>
    <row r="675">
      <c r="B675" s="61"/>
      <c r="C675" s="61"/>
      <c r="D675" s="61"/>
      <c r="E675" s="61"/>
    </row>
    <row r="676">
      <c r="B676" s="61"/>
      <c r="C676" s="61"/>
      <c r="D676" s="61"/>
      <c r="E676" s="61"/>
    </row>
    <row r="677">
      <c r="B677" s="61"/>
      <c r="C677" s="61"/>
      <c r="D677" s="61"/>
      <c r="E677" s="61"/>
    </row>
    <row r="678">
      <c r="B678" s="61"/>
      <c r="C678" s="61"/>
      <c r="D678" s="61"/>
      <c r="E678" s="61"/>
    </row>
    <row r="679">
      <c r="B679" s="61"/>
      <c r="C679" s="61"/>
      <c r="D679" s="61"/>
      <c r="E679" s="61"/>
    </row>
    <row r="680">
      <c r="B680" s="61"/>
      <c r="C680" s="61"/>
      <c r="D680" s="61"/>
      <c r="E680" s="61"/>
    </row>
    <row r="681">
      <c r="B681" s="61"/>
      <c r="C681" s="61"/>
      <c r="D681" s="61"/>
      <c r="E681" s="61"/>
    </row>
    <row r="682">
      <c r="B682" s="61"/>
      <c r="C682" s="61"/>
      <c r="D682" s="61"/>
      <c r="E682" s="61"/>
    </row>
    <row r="683">
      <c r="B683" s="61"/>
      <c r="C683" s="61"/>
      <c r="D683" s="61"/>
      <c r="E683" s="61"/>
    </row>
    <row r="684">
      <c r="B684" s="61"/>
      <c r="C684" s="61"/>
      <c r="D684" s="61"/>
      <c r="E684" s="61"/>
    </row>
    <row r="685">
      <c r="B685" s="61"/>
      <c r="C685" s="61"/>
      <c r="D685" s="61"/>
      <c r="E685" s="61"/>
    </row>
    <row r="686">
      <c r="B686" s="61"/>
      <c r="C686" s="61"/>
      <c r="D686" s="61"/>
      <c r="E686" s="61"/>
    </row>
    <row r="687">
      <c r="B687" s="61"/>
      <c r="C687" s="61"/>
      <c r="D687" s="61"/>
      <c r="E687" s="61"/>
    </row>
    <row r="688">
      <c r="B688" s="61"/>
      <c r="C688" s="61"/>
      <c r="D688" s="61"/>
      <c r="E688" s="61"/>
    </row>
    <row r="689">
      <c r="B689" s="61"/>
      <c r="C689" s="61"/>
      <c r="D689" s="61"/>
      <c r="E689" s="61"/>
    </row>
    <row r="690">
      <c r="B690" s="61"/>
      <c r="C690" s="61"/>
      <c r="D690" s="61"/>
      <c r="E690" s="61"/>
    </row>
    <row r="691">
      <c r="B691" s="61"/>
      <c r="C691" s="61"/>
      <c r="D691" s="61"/>
      <c r="E691" s="61"/>
    </row>
    <row r="692">
      <c r="B692" s="61"/>
      <c r="C692" s="61"/>
      <c r="D692" s="61"/>
      <c r="E692" s="61"/>
    </row>
    <row r="693">
      <c r="B693" s="61"/>
      <c r="C693" s="61"/>
      <c r="D693" s="61"/>
      <c r="E693" s="61"/>
    </row>
    <row r="694">
      <c r="B694" s="61"/>
      <c r="C694" s="61"/>
      <c r="D694" s="61"/>
      <c r="E694" s="61"/>
    </row>
    <row r="695">
      <c r="B695" s="61"/>
      <c r="C695" s="61"/>
      <c r="D695" s="61"/>
      <c r="E695" s="61"/>
    </row>
    <row r="696">
      <c r="B696" s="61"/>
      <c r="C696" s="61"/>
      <c r="D696" s="61"/>
      <c r="E696" s="61"/>
    </row>
    <row r="697">
      <c r="B697" s="61"/>
      <c r="C697" s="61"/>
      <c r="D697" s="61"/>
      <c r="E697" s="61"/>
    </row>
    <row r="698">
      <c r="B698" s="61"/>
      <c r="C698" s="61"/>
      <c r="D698" s="61"/>
      <c r="E698" s="61"/>
    </row>
    <row r="699">
      <c r="B699" s="61"/>
      <c r="C699" s="61"/>
      <c r="D699" s="61"/>
      <c r="E699" s="61"/>
    </row>
    <row r="700">
      <c r="B700" s="61"/>
      <c r="C700" s="61"/>
      <c r="D700" s="61"/>
      <c r="E700" s="61"/>
    </row>
    <row r="701">
      <c r="B701" s="61"/>
      <c r="C701" s="61"/>
      <c r="D701" s="61"/>
      <c r="E701" s="61"/>
    </row>
    <row r="702">
      <c r="B702" s="61"/>
      <c r="C702" s="61"/>
      <c r="D702" s="61"/>
      <c r="E702" s="61"/>
    </row>
    <row r="703">
      <c r="B703" s="61"/>
      <c r="C703" s="61"/>
      <c r="D703" s="61"/>
      <c r="E703" s="61"/>
    </row>
    <row r="704">
      <c r="B704" s="61"/>
      <c r="C704" s="61"/>
      <c r="D704" s="61"/>
      <c r="E704" s="61"/>
    </row>
    <row r="705">
      <c r="B705" s="61"/>
      <c r="C705" s="61"/>
      <c r="D705" s="61"/>
      <c r="E705" s="61"/>
    </row>
    <row r="706">
      <c r="B706" s="61"/>
      <c r="C706" s="61"/>
      <c r="D706" s="61"/>
      <c r="E706" s="61"/>
    </row>
    <row r="707">
      <c r="B707" s="61"/>
      <c r="C707" s="61"/>
      <c r="D707" s="61"/>
      <c r="E707" s="61"/>
    </row>
    <row r="708">
      <c r="B708" s="61"/>
      <c r="C708" s="61"/>
      <c r="D708" s="61"/>
      <c r="E708" s="61"/>
    </row>
    <row r="709">
      <c r="B709" s="61"/>
      <c r="C709" s="61"/>
      <c r="D709" s="61"/>
      <c r="E709" s="61"/>
    </row>
    <row r="710">
      <c r="B710" s="61"/>
      <c r="C710" s="61"/>
      <c r="D710" s="61"/>
      <c r="E710" s="61"/>
    </row>
    <row r="711">
      <c r="B711" s="61"/>
      <c r="C711" s="61"/>
      <c r="D711" s="61"/>
      <c r="E711" s="61"/>
    </row>
    <row r="712">
      <c r="B712" s="61"/>
      <c r="C712" s="61"/>
      <c r="D712" s="61"/>
      <c r="E712" s="61"/>
    </row>
    <row r="713">
      <c r="B713" s="61"/>
      <c r="C713" s="61"/>
      <c r="D713" s="61"/>
      <c r="E713" s="61"/>
    </row>
    <row r="714">
      <c r="B714" s="61"/>
      <c r="C714" s="61"/>
      <c r="D714" s="61"/>
      <c r="E714" s="61"/>
    </row>
    <row r="715">
      <c r="B715" s="61"/>
      <c r="C715" s="61"/>
      <c r="D715" s="61"/>
      <c r="E715" s="61"/>
    </row>
    <row r="716">
      <c r="B716" s="61"/>
      <c r="C716" s="61"/>
      <c r="D716" s="61"/>
      <c r="E716" s="61"/>
    </row>
    <row r="717">
      <c r="B717" s="61"/>
      <c r="C717" s="61"/>
      <c r="D717" s="61"/>
      <c r="E717" s="61"/>
    </row>
    <row r="718">
      <c r="B718" s="61"/>
      <c r="C718" s="61"/>
      <c r="D718" s="61"/>
      <c r="E718" s="61"/>
    </row>
    <row r="719">
      <c r="B719" s="61"/>
      <c r="C719" s="61"/>
      <c r="D719" s="61"/>
      <c r="E719" s="61"/>
    </row>
    <row r="720">
      <c r="B720" s="61"/>
      <c r="C720" s="61"/>
      <c r="D720" s="61"/>
      <c r="E720" s="61"/>
    </row>
    <row r="721">
      <c r="B721" s="61"/>
      <c r="C721" s="61"/>
      <c r="D721" s="61"/>
      <c r="E721" s="61"/>
    </row>
    <row r="722">
      <c r="B722" s="61"/>
      <c r="C722" s="61"/>
      <c r="D722" s="61"/>
      <c r="E722" s="61"/>
    </row>
    <row r="723">
      <c r="B723" s="61"/>
      <c r="C723" s="61"/>
      <c r="D723" s="61"/>
      <c r="E723" s="61"/>
    </row>
    <row r="724">
      <c r="B724" s="61"/>
      <c r="C724" s="61"/>
      <c r="D724" s="61"/>
      <c r="E724" s="61"/>
    </row>
    <row r="725">
      <c r="B725" s="61"/>
      <c r="C725" s="61"/>
      <c r="D725" s="61"/>
      <c r="E725" s="61"/>
    </row>
    <row r="726">
      <c r="B726" s="61"/>
      <c r="C726" s="61"/>
      <c r="D726" s="61"/>
      <c r="E726" s="61"/>
    </row>
    <row r="727">
      <c r="B727" s="61"/>
      <c r="C727" s="61"/>
      <c r="D727" s="61"/>
      <c r="E727" s="61"/>
    </row>
    <row r="728">
      <c r="B728" s="61"/>
      <c r="C728" s="61"/>
      <c r="D728" s="61"/>
      <c r="E728" s="61"/>
    </row>
    <row r="729">
      <c r="B729" s="61"/>
      <c r="C729" s="61"/>
      <c r="D729" s="61"/>
      <c r="E729" s="61"/>
    </row>
    <row r="730">
      <c r="B730" s="61"/>
      <c r="C730" s="61"/>
      <c r="D730" s="61"/>
      <c r="E730" s="61"/>
    </row>
    <row r="731">
      <c r="B731" s="61"/>
      <c r="C731" s="61"/>
      <c r="D731" s="61"/>
      <c r="E731" s="61"/>
    </row>
    <row r="732">
      <c r="B732" s="61"/>
      <c r="C732" s="61"/>
      <c r="D732" s="61"/>
      <c r="E732" s="61"/>
    </row>
    <row r="733">
      <c r="B733" s="61"/>
      <c r="C733" s="61"/>
      <c r="D733" s="61"/>
      <c r="E733" s="61"/>
    </row>
    <row r="734">
      <c r="B734" s="61"/>
      <c r="C734" s="61"/>
      <c r="D734" s="61"/>
      <c r="E734" s="61"/>
    </row>
    <row r="735">
      <c r="B735" s="61"/>
      <c r="C735" s="61"/>
      <c r="D735" s="61"/>
      <c r="E735" s="61"/>
    </row>
    <row r="736">
      <c r="B736" s="61"/>
      <c r="C736" s="61"/>
      <c r="D736" s="61"/>
      <c r="E736" s="61"/>
    </row>
    <row r="737">
      <c r="B737" s="61"/>
      <c r="C737" s="61"/>
      <c r="D737" s="61"/>
      <c r="E737" s="61"/>
    </row>
    <row r="738">
      <c r="B738" s="61"/>
      <c r="C738" s="61"/>
      <c r="D738" s="61"/>
      <c r="E738" s="61"/>
    </row>
    <row r="739">
      <c r="B739" s="61"/>
      <c r="C739" s="61"/>
      <c r="D739" s="61"/>
      <c r="E739" s="61"/>
    </row>
    <row r="740">
      <c r="B740" s="61"/>
      <c r="C740" s="61"/>
      <c r="D740" s="61"/>
      <c r="E740" s="61"/>
    </row>
    <row r="741">
      <c r="B741" s="61"/>
      <c r="C741" s="61"/>
      <c r="D741" s="61"/>
      <c r="E741" s="61"/>
    </row>
    <row r="742">
      <c r="B742" s="61"/>
      <c r="C742" s="61"/>
      <c r="D742" s="61"/>
      <c r="E742" s="61"/>
    </row>
    <row r="743">
      <c r="B743" s="61"/>
      <c r="C743" s="61"/>
      <c r="D743" s="61"/>
      <c r="E743" s="61"/>
    </row>
    <row r="744">
      <c r="B744" s="61"/>
      <c r="C744" s="61"/>
      <c r="D744" s="61"/>
      <c r="E744" s="61"/>
    </row>
    <row r="745">
      <c r="B745" s="61"/>
      <c r="C745" s="61"/>
      <c r="D745" s="61"/>
      <c r="E745" s="61"/>
    </row>
    <row r="746">
      <c r="B746" s="61"/>
      <c r="C746" s="61"/>
      <c r="D746" s="61"/>
      <c r="E746" s="61"/>
    </row>
    <row r="747">
      <c r="B747" s="61"/>
      <c r="C747" s="61"/>
      <c r="D747" s="61"/>
      <c r="E747" s="61"/>
    </row>
    <row r="748">
      <c r="B748" s="61"/>
      <c r="C748" s="61"/>
      <c r="D748" s="61"/>
      <c r="E748" s="61"/>
    </row>
    <row r="749">
      <c r="B749" s="61"/>
      <c r="C749" s="61"/>
      <c r="D749" s="61"/>
      <c r="E749" s="61"/>
    </row>
    <row r="750">
      <c r="B750" s="61"/>
      <c r="C750" s="61"/>
      <c r="D750" s="61"/>
      <c r="E750" s="61"/>
    </row>
    <row r="751">
      <c r="B751" s="61"/>
      <c r="C751" s="61"/>
      <c r="D751" s="61"/>
      <c r="E751" s="61"/>
    </row>
    <row r="752">
      <c r="B752" s="61"/>
      <c r="C752" s="61"/>
      <c r="D752" s="61"/>
      <c r="E752" s="61"/>
    </row>
    <row r="753">
      <c r="B753" s="61"/>
      <c r="C753" s="61"/>
      <c r="D753" s="61"/>
      <c r="E753" s="61"/>
    </row>
    <row r="754">
      <c r="B754" s="61"/>
      <c r="C754" s="61"/>
      <c r="D754" s="61"/>
      <c r="E754" s="61"/>
    </row>
    <row r="755">
      <c r="B755" s="61"/>
      <c r="C755" s="61"/>
      <c r="D755" s="61"/>
      <c r="E755" s="61"/>
    </row>
    <row r="756">
      <c r="B756" s="61"/>
      <c r="C756" s="61"/>
      <c r="D756" s="61"/>
      <c r="E756" s="61"/>
    </row>
    <row r="757">
      <c r="B757" s="61"/>
      <c r="C757" s="61"/>
      <c r="D757" s="61"/>
      <c r="E757" s="61"/>
    </row>
    <row r="758">
      <c r="B758" s="61"/>
      <c r="C758" s="61"/>
      <c r="D758" s="61"/>
      <c r="E758" s="61"/>
    </row>
    <row r="759">
      <c r="B759" s="61"/>
      <c r="C759" s="61"/>
      <c r="D759" s="61"/>
      <c r="E759" s="61"/>
    </row>
    <row r="760">
      <c r="B760" s="61"/>
      <c r="C760" s="61"/>
      <c r="D760" s="61"/>
      <c r="E760" s="61"/>
    </row>
    <row r="761">
      <c r="B761" s="61"/>
      <c r="C761" s="61"/>
      <c r="D761" s="61"/>
      <c r="E761" s="61"/>
    </row>
    <row r="762">
      <c r="B762" s="61"/>
      <c r="C762" s="61"/>
      <c r="D762" s="61"/>
      <c r="E762" s="61"/>
    </row>
    <row r="763">
      <c r="B763" s="61"/>
      <c r="C763" s="61"/>
      <c r="D763" s="61"/>
      <c r="E763" s="61"/>
    </row>
    <row r="764">
      <c r="B764" s="61"/>
      <c r="C764" s="61"/>
      <c r="D764" s="61"/>
      <c r="E764" s="61"/>
    </row>
    <row r="765">
      <c r="B765" s="61"/>
      <c r="C765" s="61"/>
      <c r="D765" s="61"/>
      <c r="E765" s="61"/>
    </row>
    <row r="766">
      <c r="B766" s="61"/>
      <c r="C766" s="61"/>
      <c r="D766" s="61"/>
      <c r="E766" s="61"/>
    </row>
    <row r="767">
      <c r="B767" s="61"/>
      <c r="C767" s="61"/>
      <c r="D767" s="61"/>
      <c r="E767" s="61"/>
    </row>
    <row r="768">
      <c r="B768" s="61"/>
      <c r="C768" s="61"/>
      <c r="D768" s="61"/>
      <c r="E768" s="61"/>
    </row>
    <row r="769">
      <c r="B769" s="61"/>
      <c r="C769" s="61"/>
      <c r="D769" s="61"/>
      <c r="E769" s="61"/>
    </row>
    <row r="770">
      <c r="B770" s="61"/>
      <c r="C770" s="61"/>
      <c r="D770" s="61"/>
      <c r="E770" s="61"/>
    </row>
    <row r="771">
      <c r="B771" s="61"/>
      <c r="C771" s="61"/>
      <c r="D771" s="61"/>
      <c r="E771" s="61"/>
    </row>
    <row r="772">
      <c r="B772" s="61"/>
      <c r="C772" s="61"/>
      <c r="D772" s="61"/>
      <c r="E772" s="61"/>
    </row>
    <row r="773">
      <c r="B773" s="61"/>
      <c r="C773" s="61"/>
      <c r="D773" s="61"/>
      <c r="E773" s="61"/>
    </row>
    <row r="774">
      <c r="B774" s="61"/>
      <c r="C774" s="61"/>
      <c r="D774" s="61"/>
      <c r="E774" s="61"/>
    </row>
    <row r="775">
      <c r="B775" s="61"/>
      <c r="C775" s="61"/>
      <c r="D775" s="61"/>
      <c r="E775" s="61"/>
    </row>
    <row r="776">
      <c r="B776" s="61"/>
      <c r="C776" s="61"/>
      <c r="D776" s="61"/>
      <c r="E776" s="61"/>
    </row>
    <row r="777">
      <c r="B777" s="61"/>
      <c r="C777" s="61"/>
      <c r="D777" s="61"/>
      <c r="E777" s="61"/>
    </row>
    <row r="778">
      <c r="B778" s="61"/>
      <c r="C778" s="61"/>
      <c r="D778" s="61"/>
      <c r="E778" s="61"/>
    </row>
    <row r="779">
      <c r="B779" s="61"/>
      <c r="C779" s="61"/>
      <c r="D779" s="61"/>
      <c r="E779" s="61"/>
    </row>
    <row r="780">
      <c r="B780" s="61"/>
      <c r="C780" s="61"/>
      <c r="D780" s="61"/>
      <c r="E780" s="61"/>
    </row>
    <row r="781">
      <c r="B781" s="61"/>
      <c r="C781" s="61"/>
      <c r="D781" s="61"/>
      <c r="E781" s="61"/>
    </row>
    <row r="782">
      <c r="B782" s="61"/>
      <c r="C782" s="61"/>
      <c r="D782" s="61"/>
      <c r="E782" s="61"/>
    </row>
    <row r="783">
      <c r="B783" s="61"/>
      <c r="C783" s="61"/>
      <c r="D783" s="61"/>
      <c r="E783" s="61"/>
    </row>
    <row r="784">
      <c r="B784" s="61"/>
      <c r="C784" s="61"/>
      <c r="D784" s="61"/>
      <c r="E784" s="61"/>
    </row>
    <row r="785">
      <c r="B785" s="61"/>
      <c r="C785" s="61"/>
      <c r="D785" s="61"/>
      <c r="E785" s="61"/>
    </row>
    <row r="786">
      <c r="B786" s="61"/>
      <c r="C786" s="61"/>
      <c r="D786" s="61"/>
      <c r="E786" s="61"/>
    </row>
    <row r="787">
      <c r="B787" s="61"/>
      <c r="C787" s="61"/>
      <c r="D787" s="61"/>
      <c r="E787" s="61"/>
    </row>
    <row r="788">
      <c r="B788" s="61"/>
      <c r="C788" s="61"/>
      <c r="D788" s="61"/>
      <c r="E788" s="61"/>
    </row>
    <row r="789">
      <c r="B789" s="61"/>
      <c r="C789" s="61"/>
      <c r="D789" s="61"/>
      <c r="E789" s="61"/>
    </row>
    <row r="790">
      <c r="B790" s="61"/>
      <c r="C790" s="61"/>
      <c r="D790" s="61"/>
      <c r="E790" s="61"/>
    </row>
    <row r="791">
      <c r="B791" s="61"/>
      <c r="C791" s="61"/>
      <c r="D791" s="61"/>
      <c r="E791" s="61"/>
    </row>
    <row r="792">
      <c r="B792" s="61"/>
      <c r="C792" s="61"/>
      <c r="D792" s="61"/>
      <c r="E792" s="61"/>
    </row>
    <row r="793">
      <c r="B793" s="61"/>
      <c r="C793" s="61"/>
      <c r="D793" s="61"/>
      <c r="E793" s="61"/>
    </row>
    <row r="794">
      <c r="B794" s="61"/>
      <c r="C794" s="61"/>
      <c r="D794" s="61"/>
      <c r="E794" s="61"/>
    </row>
    <row r="795">
      <c r="B795" s="61"/>
      <c r="C795" s="61"/>
      <c r="D795" s="61"/>
      <c r="E795" s="61"/>
    </row>
    <row r="796">
      <c r="B796" s="61"/>
      <c r="C796" s="61"/>
      <c r="D796" s="61"/>
      <c r="E796" s="61"/>
    </row>
    <row r="797">
      <c r="B797" s="61"/>
      <c r="C797" s="61"/>
      <c r="D797" s="61"/>
      <c r="E797" s="61"/>
    </row>
    <row r="798">
      <c r="B798" s="61"/>
      <c r="C798" s="61"/>
      <c r="D798" s="61"/>
      <c r="E798" s="61"/>
    </row>
    <row r="799">
      <c r="B799" s="61"/>
      <c r="C799" s="61"/>
      <c r="D799" s="61"/>
      <c r="E799" s="61"/>
    </row>
    <row r="800">
      <c r="B800" s="61"/>
      <c r="C800" s="61"/>
      <c r="D800" s="61"/>
      <c r="E800" s="61"/>
    </row>
    <row r="801">
      <c r="B801" s="61"/>
      <c r="C801" s="61"/>
      <c r="D801" s="61"/>
      <c r="E801" s="61"/>
    </row>
    <row r="802">
      <c r="B802" s="61"/>
      <c r="C802" s="61"/>
      <c r="D802" s="61"/>
      <c r="E802" s="61"/>
    </row>
    <row r="803">
      <c r="B803" s="61"/>
      <c r="C803" s="61"/>
      <c r="D803" s="61"/>
      <c r="E803" s="61"/>
    </row>
    <row r="804">
      <c r="B804" s="61"/>
      <c r="C804" s="61"/>
      <c r="D804" s="61"/>
      <c r="E804" s="61"/>
    </row>
    <row r="805">
      <c r="B805" s="61"/>
      <c r="C805" s="61"/>
      <c r="D805" s="61"/>
      <c r="E805" s="61"/>
    </row>
    <row r="806">
      <c r="B806" s="61"/>
      <c r="C806" s="61"/>
      <c r="D806" s="61"/>
      <c r="E806" s="61"/>
    </row>
    <row r="807">
      <c r="B807" s="61"/>
      <c r="C807" s="61"/>
      <c r="D807" s="61"/>
      <c r="E807" s="61"/>
    </row>
    <row r="808">
      <c r="B808" s="61"/>
      <c r="C808" s="61"/>
      <c r="D808" s="61"/>
      <c r="E808" s="61"/>
    </row>
    <row r="809">
      <c r="B809" s="61"/>
      <c r="C809" s="61"/>
      <c r="D809" s="61"/>
      <c r="E809" s="61"/>
    </row>
    <row r="810">
      <c r="B810" s="61"/>
      <c r="C810" s="61"/>
      <c r="D810" s="61"/>
      <c r="E810" s="61"/>
    </row>
    <row r="811">
      <c r="B811" s="61"/>
      <c r="C811" s="61"/>
      <c r="D811" s="61"/>
      <c r="E811" s="61"/>
    </row>
    <row r="812">
      <c r="B812" s="61"/>
      <c r="C812" s="61"/>
      <c r="D812" s="61"/>
      <c r="E812" s="61"/>
    </row>
    <row r="813">
      <c r="B813" s="61"/>
      <c r="C813" s="61"/>
      <c r="D813" s="61"/>
      <c r="E813" s="61"/>
    </row>
    <row r="814">
      <c r="B814" s="61"/>
      <c r="C814" s="61"/>
      <c r="D814" s="61"/>
      <c r="E814" s="61"/>
    </row>
    <row r="815">
      <c r="B815" s="61"/>
      <c r="C815" s="61"/>
      <c r="D815" s="61"/>
      <c r="E815" s="61"/>
    </row>
    <row r="816">
      <c r="B816" s="61"/>
      <c r="C816" s="61"/>
      <c r="D816" s="61"/>
      <c r="E816" s="61"/>
    </row>
    <row r="817">
      <c r="B817" s="61"/>
      <c r="C817" s="61"/>
      <c r="D817" s="61"/>
      <c r="E817" s="61"/>
    </row>
    <row r="818">
      <c r="B818" s="61"/>
      <c r="C818" s="61"/>
      <c r="D818" s="61"/>
      <c r="E818" s="61"/>
    </row>
    <row r="819">
      <c r="B819" s="61"/>
      <c r="C819" s="61"/>
      <c r="D819" s="61"/>
      <c r="E819" s="61"/>
    </row>
    <row r="820">
      <c r="B820" s="61"/>
      <c r="C820" s="61"/>
      <c r="D820" s="61"/>
      <c r="E820" s="61"/>
    </row>
    <row r="821">
      <c r="B821" s="61"/>
      <c r="C821" s="61"/>
      <c r="D821" s="61"/>
      <c r="E821" s="61"/>
    </row>
    <row r="822">
      <c r="B822" s="61"/>
      <c r="C822" s="61"/>
      <c r="D822" s="61"/>
      <c r="E822" s="61"/>
    </row>
    <row r="823">
      <c r="B823" s="61"/>
      <c r="C823" s="61"/>
      <c r="D823" s="61"/>
      <c r="E823" s="61"/>
    </row>
    <row r="824">
      <c r="B824" s="61"/>
      <c r="C824" s="61"/>
      <c r="D824" s="61"/>
      <c r="E824" s="61"/>
    </row>
    <row r="825">
      <c r="B825" s="61"/>
      <c r="C825" s="61"/>
      <c r="D825" s="61"/>
      <c r="E825" s="61"/>
    </row>
    <row r="826">
      <c r="B826" s="61"/>
      <c r="C826" s="61"/>
      <c r="D826" s="61"/>
      <c r="E826" s="61"/>
    </row>
    <row r="827">
      <c r="B827" s="61"/>
      <c r="C827" s="61"/>
      <c r="D827" s="61"/>
      <c r="E827" s="61"/>
    </row>
    <row r="828">
      <c r="B828" s="61"/>
      <c r="C828" s="61"/>
      <c r="D828" s="61"/>
      <c r="E828" s="61"/>
    </row>
    <row r="829">
      <c r="B829" s="61"/>
      <c r="C829" s="61"/>
      <c r="D829" s="61"/>
      <c r="E829" s="61"/>
    </row>
    <row r="830">
      <c r="B830" s="61"/>
      <c r="C830" s="61"/>
      <c r="D830" s="61"/>
      <c r="E830" s="61"/>
    </row>
    <row r="831">
      <c r="B831" s="61"/>
      <c r="C831" s="61"/>
      <c r="D831" s="61"/>
      <c r="E831" s="61"/>
    </row>
    <row r="832">
      <c r="B832" s="61"/>
      <c r="C832" s="61"/>
      <c r="D832" s="61"/>
      <c r="E832" s="61"/>
    </row>
    <row r="833">
      <c r="B833" s="61"/>
      <c r="C833" s="61"/>
      <c r="D833" s="61"/>
      <c r="E833" s="61"/>
    </row>
    <row r="834">
      <c r="B834" s="61"/>
      <c r="C834" s="61"/>
      <c r="D834" s="61"/>
      <c r="E834" s="61"/>
    </row>
    <row r="835">
      <c r="B835" s="61"/>
      <c r="C835" s="61"/>
      <c r="D835" s="61"/>
      <c r="E835" s="61"/>
    </row>
    <row r="836">
      <c r="B836" s="61"/>
      <c r="C836" s="61"/>
      <c r="D836" s="61"/>
      <c r="E836" s="61"/>
    </row>
    <row r="837">
      <c r="B837" s="61"/>
      <c r="C837" s="61"/>
      <c r="D837" s="61"/>
      <c r="E837" s="61"/>
    </row>
    <row r="838">
      <c r="B838" s="61"/>
      <c r="C838" s="61"/>
      <c r="D838" s="61"/>
      <c r="E838" s="61"/>
    </row>
    <row r="839">
      <c r="B839" s="61"/>
      <c r="C839" s="61"/>
      <c r="D839" s="61"/>
      <c r="E839" s="61"/>
    </row>
    <row r="840">
      <c r="B840" s="61"/>
      <c r="C840" s="61"/>
      <c r="D840" s="61"/>
      <c r="E840" s="61"/>
    </row>
    <row r="841">
      <c r="B841" s="61"/>
      <c r="C841" s="61"/>
      <c r="D841" s="61"/>
      <c r="E841" s="61"/>
    </row>
    <row r="842">
      <c r="B842" s="61"/>
      <c r="C842" s="61"/>
      <c r="D842" s="61"/>
      <c r="E842" s="61"/>
    </row>
    <row r="843">
      <c r="B843" s="61"/>
      <c r="C843" s="61"/>
      <c r="D843" s="61"/>
      <c r="E843" s="61"/>
    </row>
    <row r="844">
      <c r="B844" s="61"/>
      <c r="C844" s="61"/>
      <c r="D844" s="61"/>
      <c r="E844" s="61"/>
    </row>
    <row r="845">
      <c r="B845" s="61"/>
      <c r="C845" s="61"/>
      <c r="D845" s="61"/>
      <c r="E845" s="61"/>
    </row>
    <row r="846">
      <c r="B846" s="61"/>
      <c r="C846" s="61"/>
      <c r="D846" s="61"/>
      <c r="E846" s="61"/>
    </row>
    <row r="847">
      <c r="B847" s="61"/>
      <c r="C847" s="61"/>
      <c r="D847" s="61"/>
      <c r="E847" s="61"/>
    </row>
    <row r="848">
      <c r="B848" s="61"/>
      <c r="C848" s="61"/>
      <c r="D848" s="61"/>
      <c r="E848" s="61"/>
    </row>
    <row r="849">
      <c r="B849" s="61"/>
      <c r="C849" s="61"/>
      <c r="D849" s="61"/>
      <c r="E849" s="61"/>
    </row>
    <row r="850">
      <c r="B850" s="61"/>
      <c r="C850" s="61"/>
      <c r="D850" s="61"/>
      <c r="E850" s="61"/>
    </row>
    <row r="851">
      <c r="B851" s="61"/>
      <c r="C851" s="61"/>
      <c r="D851" s="61"/>
      <c r="E851" s="61"/>
    </row>
    <row r="852">
      <c r="B852" s="61"/>
      <c r="C852" s="61"/>
      <c r="D852" s="61"/>
      <c r="E852" s="61"/>
    </row>
    <row r="853">
      <c r="B853" s="61"/>
      <c r="C853" s="61"/>
      <c r="D853" s="61"/>
      <c r="E853" s="61"/>
    </row>
    <row r="854">
      <c r="B854" s="61"/>
      <c r="C854" s="61"/>
      <c r="D854" s="61"/>
      <c r="E854" s="61"/>
    </row>
    <row r="855">
      <c r="B855" s="61"/>
      <c r="C855" s="61"/>
      <c r="D855" s="61"/>
      <c r="E855" s="61"/>
    </row>
    <row r="856">
      <c r="B856" s="61"/>
      <c r="C856" s="61"/>
      <c r="D856" s="61"/>
      <c r="E856" s="61"/>
    </row>
    <row r="857">
      <c r="B857" s="61"/>
      <c r="C857" s="61"/>
      <c r="D857" s="61"/>
      <c r="E857" s="61"/>
    </row>
    <row r="858">
      <c r="B858" s="61"/>
      <c r="C858" s="61"/>
      <c r="D858" s="61"/>
      <c r="E858" s="61"/>
    </row>
    <row r="859">
      <c r="B859" s="61"/>
      <c r="C859" s="61"/>
      <c r="D859" s="61"/>
      <c r="E859" s="61"/>
    </row>
    <row r="860">
      <c r="B860" s="61"/>
      <c r="C860" s="61"/>
      <c r="D860" s="61"/>
      <c r="E860" s="61"/>
    </row>
    <row r="861">
      <c r="B861" s="61"/>
      <c r="C861" s="61"/>
      <c r="D861" s="61"/>
      <c r="E861" s="61"/>
    </row>
    <row r="862">
      <c r="B862" s="61"/>
      <c r="C862" s="61"/>
      <c r="D862" s="61"/>
      <c r="E862" s="61"/>
    </row>
    <row r="863">
      <c r="B863" s="61"/>
      <c r="C863" s="61"/>
      <c r="D863" s="61"/>
      <c r="E863" s="61"/>
    </row>
    <row r="864">
      <c r="B864" s="61"/>
      <c r="C864" s="61"/>
      <c r="D864" s="61"/>
      <c r="E864" s="61"/>
    </row>
    <row r="865">
      <c r="B865" s="61"/>
      <c r="C865" s="61"/>
      <c r="D865" s="61"/>
      <c r="E865" s="61"/>
    </row>
    <row r="866">
      <c r="B866" s="61"/>
      <c r="C866" s="61"/>
      <c r="D866" s="61"/>
      <c r="E866" s="61"/>
    </row>
    <row r="867">
      <c r="B867" s="61"/>
      <c r="C867" s="61"/>
      <c r="D867" s="61"/>
      <c r="E867" s="61"/>
    </row>
    <row r="868">
      <c r="B868" s="61"/>
      <c r="C868" s="61"/>
      <c r="D868" s="61"/>
      <c r="E868" s="61"/>
    </row>
    <row r="869">
      <c r="B869" s="61"/>
      <c r="C869" s="61"/>
      <c r="D869" s="61"/>
      <c r="E869" s="61"/>
    </row>
    <row r="870">
      <c r="B870" s="61"/>
      <c r="C870" s="61"/>
      <c r="D870" s="61"/>
      <c r="E870" s="61"/>
    </row>
    <row r="871">
      <c r="B871" s="61"/>
      <c r="C871" s="61"/>
      <c r="D871" s="61"/>
      <c r="E871" s="61"/>
    </row>
    <row r="872">
      <c r="B872" s="61"/>
      <c r="C872" s="61"/>
      <c r="D872" s="61"/>
      <c r="E872" s="61"/>
    </row>
    <row r="873">
      <c r="B873" s="61"/>
      <c r="C873" s="61"/>
      <c r="D873" s="61"/>
      <c r="E873" s="61"/>
    </row>
    <row r="874">
      <c r="B874" s="61"/>
      <c r="C874" s="61"/>
      <c r="D874" s="61"/>
      <c r="E874" s="61"/>
    </row>
    <row r="875">
      <c r="B875" s="61"/>
      <c r="C875" s="61"/>
      <c r="D875" s="61"/>
      <c r="E875" s="61"/>
    </row>
    <row r="876">
      <c r="B876" s="61"/>
      <c r="C876" s="61"/>
      <c r="D876" s="61"/>
      <c r="E876" s="61"/>
    </row>
    <row r="877">
      <c r="B877" s="61"/>
      <c r="C877" s="61"/>
      <c r="D877" s="61"/>
      <c r="E877" s="61"/>
    </row>
    <row r="878">
      <c r="B878" s="61"/>
      <c r="C878" s="61"/>
      <c r="D878" s="61"/>
      <c r="E878" s="61"/>
    </row>
    <row r="879">
      <c r="B879" s="61"/>
      <c r="C879" s="61"/>
      <c r="D879" s="61"/>
      <c r="E879" s="61"/>
    </row>
    <row r="880">
      <c r="B880" s="61"/>
      <c r="C880" s="61"/>
      <c r="D880" s="61"/>
      <c r="E880" s="61"/>
    </row>
    <row r="881">
      <c r="B881" s="61"/>
      <c r="C881" s="61"/>
      <c r="D881" s="61"/>
      <c r="E881" s="61"/>
    </row>
    <row r="882">
      <c r="B882" s="61"/>
      <c r="C882" s="61"/>
      <c r="D882" s="61"/>
      <c r="E882" s="61"/>
    </row>
    <row r="883">
      <c r="B883" s="61"/>
      <c r="C883" s="61"/>
      <c r="D883" s="61"/>
      <c r="E883" s="61"/>
    </row>
    <row r="884">
      <c r="B884" s="61"/>
      <c r="C884" s="61"/>
      <c r="D884" s="61"/>
      <c r="E884" s="61"/>
    </row>
    <row r="885">
      <c r="B885" s="61"/>
      <c r="C885" s="61"/>
      <c r="D885" s="61"/>
      <c r="E885" s="61"/>
    </row>
    <row r="886">
      <c r="B886" s="61"/>
      <c r="C886" s="61"/>
      <c r="D886" s="61"/>
      <c r="E886" s="61"/>
    </row>
    <row r="887">
      <c r="B887" s="61"/>
      <c r="C887" s="61"/>
      <c r="D887" s="61"/>
      <c r="E887" s="61"/>
    </row>
    <row r="888">
      <c r="B888" s="61"/>
      <c r="C888" s="61"/>
      <c r="D888" s="61"/>
      <c r="E888" s="61"/>
    </row>
    <row r="889">
      <c r="B889" s="61"/>
      <c r="C889" s="61"/>
      <c r="D889" s="61"/>
      <c r="E889" s="61"/>
    </row>
    <row r="890">
      <c r="B890" s="61"/>
      <c r="C890" s="61"/>
      <c r="D890" s="61"/>
      <c r="E890" s="61"/>
    </row>
    <row r="891">
      <c r="B891" s="61"/>
      <c r="C891" s="61"/>
      <c r="D891" s="61"/>
      <c r="E891" s="61"/>
    </row>
    <row r="892">
      <c r="B892" s="61"/>
      <c r="C892" s="61"/>
      <c r="D892" s="61"/>
      <c r="E892" s="61"/>
    </row>
    <row r="893">
      <c r="B893" s="61"/>
      <c r="C893" s="61"/>
      <c r="D893" s="61"/>
      <c r="E893" s="61"/>
    </row>
    <row r="894">
      <c r="B894" s="61"/>
      <c r="C894" s="61"/>
      <c r="D894" s="61"/>
      <c r="E894" s="61"/>
    </row>
    <row r="895">
      <c r="B895" s="61"/>
      <c r="C895" s="61"/>
      <c r="D895" s="61"/>
      <c r="E895" s="61"/>
    </row>
    <row r="896">
      <c r="B896" s="61"/>
      <c r="C896" s="61"/>
      <c r="D896" s="61"/>
      <c r="E896" s="61"/>
    </row>
    <row r="897">
      <c r="B897" s="61"/>
      <c r="C897" s="61"/>
      <c r="D897" s="61"/>
      <c r="E897" s="61"/>
    </row>
    <row r="898">
      <c r="B898" s="61"/>
      <c r="C898" s="61"/>
      <c r="D898" s="61"/>
      <c r="E898" s="61"/>
    </row>
    <row r="899">
      <c r="B899" s="61"/>
      <c r="C899" s="61"/>
      <c r="D899" s="61"/>
      <c r="E899" s="61"/>
    </row>
    <row r="900">
      <c r="B900" s="61"/>
      <c r="C900" s="61"/>
      <c r="D900" s="61"/>
      <c r="E900" s="61"/>
    </row>
    <row r="901">
      <c r="B901" s="61"/>
      <c r="C901" s="61"/>
      <c r="D901" s="61"/>
      <c r="E901" s="61"/>
    </row>
    <row r="902">
      <c r="B902" s="61"/>
      <c r="C902" s="61"/>
      <c r="D902" s="61"/>
      <c r="E902" s="61"/>
    </row>
    <row r="903">
      <c r="B903" s="61"/>
      <c r="C903" s="61"/>
      <c r="D903" s="61"/>
      <c r="E903" s="61"/>
    </row>
    <row r="904">
      <c r="B904" s="61"/>
      <c r="C904" s="61"/>
      <c r="D904" s="61"/>
      <c r="E904" s="61"/>
    </row>
    <row r="905">
      <c r="B905" s="61"/>
      <c r="C905" s="61"/>
      <c r="D905" s="61"/>
      <c r="E905" s="61"/>
    </row>
    <row r="906">
      <c r="B906" s="61"/>
      <c r="C906" s="61"/>
      <c r="D906" s="61"/>
      <c r="E906" s="61"/>
    </row>
    <row r="907">
      <c r="B907" s="61"/>
      <c r="C907" s="61"/>
      <c r="D907" s="61"/>
      <c r="E907" s="61"/>
    </row>
    <row r="908">
      <c r="B908" s="61"/>
      <c r="C908" s="61"/>
      <c r="D908" s="61"/>
      <c r="E908" s="61"/>
    </row>
    <row r="909">
      <c r="B909" s="61"/>
      <c r="C909" s="61"/>
      <c r="D909" s="61"/>
      <c r="E909" s="61"/>
    </row>
    <row r="910">
      <c r="B910" s="61"/>
      <c r="C910" s="61"/>
      <c r="D910" s="61"/>
      <c r="E910" s="61"/>
    </row>
    <row r="911">
      <c r="B911" s="61"/>
      <c r="C911" s="61"/>
      <c r="D911" s="61"/>
      <c r="E911" s="61"/>
    </row>
    <row r="912">
      <c r="B912" s="61"/>
      <c r="C912" s="61"/>
      <c r="D912" s="61"/>
      <c r="E912" s="61"/>
    </row>
    <row r="913">
      <c r="B913" s="61"/>
      <c r="C913" s="61"/>
      <c r="D913" s="61"/>
      <c r="E913" s="61"/>
    </row>
    <row r="914">
      <c r="B914" s="61"/>
      <c r="C914" s="61"/>
      <c r="D914" s="61"/>
      <c r="E914" s="61"/>
    </row>
    <row r="915">
      <c r="B915" s="61"/>
      <c r="C915" s="61"/>
      <c r="D915" s="61"/>
      <c r="E915" s="61"/>
    </row>
    <row r="916">
      <c r="B916" s="61"/>
      <c r="C916" s="61"/>
      <c r="D916" s="61"/>
      <c r="E916" s="61"/>
    </row>
    <row r="917">
      <c r="B917" s="61"/>
      <c r="C917" s="61"/>
      <c r="D917" s="61"/>
      <c r="E917" s="61"/>
    </row>
    <row r="918">
      <c r="B918" s="61"/>
      <c r="C918" s="61"/>
      <c r="D918" s="61"/>
      <c r="E918" s="61"/>
    </row>
    <row r="919">
      <c r="B919" s="61"/>
      <c r="C919" s="61"/>
      <c r="D919" s="61"/>
      <c r="E919" s="61"/>
    </row>
    <row r="920">
      <c r="B920" s="61"/>
      <c r="C920" s="61"/>
      <c r="D920" s="61"/>
      <c r="E920" s="61"/>
    </row>
    <row r="921">
      <c r="B921" s="61"/>
      <c r="C921" s="61"/>
      <c r="D921" s="61"/>
      <c r="E921" s="61"/>
    </row>
    <row r="922">
      <c r="B922" s="61"/>
      <c r="C922" s="61"/>
      <c r="D922" s="61"/>
      <c r="E922" s="61"/>
    </row>
    <row r="923">
      <c r="B923" s="61"/>
      <c r="C923" s="61"/>
      <c r="D923" s="61"/>
      <c r="E923" s="61"/>
    </row>
    <row r="924">
      <c r="B924" s="61"/>
      <c r="C924" s="61"/>
      <c r="D924" s="61"/>
      <c r="E924" s="61"/>
    </row>
    <row r="925">
      <c r="B925" s="61"/>
      <c r="C925" s="61"/>
      <c r="D925" s="61"/>
      <c r="E925" s="61"/>
    </row>
    <row r="926">
      <c r="B926" s="61"/>
      <c r="C926" s="61"/>
      <c r="D926" s="61"/>
      <c r="E926" s="61"/>
    </row>
    <row r="927">
      <c r="B927" s="61"/>
      <c r="C927" s="61"/>
      <c r="D927" s="61"/>
      <c r="E927" s="61"/>
    </row>
    <row r="928">
      <c r="B928" s="61"/>
      <c r="C928" s="61"/>
      <c r="D928" s="61"/>
      <c r="E928" s="61"/>
    </row>
    <row r="929">
      <c r="B929" s="61"/>
      <c r="C929" s="61"/>
      <c r="D929" s="61"/>
      <c r="E929" s="61"/>
    </row>
    <row r="930">
      <c r="B930" s="61"/>
      <c r="C930" s="61"/>
      <c r="D930" s="61"/>
      <c r="E930" s="61"/>
    </row>
    <row r="931">
      <c r="B931" s="61"/>
      <c r="C931" s="61"/>
      <c r="D931" s="61"/>
      <c r="E931" s="61"/>
    </row>
    <row r="932">
      <c r="B932" s="61"/>
      <c r="C932" s="61"/>
      <c r="D932" s="61"/>
      <c r="E932" s="61"/>
    </row>
    <row r="933">
      <c r="B933" s="61"/>
      <c r="C933" s="61"/>
      <c r="D933" s="61"/>
      <c r="E933" s="61"/>
    </row>
    <row r="934">
      <c r="B934" s="61"/>
      <c r="C934" s="61"/>
      <c r="D934" s="61"/>
      <c r="E934" s="61"/>
    </row>
    <row r="935">
      <c r="B935" s="61"/>
      <c r="C935" s="61"/>
      <c r="D935" s="61"/>
      <c r="E935" s="61"/>
    </row>
    <row r="936">
      <c r="B936" s="61"/>
      <c r="C936" s="61"/>
      <c r="D936" s="61"/>
      <c r="E936" s="61"/>
    </row>
    <row r="937">
      <c r="B937" s="61"/>
      <c r="C937" s="61"/>
      <c r="D937" s="61"/>
      <c r="E937" s="61"/>
    </row>
    <row r="938">
      <c r="B938" s="61"/>
      <c r="C938" s="61"/>
      <c r="D938" s="61"/>
      <c r="E938" s="61"/>
    </row>
    <row r="939">
      <c r="B939" s="61"/>
      <c r="C939" s="61"/>
      <c r="D939" s="61"/>
      <c r="E939" s="61"/>
    </row>
    <row r="940">
      <c r="B940" s="61"/>
      <c r="C940" s="61"/>
      <c r="D940" s="61"/>
      <c r="E940" s="61"/>
    </row>
    <row r="941">
      <c r="B941" s="61"/>
      <c r="C941" s="61"/>
      <c r="D941" s="61"/>
      <c r="E941" s="61"/>
    </row>
    <row r="942">
      <c r="B942" s="61"/>
      <c r="C942" s="61"/>
      <c r="D942" s="61"/>
      <c r="E942" s="61"/>
    </row>
    <row r="943">
      <c r="B943" s="61"/>
      <c r="C943" s="61"/>
      <c r="D943" s="61"/>
      <c r="E943" s="61"/>
    </row>
    <row r="944">
      <c r="B944" s="61"/>
      <c r="C944" s="61"/>
      <c r="D944" s="61"/>
      <c r="E944" s="61"/>
    </row>
    <row r="945">
      <c r="B945" s="61"/>
      <c r="C945" s="61"/>
      <c r="D945" s="61"/>
      <c r="E945" s="61"/>
    </row>
    <row r="946">
      <c r="B946" s="61"/>
      <c r="C946" s="61"/>
      <c r="D946" s="61"/>
      <c r="E946" s="61"/>
    </row>
    <row r="947">
      <c r="B947" s="61"/>
      <c r="C947" s="61"/>
      <c r="D947" s="61"/>
      <c r="E947" s="61"/>
    </row>
    <row r="948">
      <c r="B948" s="61"/>
      <c r="C948" s="61"/>
      <c r="D948" s="61"/>
      <c r="E948" s="61"/>
    </row>
    <row r="949">
      <c r="B949" s="61"/>
      <c r="C949" s="61"/>
      <c r="D949" s="61"/>
      <c r="E949" s="61"/>
    </row>
    <row r="950">
      <c r="B950" s="61"/>
      <c r="C950" s="61"/>
      <c r="D950" s="61"/>
      <c r="E950" s="61"/>
    </row>
    <row r="951">
      <c r="B951" s="61"/>
      <c r="C951" s="61"/>
      <c r="D951" s="61"/>
      <c r="E951" s="61"/>
    </row>
    <row r="952">
      <c r="B952" s="61"/>
      <c r="C952" s="61"/>
      <c r="D952" s="61"/>
      <c r="E952" s="61"/>
    </row>
    <row r="953">
      <c r="B953" s="61"/>
      <c r="C953" s="61"/>
      <c r="D953" s="61"/>
      <c r="E953" s="61"/>
    </row>
    <row r="954">
      <c r="B954" s="61"/>
      <c r="C954" s="61"/>
      <c r="D954" s="61"/>
      <c r="E954" s="61"/>
    </row>
    <row r="955">
      <c r="B955" s="61"/>
      <c r="C955" s="61"/>
      <c r="D955" s="61"/>
      <c r="E955" s="61"/>
    </row>
    <row r="956">
      <c r="B956" s="61"/>
      <c r="C956" s="61"/>
      <c r="D956" s="61"/>
      <c r="E956" s="61"/>
    </row>
    <row r="957">
      <c r="B957" s="61"/>
      <c r="C957" s="61"/>
      <c r="D957" s="61"/>
      <c r="E957" s="61"/>
    </row>
    <row r="958">
      <c r="B958" s="61"/>
      <c r="C958" s="61"/>
      <c r="D958" s="61"/>
      <c r="E958" s="61"/>
    </row>
    <row r="959">
      <c r="B959" s="61"/>
      <c r="C959" s="61"/>
      <c r="D959" s="61"/>
      <c r="E959" s="61"/>
    </row>
    <row r="960">
      <c r="B960" s="61"/>
      <c r="C960" s="61"/>
      <c r="D960" s="61"/>
      <c r="E960" s="61"/>
    </row>
    <row r="961">
      <c r="B961" s="61"/>
      <c r="C961" s="61"/>
      <c r="D961" s="61"/>
      <c r="E961" s="61"/>
    </row>
    <row r="962">
      <c r="B962" s="61"/>
      <c r="C962" s="61"/>
      <c r="D962" s="61"/>
      <c r="E962" s="61"/>
    </row>
    <row r="963">
      <c r="B963" s="61"/>
      <c r="C963" s="61"/>
      <c r="D963" s="61"/>
      <c r="E963" s="61"/>
    </row>
    <row r="964">
      <c r="B964" s="61"/>
      <c r="C964" s="61"/>
      <c r="D964" s="61"/>
      <c r="E964" s="61"/>
    </row>
    <row r="965">
      <c r="B965" s="61"/>
      <c r="C965" s="61"/>
      <c r="D965" s="61"/>
      <c r="E965" s="61"/>
    </row>
    <row r="966">
      <c r="B966" s="61"/>
      <c r="C966" s="61"/>
      <c r="D966" s="61"/>
      <c r="E966" s="61"/>
    </row>
    <row r="967">
      <c r="B967" s="61"/>
      <c r="C967" s="61"/>
      <c r="D967" s="61"/>
      <c r="E967" s="61"/>
    </row>
    <row r="968">
      <c r="B968" s="61"/>
      <c r="C968" s="61"/>
      <c r="D968" s="61"/>
      <c r="E968" s="61"/>
    </row>
    <row r="969">
      <c r="B969" s="61"/>
      <c r="C969" s="61"/>
      <c r="D969" s="61"/>
      <c r="E969" s="61"/>
    </row>
    <row r="970">
      <c r="B970" s="61"/>
      <c r="C970" s="61"/>
      <c r="D970" s="61"/>
      <c r="E970" s="61"/>
    </row>
    <row r="971">
      <c r="B971" s="61"/>
      <c r="C971" s="61"/>
      <c r="D971" s="61"/>
      <c r="E971" s="61"/>
    </row>
    <row r="972">
      <c r="B972" s="61"/>
      <c r="C972" s="61"/>
      <c r="D972" s="61"/>
      <c r="E972" s="61"/>
    </row>
    <row r="973">
      <c r="B973" s="61"/>
      <c r="C973" s="61"/>
      <c r="D973" s="61"/>
      <c r="E973" s="61"/>
    </row>
    <row r="974">
      <c r="B974" s="61"/>
      <c r="C974" s="61"/>
      <c r="D974" s="61"/>
      <c r="E974" s="61"/>
    </row>
    <row r="975">
      <c r="B975" s="61"/>
      <c r="C975" s="61"/>
      <c r="D975" s="61"/>
      <c r="E975" s="61"/>
    </row>
    <row r="976">
      <c r="B976" s="61"/>
      <c r="C976" s="61"/>
      <c r="D976" s="61"/>
      <c r="E976" s="61"/>
    </row>
    <row r="977">
      <c r="B977" s="61"/>
      <c r="C977" s="61"/>
      <c r="D977" s="61"/>
      <c r="E977" s="61"/>
    </row>
    <row r="978">
      <c r="B978" s="61"/>
      <c r="C978" s="61"/>
      <c r="D978" s="61"/>
      <c r="E978" s="61"/>
    </row>
    <row r="979">
      <c r="B979" s="61"/>
      <c r="C979" s="61"/>
      <c r="D979" s="61"/>
      <c r="E979" s="61"/>
    </row>
    <row r="980">
      <c r="B980" s="61"/>
      <c r="C980" s="61"/>
      <c r="D980" s="61"/>
      <c r="E980" s="61"/>
    </row>
    <row r="981">
      <c r="B981" s="61"/>
      <c r="C981" s="61"/>
      <c r="D981" s="61"/>
      <c r="E981" s="61"/>
    </row>
    <row r="982">
      <c r="B982" s="61"/>
      <c r="C982" s="61"/>
      <c r="D982" s="61"/>
      <c r="E982" s="61"/>
    </row>
    <row r="983">
      <c r="B983" s="61"/>
      <c r="C983" s="61"/>
      <c r="D983" s="61"/>
      <c r="E983" s="61"/>
    </row>
    <row r="984">
      <c r="B984" s="61"/>
      <c r="C984" s="61"/>
      <c r="D984" s="61"/>
      <c r="E984" s="61"/>
    </row>
    <row r="985">
      <c r="B985" s="61"/>
      <c r="C985" s="61"/>
      <c r="D985" s="61"/>
      <c r="E985" s="61"/>
    </row>
    <row r="986">
      <c r="B986" s="61"/>
      <c r="C986" s="61"/>
      <c r="D986" s="61"/>
      <c r="E986" s="61"/>
    </row>
    <row r="987">
      <c r="B987" s="61"/>
      <c r="C987" s="61"/>
      <c r="D987" s="61"/>
      <c r="E987" s="61"/>
    </row>
    <row r="988">
      <c r="B988" s="61"/>
      <c r="C988" s="61"/>
      <c r="D988" s="61"/>
      <c r="E988" s="61"/>
    </row>
    <row r="989">
      <c r="B989" s="61"/>
      <c r="C989" s="61"/>
      <c r="D989" s="61"/>
      <c r="E989" s="61"/>
    </row>
    <row r="990">
      <c r="B990" s="61"/>
      <c r="C990" s="61"/>
      <c r="D990" s="61"/>
      <c r="E990" s="61"/>
    </row>
    <row r="991">
      <c r="B991" s="61"/>
      <c r="C991" s="61"/>
      <c r="D991" s="61"/>
      <c r="E991" s="61"/>
    </row>
    <row r="992">
      <c r="B992" s="61"/>
      <c r="C992" s="61"/>
      <c r="D992" s="61"/>
      <c r="E992" s="61"/>
    </row>
    <row r="993">
      <c r="B993" s="61"/>
      <c r="C993" s="61"/>
      <c r="D993" s="61"/>
      <c r="E993" s="61"/>
    </row>
    <row r="994">
      <c r="B994" s="61"/>
      <c r="C994" s="61"/>
      <c r="D994" s="61"/>
      <c r="E994" s="61"/>
    </row>
    <row r="995">
      <c r="B995" s="61"/>
      <c r="C995" s="61"/>
      <c r="D995" s="61"/>
      <c r="E995" s="61"/>
    </row>
    <row r="996">
      <c r="B996" s="61"/>
      <c r="C996" s="61"/>
      <c r="D996" s="61"/>
      <c r="E996" s="61"/>
    </row>
    <row r="997">
      <c r="B997" s="61"/>
      <c r="C997" s="61"/>
      <c r="D997" s="61"/>
      <c r="E997" s="61"/>
    </row>
    <row r="998">
      <c r="B998" s="61"/>
      <c r="C998" s="61"/>
      <c r="D998" s="61"/>
      <c r="E998" s="61"/>
    </row>
    <row r="999">
      <c r="B999" s="61"/>
      <c r="C999" s="61"/>
      <c r="D999" s="61"/>
      <c r="E999" s="61"/>
    </row>
    <row r="1000">
      <c r="B1000" s="61"/>
      <c r="C1000" s="61"/>
      <c r="D1000" s="61"/>
      <c r="E1000" s="61"/>
    </row>
  </sheetData>
  <mergeCells count="1">
    <mergeCell ref="A1:G1"/>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63"/>
    <col customWidth="1" min="2" max="2" width="55.38"/>
    <col customWidth="1" min="3" max="3" width="48.75"/>
    <col customWidth="1" min="4" max="4" width="18.75"/>
    <col customWidth="1" min="5" max="5" width="40.5"/>
    <col customWidth="1" min="6" max="6" width="40.13"/>
  </cols>
  <sheetData>
    <row r="1" ht="30.75" customHeight="1">
      <c r="A1" s="73" t="s">
        <v>33</v>
      </c>
    </row>
    <row r="2" ht="15.0" customHeight="1">
      <c r="A2" s="74"/>
      <c r="B2" s="74"/>
      <c r="C2" s="74"/>
      <c r="D2" s="74"/>
      <c r="E2" s="74"/>
      <c r="F2" s="74"/>
    </row>
    <row r="3">
      <c r="A3" s="75" t="s">
        <v>27</v>
      </c>
      <c r="B3" s="75" t="s">
        <v>34</v>
      </c>
      <c r="C3" s="75" t="s">
        <v>35</v>
      </c>
      <c r="D3" s="75" t="s">
        <v>36</v>
      </c>
      <c r="E3" s="75" t="s">
        <v>37</v>
      </c>
      <c r="F3" s="75" t="s">
        <v>38</v>
      </c>
    </row>
    <row r="4">
      <c r="A4" s="76" t="s">
        <v>39</v>
      </c>
      <c r="B4" s="77" t="s">
        <v>40</v>
      </c>
      <c r="C4" s="8"/>
      <c r="D4" s="8"/>
      <c r="E4" s="8"/>
      <c r="F4" s="6"/>
    </row>
    <row r="5" ht="20.25" customHeight="1">
      <c r="A5" s="78"/>
      <c r="B5" s="79" t="s">
        <v>41</v>
      </c>
      <c r="C5" s="80" t="s">
        <v>42</v>
      </c>
      <c r="D5" s="81" t="s">
        <v>43</v>
      </c>
      <c r="E5" s="82" t="s">
        <v>44</v>
      </c>
      <c r="F5" s="82" t="s">
        <v>45</v>
      </c>
    </row>
    <row r="6" ht="21.75" customHeight="1">
      <c r="A6" s="78"/>
      <c r="B6" s="78"/>
      <c r="C6" s="78"/>
      <c r="D6" s="78"/>
      <c r="E6" s="78"/>
      <c r="F6" s="78"/>
    </row>
    <row r="7" ht="23.25" customHeight="1">
      <c r="A7" s="78"/>
      <c r="B7" s="78"/>
      <c r="C7" s="78"/>
      <c r="D7" s="78"/>
      <c r="E7" s="78"/>
      <c r="F7" s="78"/>
    </row>
    <row r="8" ht="296.25" customHeight="1">
      <c r="A8" s="83"/>
      <c r="B8" s="83"/>
      <c r="C8" s="83"/>
      <c r="D8" s="83"/>
      <c r="E8" s="83"/>
      <c r="F8" s="83"/>
    </row>
    <row r="9">
      <c r="A9" s="84" t="s">
        <v>46</v>
      </c>
      <c r="B9" s="77" t="s">
        <v>47</v>
      </c>
      <c r="C9" s="8"/>
      <c r="D9" s="8"/>
      <c r="E9" s="8"/>
      <c r="F9" s="6"/>
    </row>
    <row r="10">
      <c r="A10" s="78"/>
      <c r="B10" s="79" t="s">
        <v>48</v>
      </c>
      <c r="C10" s="80" t="s">
        <v>49</v>
      </c>
      <c r="D10" s="81" t="s">
        <v>43</v>
      </c>
      <c r="E10" s="82" t="s">
        <v>44</v>
      </c>
      <c r="F10" s="82" t="s">
        <v>45</v>
      </c>
    </row>
    <row r="11">
      <c r="A11" s="78"/>
      <c r="B11" s="78"/>
      <c r="C11" s="78"/>
      <c r="D11" s="78"/>
      <c r="E11" s="78"/>
      <c r="F11" s="78"/>
    </row>
    <row r="12">
      <c r="A12" s="78"/>
      <c r="B12" s="78"/>
      <c r="C12" s="78"/>
      <c r="D12" s="78"/>
      <c r="E12" s="78"/>
      <c r="F12" s="78"/>
    </row>
    <row r="13" ht="362.25" customHeight="1">
      <c r="A13" s="83"/>
      <c r="B13" s="83"/>
      <c r="C13" s="83"/>
      <c r="D13" s="83"/>
      <c r="E13" s="83"/>
      <c r="F13" s="83"/>
    </row>
    <row r="14" ht="22.5" customHeight="1">
      <c r="A14" s="84" t="s">
        <v>50</v>
      </c>
      <c r="B14" s="77" t="s">
        <v>51</v>
      </c>
      <c r="C14" s="8"/>
      <c r="D14" s="8"/>
      <c r="E14" s="8"/>
      <c r="F14" s="6"/>
    </row>
    <row r="15">
      <c r="A15" s="78"/>
      <c r="B15" s="79" t="s">
        <v>52</v>
      </c>
      <c r="C15" s="80" t="s">
        <v>53</v>
      </c>
      <c r="D15" s="81" t="s">
        <v>43</v>
      </c>
      <c r="E15" s="82" t="s">
        <v>44</v>
      </c>
      <c r="F15" s="82" t="s">
        <v>45</v>
      </c>
    </row>
    <row r="16">
      <c r="A16" s="78"/>
      <c r="B16" s="78"/>
      <c r="C16" s="78"/>
      <c r="D16" s="78"/>
      <c r="E16" s="78"/>
      <c r="F16" s="78"/>
    </row>
    <row r="17">
      <c r="A17" s="78"/>
      <c r="B17" s="78"/>
      <c r="C17" s="78"/>
      <c r="D17" s="78"/>
      <c r="E17" s="78"/>
      <c r="F17" s="78"/>
    </row>
    <row r="18" ht="487.5" customHeight="1">
      <c r="A18" s="83"/>
      <c r="B18" s="83"/>
      <c r="C18" s="83"/>
      <c r="D18" s="83"/>
      <c r="E18" s="83"/>
      <c r="F18" s="83"/>
    </row>
    <row r="19">
      <c r="A19" s="84" t="s">
        <v>54</v>
      </c>
      <c r="B19" s="77" t="s">
        <v>55</v>
      </c>
      <c r="C19" s="8"/>
      <c r="D19" s="8"/>
      <c r="E19" s="8"/>
      <c r="F19" s="6"/>
    </row>
    <row r="20">
      <c r="A20" s="78"/>
      <c r="B20" s="79" t="s">
        <v>56</v>
      </c>
      <c r="C20" s="80" t="s">
        <v>57</v>
      </c>
      <c r="D20" s="81" t="s">
        <v>43</v>
      </c>
      <c r="E20" s="82" t="s">
        <v>44</v>
      </c>
      <c r="F20" s="82" t="s">
        <v>45</v>
      </c>
    </row>
    <row r="21">
      <c r="A21" s="78"/>
      <c r="B21" s="78"/>
      <c r="C21" s="78"/>
      <c r="D21" s="78"/>
      <c r="E21" s="78"/>
      <c r="F21" s="78"/>
    </row>
    <row r="22">
      <c r="A22" s="78"/>
      <c r="B22" s="78"/>
      <c r="C22" s="78"/>
      <c r="D22" s="78"/>
      <c r="E22" s="78"/>
      <c r="F22" s="78"/>
    </row>
    <row r="23" ht="74.25" customHeight="1">
      <c r="A23" s="83"/>
      <c r="B23" s="83"/>
      <c r="C23" s="83"/>
      <c r="D23" s="83"/>
      <c r="E23" s="83"/>
      <c r="F23" s="83"/>
    </row>
    <row r="24">
      <c r="A24" s="74"/>
      <c r="B24" s="74"/>
      <c r="C24" s="74"/>
      <c r="D24" s="74"/>
      <c r="E24" s="74"/>
      <c r="F24" s="74"/>
    </row>
    <row r="25">
      <c r="A25" s="74"/>
      <c r="B25" s="74"/>
      <c r="C25" s="74"/>
      <c r="D25" s="74"/>
      <c r="E25" s="74"/>
      <c r="F25" s="74"/>
    </row>
    <row r="26">
      <c r="A26" s="74"/>
      <c r="B26" s="74"/>
      <c r="C26" s="74"/>
      <c r="D26" s="74"/>
      <c r="E26" s="74"/>
      <c r="F26" s="74"/>
    </row>
    <row r="27">
      <c r="A27" s="74"/>
      <c r="B27" s="74"/>
      <c r="C27" s="74"/>
      <c r="D27" s="74"/>
      <c r="E27" s="74"/>
      <c r="F27" s="74"/>
    </row>
    <row r="28">
      <c r="A28" s="74"/>
      <c r="B28" s="74"/>
      <c r="C28" s="74"/>
      <c r="D28" s="74"/>
      <c r="E28" s="74"/>
      <c r="F28" s="74"/>
    </row>
    <row r="29">
      <c r="A29" s="74"/>
      <c r="B29" s="74"/>
      <c r="C29" s="74"/>
      <c r="D29" s="74"/>
      <c r="E29" s="74"/>
      <c r="F29" s="74"/>
    </row>
    <row r="30">
      <c r="A30" s="74"/>
      <c r="B30" s="74"/>
      <c r="C30" s="74"/>
      <c r="D30" s="74"/>
      <c r="E30" s="74"/>
      <c r="F30" s="74"/>
    </row>
    <row r="31">
      <c r="A31" s="74"/>
      <c r="B31" s="74"/>
      <c r="C31" s="74"/>
      <c r="D31" s="74"/>
      <c r="E31" s="74"/>
      <c r="F31" s="74"/>
    </row>
    <row r="32">
      <c r="A32" s="74"/>
      <c r="B32" s="74"/>
      <c r="C32" s="74"/>
      <c r="D32" s="74"/>
      <c r="E32" s="74"/>
      <c r="F32" s="74"/>
    </row>
    <row r="33">
      <c r="A33" s="74"/>
      <c r="B33" s="74"/>
      <c r="C33" s="74"/>
      <c r="D33" s="74"/>
      <c r="E33" s="74"/>
      <c r="F33" s="74"/>
    </row>
    <row r="34">
      <c r="A34" s="74"/>
      <c r="B34" s="74"/>
      <c r="C34" s="74"/>
      <c r="D34" s="74"/>
      <c r="E34" s="74"/>
      <c r="F34" s="74"/>
    </row>
    <row r="35">
      <c r="A35" s="74"/>
      <c r="B35" s="74"/>
      <c r="C35" s="74"/>
      <c r="D35" s="74"/>
      <c r="E35" s="74"/>
      <c r="F35" s="74"/>
    </row>
    <row r="36">
      <c r="A36" s="74"/>
      <c r="B36" s="74"/>
      <c r="C36" s="74"/>
      <c r="D36" s="74"/>
      <c r="E36" s="74"/>
      <c r="F36" s="74"/>
    </row>
    <row r="37">
      <c r="A37" s="74"/>
      <c r="B37" s="74"/>
      <c r="C37" s="74"/>
      <c r="D37" s="74"/>
      <c r="E37" s="74"/>
      <c r="F37" s="74"/>
    </row>
    <row r="38">
      <c r="A38" s="74"/>
      <c r="B38" s="74"/>
      <c r="C38" s="74"/>
      <c r="D38" s="74"/>
      <c r="E38" s="74"/>
      <c r="F38" s="74"/>
    </row>
    <row r="39">
      <c r="A39" s="74"/>
      <c r="B39" s="74"/>
      <c r="C39" s="74"/>
      <c r="D39" s="74"/>
      <c r="E39" s="74"/>
      <c r="F39" s="74"/>
    </row>
    <row r="40">
      <c r="A40" s="74"/>
      <c r="B40" s="74"/>
      <c r="C40" s="74"/>
      <c r="D40" s="74"/>
      <c r="E40" s="74"/>
      <c r="F40" s="74"/>
    </row>
    <row r="41">
      <c r="A41" s="74"/>
      <c r="B41" s="74"/>
      <c r="C41" s="74"/>
      <c r="D41" s="74"/>
      <c r="E41" s="74"/>
      <c r="F41" s="74"/>
    </row>
    <row r="42">
      <c r="A42" s="74"/>
      <c r="B42" s="74"/>
      <c r="C42" s="74"/>
      <c r="D42" s="74"/>
      <c r="E42" s="74"/>
      <c r="F42" s="74"/>
    </row>
    <row r="43">
      <c r="A43" s="74"/>
      <c r="B43" s="74"/>
      <c r="C43" s="74"/>
      <c r="D43" s="74"/>
      <c r="E43" s="74"/>
      <c r="F43" s="74"/>
    </row>
    <row r="44">
      <c r="A44" s="74"/>
      <c r="B44" s="74"/>
      <c r="C44" s="74"/>
      <c r="D44" s="74"/>
      <c r="E44" s="74"/>
      <c r="F44" s="74"/>
    </row>
    <row r="45">
      <c r="A45" s="74"/>
      <c r="B45" s="74"/>
      <c r="C45" s="74"/>
      <c r="D45" s="74"/>
      <c r="E45" s="74"/>
      <c r="F45" s="74"/>
    </row>
    <row r="46">
      <c r="A46" s="74"/>
      <c r="B46" s="74"/>
      <c r="C46" s="74"/>
      <c r="D46" s="74"/>
      <c r="E46" s="74"/>
      <c r="F46" s="74"/>
    </row>
    <row r="47">
      <c r="A47" s="74"/>
      <c r="B47" s="74"/>
      <c r="C47" s="74"/>
      <c r="D47" s="74"/>
      <c r="E47" s="74"/>
      <c r="F47" s="74"/>
    </row>
    <row r="48">
      <c r="A48" s="74"/>
      <c r="B48" s="74"/>
      <c r="C48" s="74"/>
      <c r="D48" s="74"/>
      <c r="E48" s="74"/>
      <c r="F48" s="74"/>
    </row>
    <row r="49">
      <c r="A49" s="74"/>
      <c r="B49" s="74"/>
      <c r="C49" s="74"/>
      <c r="D49" s="74"/>
      <c r="E49" s="74"/>
      <c r="F49" s="74"/>
    </row>
    <row r="50">
      <c r="A50" s="74"/>
      <c r="B50" s="74"/>
      <c r="C50" s="74"/>
      <c r="D50" s="74"/>
      <c r="E50" s="74"/>
      <c r="F50" s="74"/>
    </row>
    <row r="51">
      <c r="A51" s="74"/>
      <c r="B51" s="74"/>
      <c r="C51" s="74"/>
      <c r="D51" s="74"/>
      <c r="E51" s="74"/>
      <c r="F51" s="74"/>
    </row>
    <row r="52">
      <c r="A52" s="74"/>
      <c r="B52" s="74"/>
      <c r="C52" s="74"/>
      <c r="D52" s="74"/>
      <c r="E52" s="74"/>
      <c r="F52" s="74"/>
    </row>
    <row r="53">
      <c r="A53" s="74"/>
      <c r="B53" s="74"/>
      <c r="C53" s="74"/>
      <c r="D53" s="74"/>
      <c r="E53" s="74"/>
      <c r="F53" s="74"/>
    </row>
    <row r="54">
      <c r="A54" s="74"/>
      <c r="B54" s="74"/>
      <c r="C54" s="74"/>
      <c r="D54" s="74"/>
      <c r="E54" s="74"/>
      <c r="F54" s="74"/>
    </row>
    <row r="55">
      <c r="A55" s="74"/>
      <c r="B55" s="74"/>
      <c r="C55" s="74"/>
      <c r="D55" s="74"/>
      <c r="E55" s="74"/>
      <c r="F55" s="74"/>
    </row>
    <row r="56">
      <c r="A56" s="74"/>
      <c r="B56" s="74"/>
      <c r="C56" s="74"/>
      <c r="D56" s="74"/>
      <c r="E56" s="74"/>
      <c r="F56" s="74"/>
    </row>
    <row r="57">
      <c r="A57" s="74"/>
      <c r="B57" s="74"/>
      <c r="C57" s="74"/>
      <c r="D57" s="74"/>
      <c r="E57" s="74"/>
      <c r="F57" s="74"/>
    </row>
    <row r="58">
      <c r="A58" s="74"/>
      <c r="B58" s="74"/>
      <c r="C58" s="74"/>
      <c r="D58" s="74"/>
      <c r="E58" s="74"/>
      <c r="F58" s="74"/>
    </row>
    <row r="59">
      <c r="A59" s="74"/>
      <c r="B59" s="74"/>
      <c r="C59" s="74"/>
      <c r="D59" s="74"/>
      <c r="E59" s="74"/>
      <c r="F59" s="74"/>
    </row>
    <row r="60">
      <c r="A60" s="74"/>
      <c r="B60" s="74"/>
      <c r="C60" s="74"/>
      <c r="D60" s="74"/>
      <c r="E60" s="74"/>
      <c r="F60" s="74"/>
    </row>
    <row r="61">
      <c r="A61" s="74"/>
      <c r="B61" s="74"/>
      <c r="C61" s="74"/>
      <c r="D61" s="74"/>
      <c r="E61" s="74"/>
      <c r="F61" s="74"/>
    </row>
    <row r="62">
      <c r="A62" s="74"/>
      <c r="B62" s="74"/>
      <c r="C62" s="74"/>
      <c r="D62" s="74"/>
      <c r="E62" s="74"/>
      <c r="F62" s="74"/>
    </row>
    <row r="63">
      <c r="A63" s="74"/>
      <c r="B63" s="74"/>
      <c r="C63" s="74"/>
      <c r="D63" s="74"/>
      <c r="E63" s="74"/>
      <c r="F63" s="74"/>
    </row>
    <row r="64">
      <c r="A64" s="74"/>
      <c r="B64" s="74"/>
      <c r="C64" s="74"/>
      <c r="D64" s="74"/>
      <c r="E64" s="74"/>
      <c r="F64" s="74"/>
    </row>
    <row r="65">
      <c r="A65" s="74"/>
      <c r="B65" s="74"/>
      <c r="C65" s="74"/>
      <c r="D65" s="74"/>
      <c r="E65" s="74"/>
      <c r="F65" s="74"/>
    </row>
    <row r="66">
      <c r="A66" s="74"/>
      <c r="B66" s="74"/>
      <c r="C66" s="74"/>
      <c r="D66" s="74"/>
      <c r="E66" s="74"/>
      <c r="F66" s="74"/>
    </row>
    <row r="67">
      <c r="A67" s="74"/>
      <c r="B67" s="74"/>
      <c r="C67" s="74"/>
      <c r="D67" s="74"/>
      <c r="E67" s="74"/>
      <c r="F67" s="74"/>
    </row>
    <row r="68">
      <c r="A68" s="74"/>
      <c r="B68" s="74"/>
      <c r="C68" s="74"/>
      <c r="D68" s="74"/>
      <c r="E68" s="74"/>
      <c r="F68" s="74"/>
    </row>
    <row r="69">
      <c r="A69" s="74"/>
      <c r="B69" s="74"/>
      <c r="C69" s="74"/>
      <c r="D69" s="74"/>
      <c r="E69" s="74"/>
      <c r="F69" s="74"/>
    </row>
    <row r="70">
      <c r="A70" s="74"/>
      <c r="B70" s="74"/>
      <c r="C70" s="74"/>
      <c r="D70" s="74"/>
      <c r="E70" s="74"/>
      <c r="F70" s="74"/>
    </row>
    <row r="71">
      <c r="A71" s="74"/>
      <c r="B71" s="74"/>
      <c r="C71" s="74"/>
      <c r="D71" s="74"/>
      <c r="E71" s="74"/>
      <c r="F71" s="74"/>
    </row>
    <row r="72">
      <c r="A72" s="74"/>
      <c r="B72" s="74"/>
      <c r="C72" s="74"/>
      <c r="D72" s="74"/>
      <c r="E72" s="74"/>
      <c r="F72" s="74"/>
    </row>
    <row r="73">
      <c r="A73" s="74"/>
      <c r="B73" s="74"/>
      <c r="C73" s="74"/>
      <c r="D73" s="74"/>
      <c r="E73" s="74"/>
      <c r="F73" s="74"/>
    </row>
    <row r="74">
      <c r="A74" s="74"/>
      <c r="B74" s="74"/>
      <c r="C74" s="74"/>
      <c r="D74" s="74"/>
      <c r="E74" s="74"/>
      <c r="F74" s="74"/>
    </row>
    <row r="75">
      <c r="A75" s="74"/>
      <c r="B75" s="74"/>
      <c r="C75" s="74"/>
      <c r="D75" s="74"/>
      <c r="E75" s="74"/>
      <c r="F75" s="74"/>
    </row>
    <row r="76">
      <c r="A76" s="74"/>
      <c r="B76" s="74"/>
      <c r="C76" s="74"/>
      <c r="D76" s="74"/>
      <c r="E76" s="74"/>
      <c r="F76" s="74"/>
    </row>
    <row r="77">
      <c r="A77" s="74"/>
      <c r="B77" s="74"/>
      <c r="C77" s="74"/>
      <c r="D77" s="74"/>
      <c r="E77" s="74"/>
      <c r="F77" s="74"/>
    </row>
    <row r="78">
      <c r="A78" s="74"/>
      <c r="B78" s="74"/>
      <c r="C78" s="74"/>
      <c r="D78" s="74"/>
      <c r="E78" s="74"/>
      <c r="F78" s="74"/>
    </row>
    <row r="79">
      <c r="A79" s="74"/>
      <c r="B79" s="74"/>
      <c r="C79" s="74"/>
      <c r="D79" s="74"/>
      <c r="E79" s="74"/>
      <c r="F79" s="74"/>
    </row>
    <row r="80">
      <c r="A80" s="74"/>
      <c r="B80" s="74"/>
      <c r="C80" s="74"/>
      <c r="D80" s="74"/>
      <c r="E80" s="74"/>
      <c r="F80" s="74"/>
    </row>
    <row r="81">
      <c r="A81" s="74"/>
      <c r="B81" s="74"/>
      <c r="C81" s="74"/>
      <c r="D81" s="74"/>
      <c r="E81" s="74"/>
      <c r="F81" s="74"/>
    </row>
    <row r="82">
      <c r="A82" s="74"/>
      <c r="B82" s="74"/>
      <c r="C82" s="74"/>
      <c r="D82" s="74"/>
      <c r="E82" s="74"/>
      <c r="F82" s="74"/>
    </row>
    <row r="83">
      <c r="A83" s="74"/>
      <c r="B83" s="74"/>
      <c r="C83" s="74"/>
      <c r="D83" s="74"/>
      <c r="E83" s="74"/>
      <c r="F83" s="74"/>
    </row>
    <row r="84">
      <c r="A84" s="74"/>
      <c r="B84" s="74"/>
      <c r="C84" s="74"/>
      <c r="D84" s="74"/>
      <c r="E84" s="74"/>
      <c r="F84" s="74"/>
    </row>
    <row r="85">
      <c r="A85" s="74"/>
      <c r="B85" s="74"/>
      <c r="C85" s="74"/>
      <c r="D85" s="74"/>
      <c r="E85" s="74"/>
      <c r="F85" s="74"/>
    </row>
    <row r="86">
      <c r="A86" s="74"/>
      <c r="B86" s="74"/>
      <c r="C86" s="74"/>
      <c r="D86" s="74"/>
      <c r="E86" s="74"/>
      <c r="F86" s="74"/>
    </row>
    <row r="87">
      <c r="A87" s="74"/>
      <c r="B87" s="74"/>
      <c r="C87" s="74"/>
      <c r="D87" s="74"/>
      <c r="E87" s="74"/>
      <c r="F87" s="74"/>
    </row>
    <row r="88">
      <c r="A88" s="74"/>
      <c r="B88" s="74"/>
      <c r="C88" s="74"/>
      <c r="D88" s="74"/>
      <c r="E88" s="74"/>
      <c r="F88" s="74"/>
    </row>
    <row r="89">
      <c r="A89" s="74"/>
      <c r="B89" s="74"/>
      <c r="C89" s="74"/>
      <c r="D89" s="74"/>
      <c r="E89" s="74"/>
      <c r="F89" s="74"/>
    </row>
    <row r="90">
      <c r="A90" s="74"/>
      <c r="B90" s="74"/>
      <c r="C90" s="74"/>
      <c r="D90" s="74"/>
      <c r="E90" s="74"/>
      <c r="F90" s="74"/>
    </row>
    <row r="91">
      <c r="A91" s="74"/>
      <c r="B91" s="74"/>
      <c r="C91" s="74"/>
      <c r="D91" s="74"/>
      <c r="E91" s="74"/>
      <c r="F91" s="74"/>
    </row>
    <row r="92">
      <c r="A92" s="74"/>
      <c r="B92" s="74"/>
      <c r="C92" s="74"/>
      <c r="D92" s="74"/>
      <c r="E92" s="74"/>
      <c r="F92" s="74"/>
    </row>
    <row r="93">
      <c r="A93" s="74"/>
      <c r="B93" s="74"/>
      <c r="C93" s="74"/>
      <c r="D93" s="74"/>
      <c r="E93" s="74"/>
      <c r="F93" s="74"/>
    </row>
    <row r="94">
      <c r="A94" s="74"/>
      <c r="B94" s="74"/>
      <c r="C94" s="74"/>
      <c r="D94" s="74"/>
      <c r="E94" s="74"/>
      <c r="F94" s="74"/>
    </row>
    <row r="95">
      <c r="A95" s="74"/>
      <c r="B95" s="74"/>
      <c r="C95" s="74"/>
      <c r="D95" s="74"/>
      <c r="E95" s="74"/>
      <c r="F95" s="74"/>
    </row>
    <row r="96">
      <c r="A96" s="74"/>
      <c r="B96" s="74"/>
      <c r="C96" s="74"/>
      <c r="D96" s="74"/>
      <c r="E96" s="74"/>
      <c r="F96" s="74"/>
    </row>
    <row r="97">
      <c r="A97" s="74"/>
      <c r="B97" s="74"/>
      <c r="C97" s="74"/>
      <c r="D97" s="74"/>
      <c r="E97" s="74"/>
      <c r="F97" s="74"/>
    </row>
    <row r="98">
      <c r="A98" s="74"/>
      <c r="B98" s="74"/>
      <c r="C98" s="74"/>
      <c r="D98" s="74"/>
      <c r="E98" s="74"/>
      <c r="F98" s="74"/>
    </row>
    <row r="99">
      <c r="A99" s="74"/>
      <c r="B99" s="74"/>
      <c r="C99" s="74"/>
      <c r="D99" s="74"/>
      <c r="E99" s="74"/>
      <c r="F99" s="74"/>
    </row>
    <row r="100">
      <c r="A100" s="74"/>
      <c r="B100" s="74"/>
      <c r="C100" s="74"/>
      <c r="D100" s="74"/>
      <c r="E100" s="74"/>
      <c r="F100" s="74"/>
    </row>
    <row r="101">
      <c r="A101" s="74"/>
      <c r="B101" s="74"/>
      <c r="C101" s="74"/>
      <c r="D101" s="74"/>
      <c r="E101" s="74"/>
      <c r="F101" s="74"/>
    </row>
    <row r="102">
      <c r="A102" s="74"/>
      <c r="B102" s="74"/>
      <c r="C102" s="74"/>
      <c r="D102" s="74"/>
      <c r="E102" s="74"/>
      <c r="F102" s="74"/>
    </row>
    <row r="103">
      <c r="A103" s="74"/>
      <c r="B103" s="74"/>
      <c r="C103" s="74"/>
      <c r="D103" s="74"/>
      <c r="E103" s="74"/>
      <c r="F103" s="74"/>
    </row>
    <row r="104">
      <c r="A104" s="74"/>
      <c r="B104" s="74"/>
      <c r="C104" s="74"/>
      <c r="D104" s="74"/>
      <c r="E104" s="74"/>
      <c r="F104" s="74"/>
    </row>
    <row r="105">
      <c r="A105" s="74"/>
      <c r="B105" s="74"/>
      <c r="C105" s="74"/>
      <c r="D105" s="74"/>
      <c r="E105" s="74"/>
      <c r="F105" s="74"/>
    </row>
    <row r="106">
      <c r="A106" s="74"/>
      <c r="B106" s="74"/>
      <c r="C106" s="74"/>
      <c r="D106" s="74"/>
      <c r="E106" s="74"/>
      <c r="F106" s="74"/>
    </row>
    <row r="107">
      <c r="A107" s="74"/>
      <c r="B107" s="74"/>
      <c r="C107" s="74"/>
      <c r="D107" s="74"/>
      <c r="E107" s="74"/>
      <c r="F107" s="74"/>
    </row>
    <row r="108">
      <c r="A108" s="74"/>
      <c r="B108" s="74"/>
      <c r="C108" s="74"/>
      <c r="D108" s="74"/>
      <c r="E108" s="74"/>
      <c r="F108" s="74"/>
    </row>
    <row r="109">
      <c r="A109" s="74"/>
      <c r="B109" s="74"/>
      <c r="C109" s="74"/>
      <c r="D109" s="74"/>
      <c r="E109" s="74"/>
      <c r="F109" s="74"/>
    </row>
    <row r="110">
      <c r="A110" s="74"/>
      <c r="B110" s="74"/>
      <c r="C110" s="74"/>
      <c r="D110" s="74"/>
      <c r="E110" s="74"/>
      <c r="F110" s="74"/>
    </row>
    <row r="111">
      <c r="A111" s="74"/>
      <c r="B111" s="74"/>
      <c r="C111" s="74"/>
      <c r="D111" s="74"/>
      <c r="E111" s="74"/>
      <c r="F111" s="74"/>
    </row>
    <row r="112">
      <c r="A112" s="74"/>
      <c r="B112" s="74"/>
      <c r="C112" s="74"/>
      <c r="D112" s="74"/>
      <c r="E112" s="74"/>
      <c r="F112" s="74"/>
    </row>
    <row r="113">
      <c r="A113" s="74"/>
      <c r="B113" s="74"/>
      <c r="C113" s="74"/>
      <c r="D113" s="74"/>
      <c r="E113" s="74"/>
      <c r="F113" s="74"/>
    </row>
    <row r="114">
      <c r="A114" s="74"/>
      <c r="B114" s="74"/>
      <c r="C114" s="74"/>
      <c r="D114" s="74"/>
      <c r="E114" s="74"/>
      <c r="F114" s="74"/>
    </row>
    <row r="115">
      <c r="A115" s="74"/>
      <c r="B115" s="74"/>
      <c r="C115" s="74"/>
      <c r="D115" s="74"/>
      <c r="E115" s="74"/>
      <c r="F115" s="74"/>
    </row>
    <row r="116">
      <c r="A116" s="74"/>
      <c r="B116" s="74"/>
      <c r="C116" s="74"/>
      <c r="D116" s="74"/>
      <c r="E116" s="74"/>
      <c r="F116" s="74"/>
    </row>
    <row r="117">
      <c r="A117" s="74"/>
      <c r="B117" s="74"/>
      <c r="C117" s="74"/>
      <c r="D117" s="74"/>
      <c r="E117" s="74"/>
      <c r="F117" s="74"/>
    </row>
    <row r="118">
      <c r="A118" s="74"/>
      <c r="B118" s="74"/>
      <c r="C118" s="74"/>
      <c r="D118" s="74"/>
      <c r="E118" s="74"/>
      <c r="F118" s="74"/>
    </row>
    <row r="119">
      <c r="A119" s="74"/>
      <c r="B119" s="74"/>
      <c r="C119" s="74"/>
      <c r="D119" s="74"/>
      <c r="E119" s="74"/>
      <c r="F119" s="74"/>
    </row>
    <row r="120">
      <c r="A120" s="74"/>
      <c r="B120" s="74"/>
      <c r="C120" s="74"/>
      <c r="D120" s="74"/>
      <c r="E120" s="74"/>
      <c r="F120" s="74"/>
    </row>
    <row r="121">
      <c r="A121" s="74"/>
      <c r="B121" s="74"/>
      <c r="C121" s="74"/>
      <c r="D121" s="74"/>
      <c r="E121" s="74"/>
      <c r="F121" s="74"/>
    </row>
    <row r="122">
      <c r="A122" s="74"/>
      <c r="B122" s="74"/>
      <c r="C122" s="74"/>
      <c r="D122" s="74"/>
      <c r="E122" s="74"/>
      <c r="F122" s="74"/>
    </row>
    <row r="123">
      <c r="A123" s="74"/>
      <c r="B123" s="74"/>
      <c r="C123" s="74"/>
      <c r="D123" s="74"/>
      <c r="E123" s="74"/>
      <c r="F123" s="74"/>
    </row>
    <row r="124">
      <c r="A124" s="74"/>
      <c r="B124" s="74"/>
      <c r="C124" s="74"/>
      <c r="D124" s="74"/>
      <c r="E124" s="74"/>
      <c r="F124" s="74"/>
    </row>
    <row r="125">
      <c r="A125" s="74"/>
      <c r="B125" s="74"/>
      <c r="C125" s="74"/>
      <c r="D125" s="74"/>
      <c r="E125" s="74"/>
      <c r="F125" s="74"/>
    </row>
    <row r="126">
      <c r="A126" s="74"/>
      <c r="B126" s="74"/>
      <c r="C126" s="74"/>
      <c r="D126" s="74"/>
      <c r="E126" s="74"/>
      <c r="F126" s="74"/>
    </row>
    <row r="127">
      <c r="A127" s="74"/>
      <c r="B127" s="74"/>
      <c r="C127" s="74"/>
      <c r="D127" s="74"/>
      <c r="E127" s="74"/>
      <c r="F127" s="74"/>
    </row>
    <row r="128">
      <c r="A128" s="74"/>
      <c r="B128" s="74"/>
      <c r="C128" s="74"/>
      <c r="D128" s="74"/>
      <c r="E128" s="74"/>
      <c r="F128" s="74"/>
    </row>
    <row r="129">
      <c r="A129" s="74"/>
      <c r="B129" s="74"/>
      <c r="C129" s="74"/>
      <c r="D129" s="74"/>
      <c r="E129" s="74"/>
      <c r="F129" s="74"/>
    </row>
    <row r="130">
      <c r="A130" s="74"/>
      <c r="B130" s="74"/>
      <c r="C130" s="74"/>
      <c r="D130" s="74"/>
      <c r="E130" s="74"/>
      <c r="F130" s="74"/>
    </row>
    <row r="131">
      <c r="A131" s="74"/>
      <c r="B131" s="74"/>
      <c r="C131" s="74"/>
      <c r="D131" s="74"/>
      <c r="E131" s="74"/>
      <c r="F131" s="74"/>
    </row>
    <row r="132">
      <c r="A132" s="74"/>
      <c r="B132" s="74"/>
      <c r="C132" s="74"/>
      <c r="D132" s="74"/>
      <c r="E132" s="74"/>
      <c r="F132" s="74"/>
    </row>
    <row r="133">
      <c r="A133" s="74"/>
      <c r="B133" s="74"/>
      <c r="C133" s="74"/>
      <c r="D133" s="74"/>
      <c r="E133" s="74"/>
      <c r="F133" s="74"/>
    </row>
    <row r="134">
      <c r="A134" s="74"/>
      <c r="B134" s="74"/>
      <c r="C134" s="74"/>
      <c r="D134" s="74"/>
      <c r="E134" s="74"/>
      <c r="F134" s="74"/>
    </row>
    <row r="135">
      <c r="A135" s="74"/>
      <c r="B135" s="74"/>
      <c r="C135" s="74"/>
      <c r="D135" s="74"/>
      <c r="E135" s="74"/>
      <c r="F135" s="74"/>
    </row>
    <row r="136">
      <c r="A136" s="74"/>
      <c r="B136" s="74"/>
      <c r="C136" s="74"/>
      <c r="D136" s="74"/>
      <c r="E136" s="74"/>
      <c r="F136" s="74"/>
    </row>
    <row r="137">
      <c r="A137" s="74"/>
      <c r="B137" s="74"/>
      <c r="C137" s="74"/>
      <c r="D137" s="74"/>
      <c r="E137" s="74"/>
      <c r="F137" s="74"/>
    </row>
    <row r="138">
      <c r="A138" s="74"/>
      <c r="B138" s="74"/>
      <c r="C138" s="74"/>
      <c r="D138" s="74"/>
      <c r="E138" s="74"/>
      <c r="F138" s="74"/>
    </row>
    <row r="139">
      <c r="A139" s="74"/>
      <c r="B139" s="74"/>
      <c r="C139" s="74"/>
      <c r="D139" s="74"/>
      <c r="E139" s="74"/>
      <c r="F139" s="74"/>
    </row>
    <row r="140">
      <c r="A140" s="74"/>
      <c r="B140" s="74"/>
      <c r="C140" s="74"/>
      <c r="D140" s="74"/>
      <c r="E140" s="74"/>
      <c r="F140" s="74"/>
    </row>
    <row r="141">
      <c r="A141" s="74"/>
      <c r="B141" s="74"/>
      <c r="C141" s="74"/>
      <c r="D141" s="74"/>
      <c r="E141" s="74"/>
      <c r="F141" s="74"/>
    </row>
    <row r="142">
      <c r="A142" s="74"/>
      <c r="B142" s="74"/>
      <c r="C142" s="74"/>
      <c r="D142" s="74"/>
      <c r="E142" s="74"/>
      <c r="F142" s="74"/>
    </row>
    <row r="143">
      <c r="A143" s="74"/>
      <c r="B143" s="74"/>
      <c r="C143" s="74"/>
      <c r="D143" s="74"/>
      <c r="E143" s="74"/>
      <c r="F143" s="74"/>
    </row>
    <row r="144">
      <c r="A144" s="74"/>
      <c r="B144" s="74"/>
      <c r="C144" s="74"/>
      <c r="D144" s="74"/>
      <c r="E144" s="74"/>
      <c r="F144" s="74"/>
    </row>
    <row r="145">
      <c r="A145" s="74"/>
      <c r="B145" s="74"/>
      <c r="C145" s="74"/>
      <c r="D145" s="74"/>
      <c r="E145" s="74"/>
      <c r="F145" s="74"/>
    </row>
    <row r="146">
      <c r="A146" s="74"/>
      <c r="B146" s="74"/>
      <c r="C146" s="74"/>
      <c r="D146" s="74"/>
      <c r="E146" s="74"/>
      <c r="F146" s="74"/>
    </row>
    <row r="147">
      <c r="A147" s="74"/>
      <c r="B147" s="74"/>
      <c r="C147" s="74"/>
      <c r="D147" s="74"/>
      <c r="E147" s="74"/>
      <c r="F147" s="74"/>
    </row>
    <row r="148">
      <c r="A148" s="74"/>
      <c r="B148" s="74"/>
      <c r="C148" s="74"/>
      <c r="D148" s="74"/>
      <c r="E148" s="74"/>
      <c r="F148" s="74"/>
    </row>
    <row r="149">
      <c r="A149" s="74"/>
      <c r="B149" s="74"/>
      <c r="C149" s="74"/>
      <c r="D149" s="74"/>
      <c r="E149" s="74"/>
      <c r="F149" s="74"/>
    </row>
    <row r="150">
      <c r="A150" s="74"/>
      <c r="B150" s="74"/>
      <c r="C150" s="74"/>
      <c r="D150" s="74"/>
      <c r="E150" s="74"/>
      <c r="F150" s="74"/>
    </row>
    <row r="151">
      <c r="A151" s="74"/>
      <c r="B151" s="74"/>
      <c r="C151" s="74"/>
      <c r="D151" s="74"/>
      <c r="E151" s="74"/>
      <c r="F151" s="74"/>
    </row>
    <row r="152">
      <c r="A152" s="74"/>
      <c r="B152" s="74"/>
      <c r="C152" s="74"/>
      <c r="D152" s="74"/>
      <c r="E152" s="74"/>
      <c r="F152" s="74"/>
    </row>
    <row r="153">
      <c r="A153" s="74"/>
      <c r="B153" s="74"/>
      <c r="C153" s="74"/>
      <c r="D153" s="74"/>
      <c r="E153" s="74"/>
      <c r="F153" s="74"/>
    </row>
    <row r="154">
      <c r="A154" s="74"/>
      <c r="B154" s="74"/>
      <c r="C154" s="74"/>
      <c r="D154" s="74"/>
      <c r="E154" s="74"/>
      <c r="F154" s="74"/>
    </row>
    <row r="155">
      <c r="A155" s="74"/>
      <c r="B155" s="74"/>
      <c r="C155" s="74"/>
      <c r="D155" s="74"/>
      <c r="E155" s="74"/>
      <c r="F155" s="74"/>
    </row>
    <row r="156">
      <c r="A156" s="74"/>
      <c r="B156" s="74"/>
      <c r="C156" s="74"/>
      <c r="D156" s="74"/>
      <c r="E156" s="74"/>
      <c r="F156" s="74"/>
    </row>
    <row r="157">
      <c r="A157" s="74"/>
      <c r="B157" s="74"/>
      <c r="C157" s="74"/>
      <c r="D157" s="74"/>
      <c r="E157" s="74"/>
      <c r="F157" s="74"/>
    </row>
    <row r="158">
      <c r="A158" s="74"/>
      <c r="B158" s="74"/>
      <c r="C158" s="74"/>
      <c r="D158" s="74"/>
      <c r="E158" s="74"/>
      <c r="F158" s="74"/>
    </row>
    <row r="159">
      <c r="A159" s="74"/>
      <c r="B159" s="74"/>
      <c r="C159" s="74"/>
      <c r="D159" s="74"/>
      <c r="E159" s="74"/>
      <c r="F159" s="74"/>
    </row>
    <row r="160">
      <c r="A160" s="74"/>
      <c r="B160" s="74"/>
      <c r="C160" s="74"/>
      <c r="D160" s="74"/>
      <c r="E160" s="74"/>
      <c r="F160" s="74"/>
    </row>
    <row r="161">
      <c r="A161" s="74"/>
      <c r="B161" s="74"/>
      <c r="C161" s="74"/>
      <c r="D161" s="74"/>
      <c r="E161" s="74"/>
      <c r="F161" s="74"/>
    </row>
    <row r="162">
      <c r="A162" s="74"/>
      <c r="B162" s="74"/>
      <c r="C162" s="74"/>
      <c r="D162" s="74"/>
      <c r="E162" s="74"/>
      <c r="F162" s="74"/>
    </row>
    <row r="163">
      <c r="A163" s="74"/>
      <c r="B163" s="74"/>
      <c r="C163" s="74"/>
      <c r="D163" s="74"/>
      <c r="E163" s="74"/>
      <c r="F163" s="74"/>
    </row>
    <row r="164">
      <c r="A164" s="74"/>
      <c r="B164" s="74"/>
      <c r="C164" s="74"/>
      <c r="D164" s="74"/>
      <c r="E164" s="74"/>
      <c r="F164" s="74"/>
    </row>
    <row r="165">
      <c r="A165" s="74"/>
      <c r="B165" s="74"/>
      <c r="C165" s="74"/>
      <c r="D165" s="74"/>
      <c r="E165" s="74"/>
      <c r="F165" s="74"/>
    </row>
    <row r="166">
      <c r="A166" s="74"/>
      <c r="B166" s="74"/>
      <c r="C166" s="74"/>
      <c r="D166" s="74"/>
      <c r="E166" s="74"/>
      <c r="F166" s="74"/>
    </row>
    <row r="167">
      <c r="A167" s="74"/>
      <c r="B167" s="74"/>
      <c r="C167" s="74"/>
      <c r="D167" s="74"/>
      <c r="E167" s="74"/>
      <c r="F167" s="74"/>
    </row>
    <row r="168">
      <c r="A168" s="74"/>
      <c r="B168" s="74"/>
      <c r="C168" s="74"/>
      <c r="D168" s="74"/>
      <c r="E168" s="74"/>
      <c r="F168" s="74"/>
    </row>
    <row r="169">
      <c r="A169" s="74"/>
      <c r="B169" s="74"/>
      <c r="C169" s="74"/>
      <c r="D169" s="74"/>
      <c r="E169" s="74"/>
      <c r="F169" s="74"/>
    </row>
    <row r="170">
      <c r="A170" s="74"/>
      <c r="B170" s="74"/>
      <c r="C170" s="74"/>
      <c r="D170" s="74"/>
      <c r="E170" s="74"/>
      <c r="F170" s="74"/>
    </row>
    <row r="171">
      <c r="A171" s="74"/>
      <c r="B171" s="74"/>
      <c r="C171" s="74"/>
      <c r="D171" s="74"/>
      <c r="E171" s="74"/>
      <c r="F171" s="74"/>
    </row>
    <row r="172">
      <c r="A172" s="74"/>
      <c r="B172" s="74"/>
      <c r="C172" s="74"/>
      <c r="D172" s="74"/>
      <c r="E172" s="74"/>
      <c r="F172" s="74"/>
    </row>
    <row r="173">
      <c r="A173" s="74"/>
      <c r="B173" s="74"/>
      <c r="C173" s="74"/>
      <c r="D173" s="74"/>
      <c r="E173" s="74"/>
      <c r="F173" s="74"/>
    </row>
    <row r="174">
      <c r="A174" s="74"/>
      <c r="B174" s="74"/>
      <c r="C174" s="74"/>
      <c r="D174" s="74"/>
      <c r="E174" s="74"/>
      <c r="F174" s="74"/>
    </row>
    <row r="175">
      <c r="A175" s="74"/>
      <c r="B175" s="74"/>
      <c r="C175" s="74"/>
      <c r="D175" s="74"/>
      <c r="E175" s="74"/>
      <c r="F175" s="74"/>
    </row>
    <row r="176">
      <c r="A176" s="74"/>
      <c r="B176" s="74"/>
      <c r="C176" s="74"/>
      <c r="D176" s="74"/>
      <c r="E176" s="74"/>
      <c r="F176" s="74"/>
    </row>
    <row r="177">
      <c r="A177" s="74"/>
      <c r="B177" s="74"/>
      <c r="C177" s="74"/>
      <c r="D177" s="74"/>
      <c r="E177" s="74"/>
      <c r="F177" s="74"/>
    </row>
    <row r="178">
      <c r="A178" s="74"/>
      <c r="B178" s="74"/>
      <c r="C178" s="74"/>
      <c r="D178" s="74"/>
      <c r="E178" s="74"/>
      <c r="F178" s="74"/>
    </row>
    <row r="179">
      <c r="A179" s="74"/>
      <c r="B179" s="74"/>
      <c r="C179" s="74"/>
      <c r="D179" s="74"/>
      <c r="E179" s="74"/>
      <c r="F179" s="74"/>
    </row>
    <row r="180">
      <c r="A180" s="74"/>
      <c r="B180" s="74"/>
      <c r="C180" s="74"/>
      <c r="D180" s="74"/>
      <c r="E180" s="74"/>
      <c r="F180" s="74"/>
    </row>
    <row r="181">
      <c r="A181" s="74"/>
      <c r="B181" s="74"/>
      <c r="C181" s="74"/>
      <c r="D181" s="74"/>
      <c r="E181" s="74"/>
      <c r="F181" s="74"/>
    </row>
    <row r="182">
      <c r="A182" s="74"/>
      <c r="B182" s="74"/>
      <c r="C182" s="74"/>
      <c r="D182" s="74"/>
      <c r="E182" s="74"/>
      <c r="F182" s="74"/>
    </row>
    <row r="183">
      <c r="A183" s="74"/>
      <c r="B183" s="74"/>
      <c r="C183" s="74"/>
      <c r="D183" s="74"/>
      <c r="E183" s="74"/>
      <c r="F183" s="74"/>
    </row>
    <row r="184">
      <c r="A184" s="74"/>
      <c r="B184" s="74"/>
      <c r="C184" s="74"/>
      <c r="D184" s="74"/>
      <c r="E184" s="74"/>
      <c r="F184" s="74"/>
    </row>
    <row r="185">
      <c r="A185" s="74"/>
      <c r="B185" s="74"/>
      <c r="C185" s="74"/>
      <c r="D185" s="74"/>
      <c r="E185" s="74"/>
      <c r="F185" s="74"/>
    </row>
    <row r="186">
      <c r="A186" s="74"/>
      <c r="B186" s="74"/>
      <c r="C186" s="74"/>
      <c r="D186" s="74"/>
      <c r="E186" s="74"/>
      <c r="F186" s="74"/>
    </row>
    <row r="187">
      <c r="A187" s="74"/>
      <c r="B187" s="74"/>
      <c r="C187" s="74"/>
      <c r="D187" s="74"/>
      <c r="E187" s="74"/>
      <c r="F187" s="74"/>
    </row>
    <row r="188">
      <c r="A188" s="74"/>
      <c r="B188" s="74"/>
      <c r="C188" s="74"/>
      <c r="D188" s="74"/>
      <c r="E188" s="74"/>
      <c r="F188" s="74"/>
    </row>
    <row r="189">
      <c r="A189" s="74"/>
      <c r="B189" s="74"/>
      <c r="C189" s="74"/>
      <c r="D189" s="74"/>
      <c r="E189" s="74"/>
      <c r="F189" s="74"/>
    </row>
    <row r="190">
      <c r="A190" s="74"/>
      <c r="B190" s="74"/>
      <c r="C190" s="74"/>
      <c r="D190" s="74"/>
      <c r="E190" s="74"/>
      <c r="F190" s="74"/>
    </row>
    <row r="191">
      <c r="A191" s="74"/>
      <c r="B191" s="74"/>
      <c r="C191" s="74"/>
      <c r="D191" s="74"/>
      <c r="E191" s="74"/>
      <c r="F191" s="74"/>
    </row>
    <row r="192">
      <c r="A192" s="74"/>
      <c r="B192" s="74"/>
      <c r="C192" s="74"/>
      <c r="D192" s="74"/>
      <c r="E192" s="74"/>
      <c r="F192" s="74"/>
    </row>
    <row r="193">
      <c r="A193" s="74"/>
      <c r="B193" s="74"/>
      <c r="C193" s="74"/>
      <c r="D193" s="74"/>
      <c r="E193" s="74"/>
      <c r="F193" s="74"/>
    </row>
    <row r="194">
      <c r="A194" s="74"/>
      <c r="B194" s="74"/>
      <c r="C194" s="74"/>
      <c r="D194" s="74"/>
      <c r="E194" s="74"/>
      <c r="F194" s="74"/>
    </row>
    <row r="195">
      <c r="A195" s="74"/>
      <c r="B195" s="74"/>
      <c r="C195" s="74"/>
      <c r="D195" s="74"/>
      <c r="E195" s="74"/>
      <c r="F195" s="74"/>
    </row>
    <row r="196">
      <c r="A196" s="74"/>
      <c r="B196" s="74"/>
      <c r="C196" s="74"/>
      <c r="D196" s="74"/>
      <c r="E196" s="74"/>
      <c r="F196" s="74"/>
    </row>
    <row r="197">
      <c r="A197" s="74"/>
      <c r="B197" s="74"/>
      <c r="C197" s="74"/>
      <c r="D197" s="74"/>
      <c r="E197" s="74"/>
      <c r="F197" s="74"/>
    </row>
    <row r="198">
      <c r="A198" s="74"/>
      <c r="B198" s="74"/>
      <c r="C198" s="74"/>
      <c r="D198" s="74"/>
      <c r="E198" s="74"/>
      <c r="F198" s="74"/>
    </row>
    <row r="199">
      <c r="A199" s="74"/>
      <c r="B199" s="74"/>
      <c r="C199" s="74"/>
      <c r="D199" s="74"/>
      <c r="E199" s="74"/>
      <c r="F199" s="74"/>
    </row>
    <row r="200">
      <c r="A200" s="74"/>
      <c r="B200" s="74"/>
      <c r="C200" s="74"/>
      <c r="D200" s="74"/>
      <c r="E200" s="74"/>
      <c r="F200" s="74"/>
    </row>
    <row r="201">
      <c r="A201" s="74"/>
      <c r="B201" s="74"/>
      <c r="C201" s="74"/>
      <c r="D201" s="74"/>
      <c r="E201" s="74"/>
      <c r="F201" s="74"/>
    </row>
    <row r="202">
      <c r="A202" s="74"/>
      <c r="B202" s="74"/>
      <c r="C202" s="74"/>
      <c r="D202" s="74"/>
      <c r="E202" s="74"/>
      <c r="F202" s="74"/>
    </row>
    <row r="203">
      <c r="A203" s="74"/>
      <c r="B203" s="74"/>
      <c r="C203" s="74"/>
      <c r="D203" s="74"/>
      <c r="E203" s="74"/>
      <c r="F203" s="74"/>
    </row>
    <row r="204">
      <c r="A204" s="74"/>
      <c r="B204" s="74"/>
      <c r="C204" s="74"/>
      <c r="D204" s="74"/>
      <c r="E204" s="74"/>
      <c r="F204" s="74"/>
    </row>
    <row r="205">
      <c r="A205" s="74"/>
      <c r="B205" s="74"/>
      <c r="C205" s="74"/>
      <c r="D205" s="74"/>
      <c r="E205" s="74"/>
      <c r="F205" s="74"/>
    </row>
    <row r="206">
      <c r="A206" s="74"/>
      <c r="B206" s="74"/>
      <c r="C206" s="74"/>
      <c r="D206" s="74"/>
      <c r="E206" s="74"/>
      <c r="F206" s="74"/>
    </row>
    <row r="207">
      <c r="A207" s="74"/>
      <c r="B207" s="74"/>
      <c r="C207" s="74"/>
      <c r="D207" s="74"/>
      <c r="E207" s="74"/>
      <c r="F207" s="74"/>
    </row>
    <row r="208">
      <c r="A208" s="74"/>
      <c r="B208" s="74"/>
      <c r="C208" s="74"/>
      <c r="D208" s="74"/>
      <c r="E208" s="74"/>
      <c r="F208" s="74"/>
    </row>
    <row r="209">
      <c r="A209" s="74"/>
      <c r="B209" s="74"/>
      <c r="C209" s="74"/>
      <c r="D209" s="74"/>
      <c r="E209" s="74"/>
      <c r="F209" s="74"/>
    </row>
    <row r="210">
      <c r="A210" s="74"/>
      <c r="B210" s="74"/>
      <c r="C210" s="74"/>
      <c r="D210" s="74"/>
      <c r="E210" s="74"/>
      <c r="F210" s="74"/>
    </row>
    <row r="211">
      <c r="A211" s="74"/>
      <c r="B211" s="74"/>
      <c r="C211" s="74"/>
      <c r="D211" s="74"/>
      <c r="E211" s="74"/>
      <c r="F211" s="74"/>
    </row>
    <row r="212">
      <c r="A212" s="74"/>
      <c r="B212" s="74"/>
      <c r="C212" s="74"/>
      <c r="D212" s="74"/>
      <c r="E212" s="74"/>
      <c r="F212" s="74"/>
    </row>
    <row r="213">
      <c r="A213" s="74"/>
      <c r="B213" s="74"/>
      <c r="C213" s="74"/>
      <c r="D213" s="74"/>
      <c r="E213" s="74"/>
      <c r="F213" s="74"/>
    </row>
    <row r="214">
      <c r="A214" s="74"/>
      <c r="B214" s="74"/>
      <c r="C214" s="74"/>
      <c r="D214" s="74"/>
      <c r="E214" s="74"/>
      <c r="F214" s="74"/>
    </row>
    <row r="215">
      <c r="A215" s="74"/>
      <c r="B215" s="74"/>
      <c r="C215" s="74"/>
      <c r="D215" s="74"/>
      <c r="E215" s="74"/>
      <c r="F215" s="74"/>
    </row>
    <row r="216">
      <c r="A216" s="74"/>
      <c r="B216" s="74"/>
      <c r="C216" s="74"/>
      <c r="D216" s="74"/>
      <c r="E216" s="74"/>
      <c r="F216" s="74"/>
    </row>
    <row r="217">
      <c r="A217" s="74"/>
      <c r="B217" s="74"/>
      <c r="C217" s="74"/>
      <c r="D217" s="74"/>
      <c r="E217" s="74"/>
      <c r="F217" s="74"/>
    </row>
    <row r="218">
      <c r="A218" s="74"/>
      <c r="B218" s="74"/>
      <c r="C218" s="74"/>
      <c r="D218" s="74"/>
      <c r="E218" s="74"/>
      <c r="F218" s="74"/>
    </row>
    <row r="219">
      <c r="A219" s="74"/>
      <c r="B219" s="74"/>
      <c r="C219" s="74"/>
      <c r="D219" s="74"/>
      <c r="E219" s="74"/>
      <c r="F219" s="74"/>
    </row>
    <row r="220">
      <c r="A220" s="74"/>
      <c r="B220" s="74"/>
      <c r="C220" s="74"/>
      <c r="D220" s="74"/>
      <c r="E220" s="74"/>
      <c r="F220" s="74"/>
    </row>
    <row r="221">
      <c r="A221" s="74"/>
      <c r="B221" s="74"/>
      <c r="C221" s="74"/>
      <c r="D221" s="74"/>
      <c r="E221" s="74"/>
      <c r="F221" s="74"/>
    </row>
    <row r="222">
      <c r="A222" s="74"/>
      <c r="B222" s="74"/>
      <c r="C222" s="74"/>
      <c r="D222" s="74"/>
      <c r="E222" s="74"/>
      <c r="F222" s="74"/>
    </row>
    <row r="223">
      <c r="A223" s="74"/>
      <c r="B223" s="74"/>
      <c r="C223" s="74"/>
      <c r="D223" s="74"/>
      <c r="E223" s="74"/>
      <c r="F223" s="74"/>
    </row>
    <row r="224">
      <c r="A224" s="74"/>
      <c r="B224" s="74"/>
      <c r="C224" s="74"/>
      <c r="D224" s="74"/>
      <c r="E224" s="74"/>
      <c r="F224" s="74"/>
    </row>
    <row r="225">
      <c r="A225" s="74"/>
      <c r="B225" s="74"/>
      <c r="C225" s="74"/>
      <c r="D225" s="74"/>
      <c r="E225" s="74"/>
      <c r="F225" s="74"/>
    </row>
    <row r="226">
      <c r="A226" s="74"/>
      <c r="B226" s="74"/>
      <c r="C226" s="74"/>
      <c r="D226" s="74"/>
      <c r="E226" s="74"/>
      <c r="F226" s="74"/>
    </row>
    <row r="227">
      <c r="A227" s="74"/>
      <c r="B227" s="74"/>
      <c r="C227" s="74"/>
      <c r="D227" s="74"/>
      <c r="E227" s="74"/>
      <c r="F227" s="74"/>
    </row>
    <row r="228">
      <c r="A228" s="74"/>
      <c r="B228" s="74"/>
      <c r="C228" s="74"/>
      <c r="D228" s="74"/>
      <c r="E228" s="74"/>
      <c r="F228" s="74"/>
    </row>
    <row r="229">
      <c r="A229" s="74"/>
      <c r="B229" s="74"/>
      <c r="C229" s="74"/>
      <c r="D229" s="74"/>
      <c r="E229" s="74"/>
      <c r="F229" s="74"/>
    </row>
    <row r="230">
      <c r="A230" s="74"/>
      <c r="B230" s="74"/>
      <c r="C230" s="74"/>
      <c r="D230" s="74"/>
      <c r="E230" s="74"/>
      <c r="F230" s="74"/>
    </row>
    <row r="231">
      <c r="A231" s="74"/>
      <c r="B231" s="74"/>
      <c r="C231" s="74"/>
      <c r="D231" s="74"/>
      <c r="E231" s="74"/>
      <c r="F231" s="74"/>
    </row>
    <row r="232">
      <c r="A232" s="74"/>
      <c r="B232" s="74"/>
      <c r="C232" s="74"/>
      <c r="D232" s="74"/>
      <c r="E232" s="74"/>
      <c r="F232" s="74"/>
    </row>
    <row r="233">
      <c r="A233" s="74"/>
      <c r="B233" s="74"/>
      <c r="C233" s="74"/>
      <c r="D233" s="74"/>
      <c r="E233" s="74"/>
      <c r="F233" s="74"/>
    </row>
    <row r="234">
      <c r="A234" s="74"/>
      <c r="B234" s="74"/>
      <c r="C234" s="74"/>
      <c r="D234" s="74"/>
      <c r="E234" s="74"/>
      <c r="F234" s="74"/>
    </row>
    <row r="235">
      <c r="A235" s="74"/>
      <c r="B235" s="74"/>
      <c r="C235" s="74"/>
      <c r="D235" s="74"/>
      <c r="E235" s="74"/>
      <c r="F235" s="74"/>
    </row>
    <row r="236">
      <c r="A236" s="74"/>
      <c r="B236" s="74"/>
      <c r="C236" s="74"/>
      <c r="D236" s="74"/>
      <c r="E236" s="74"/>
      <c r="F236" s="74"/>
    </row>
    <row r="237">
      <c r="A237" s="74"/>
      <c r="B237" s="74"/>
      <c r="C237" s="74"/>
      <c r="D237" s="74"/>
      <c r="E237" s="74"/>
      <c r="F237" s="74"/>
    </row>
    <row r="238">
      <c r="A238" s="74"/>
      <c r="B238" s="74"/>
      <c r="C238" s="74"/>
      <c r="D238" s="74"/>
      <c r="E238" s="74"/>
      <c r="F238" s="74"/>
    </row>
    <row r="239">
      <c r="A239" s="74"/>
      <c r="B239" s="74"/>
      <c r="C239" s="74"/>
      <c r="D239" s="74"/>
      <c r="E239" s="74"/>
      <c r="F239" s="74"/>
    </row>
    <row r="240">
      <c r="A240" s="74"/>
      <c r="B240" s="74"/>
      <c r="C240" s="74"/>
      <c r="D240" s="74"/>
      <c r="E240" s="74"/>
      <c r="F240" s="74"/>
    </row>
    <row r="241">
      <c r="A241" s="74"/>
      <c r="B241" s="74"/>
      <c r="C241" s="74"/>
      <c r="D241" s="74"/>
      <c r="E241" s="74"/>
      <c r="F241" s="74"/>
    </row>
    <row r="242">
      <c r="A242" s="74"/>
      <c r="B242" s="74"/>
      <c r="C242" s="74"/>
      <c r="D242" s="74"/>
      <c r="E242" s="74"/>
      <c r="F242" s="74"/>
    </row>
    <row r="243">
      <c r="A243" s="74"/>
      <c r="B243" s="74"/>
      <c r="C243" s="74"/>
      <c r="D243" s="74"/>
      <c r="E243" s="74"/>
      <c r="F243" s="74"/>
    </row>
    <row r="244">
      <c r="A244" s="74"/>
      <c r="B244" s="74"/>
      <c r="C244" s="74"/>
      <c r="D244" s="74"/>
      <c r="E244" s="74"/>
      <c r="F244" s="74"/>
    </row>
    <row r="245">
      <c r="A245" s="74"/>
      <c r="B245" s="74"/>
      <c r="C245" s="74"/>
      <c r="D245" s="74"/>
      <c r="E245" s="74"/>
      <c r="F245" s="74"/>
    </row>
    <row r="246">
      <c r="A246" s="74"/>
      <c r="B246" s="74"/>
      <c r="C246" s="74"/>
      <c r="D246" s="74"/>
      <c r="E246" s="74"/>
      <c r="F246" s="74"/>
    </row>
    <row r="247">
      <c r="A247" s="74"/>
      <c r="B247" s="74"/>
      <c r="C247" s="74"/>
      <c r="D247" s="74"/>
      <c r="E247" s="74"/>
      <c r="F247" s="74"/>
    </row>
    <row r="248">
      <c r="A248" s="74"/>
      <c r="B248" s="74"/>
      <c r="C248" s="74"/>
      <c r="D248" s="74"/>
      <c r="E248" s="74"/>
      <c r="F248" s="74"/>
    </row>
    <row r="249">
      <c r="A249" s="74"/>
      <c r="B249" s="74"/>
      <c r="C249" s="74"/>
      <c r="D249" s="74"/>
      <c r="E249" s="74"/>
      <c r="F249" s="74"/>
    </row>
    <row r="250">
      <c r="A250" s="74"/>
      <c r="B250" s="74"/>
      <c r="C250" s="74"/>
      <c r="D250" s="74"/>
      <c r="E250" s="74"/>
      <c r="F250" s="74"/>
    </row>
    <row r="251">
      <c r="A251" s="74"/>
      <c r="B251" s="74"/>
      <c r="C251" s="74"/>
      <c r="D251" s="74"/>
      <c r="E251" s="74"/>
      <c r="F251" s="74"/>
    </row>
    <row r="252">
      <c r="A252" s="74"/>
      <c r="B252" s="74"/>
      <c r="C252" s="74"/>
      <c r="D252" s="74"/>
      <c r="E252" s="74"/>
      <c r="F252" s="74"/>
    </row>
    <row r="253">
      <c r="A253" s="74"/>
      <c r="B253" s="74"/>
      <c r="C253" s="74"/>
      <c r="D253" s="74"/>
      <c r="E253" s="74"/>
      <c r="F253" s="74"/>
    </row>
    <row r="254">
      <c r="A254" s="74"/>
      <c r="B254" s="74"/>
      <c r="C254" s="74"/>
      <c r="D254" s="74"/>
      <c r="E254" s="74"/>
      <c r="F254" s="74"/>
    </row>
    <row r="255">
      <c r="A255" s="74"/>
      <c r="B255" s="74"/>
      <c r="C255" s="74"/>
      <c r="D255" s="74"/>
      <c r="E255" s="74"/>
      <c r="F255" s="74"/>
    </row>
    <row r="256">
      <c r="A256" s="74"/>
      <c r="B256" s="74"/>
      <c r="C256" s="74"/>
      <c r="D256" s="74"/>
      <c r="E256" s="74"/>
      <c r="F256" s="74"/>
    </row>
    <row r="257">
      <c r="A257" s="74"/>
      <c r="B257" s="74"/>
      <c r="C257" s="74"/>
      <c r="D257" s="74"/>
      <c r="E257" s="74"/>
      <c r="F257" s="74"/>
    </row>
    <row r="258">
      <c r="A258" s="74"/>
      <c r="B258" s="74"/>
      <c r="C258" s="74"/>
      <c r="D258" s="74"/>
      <c r="E258" s="74"/>
      <c r="F258" s="74"/>
    </row>
    <row r="259">
      <c r="A259" s="74"/>
      <c r="B259" s="74"/>
      <c r="C259" s="74"/>
      <c r="D259" s="74"/>
      <c r="E259" s="74"/>
      <c r="F259" s="74"/>
    </row>
    <row r="260">
      <c r="A260" s="74"/>
      <c r="B260" s="74"/>
      <c r="C260" s="74"/>
      <c r="D260" s="74"/>
      <c r="E260" s="74"/>
      <c r="F260" s="74"/>
    </row>
    <row r="261">
      <c r="A261" s="74"/>
      <c r="B261" s="74"/>
      <c r="C261" s="74"/>
      <c r="D261" s="74"/>
      <c r="E261" s="74"/>
      <c r="F261" s="74"/>
    </row>
    <row r="262">
      <c r="A262" s="74"/>
      <c r="B262" s="74"/>
      <c r="C262" s="74"/>
      <c r="D262" s="74"/>
      <c r="E262" s="74"/>
      <c r="F262" s="74"/>
    </row>
    <row r="263">
      <c r="A263" s="74"/>
      <c r="B263" s="74"/>
      <c r="C263" s="74"/>
      <c r="D263" s="74"/>
      <c r="E263" s="74"/>
      <c r="F263" s="74"/>
    </row>
    <row r="264">
      <c r="A264" s="74"/>
      <c r="B264" s="74"/>
      <c r="C264" s="74"/>
      <c r="D264" s="74"/>
      <c r="E264" s="74"/>
      <c r="F264" s="74"/>
    </row>
    <row r="265">
      <c r="A265" s="74"/>
      <c r="B265" s="74"/>
      <c r="C265" s="74"/>
      <c r="D265" s="74"/>
      <c r="E265" s="74"/>
      <c r="F265" s="74"/>
    </row>
    <row r="266">
      <c r="A266" s="74"/>
      <c r="B266" s="74"/>
      <c r="C266" s="74"/>
      <c r="D266" s="74"/>
      <c r="E266" s="74"/>
      <c r="F266" s="74"/>
    </row>
    <row r="267">
      <c r="A267" s="74"/>
      <c r="B267" s="74"/>
      <c r="C267" s="74"/>
      <c r="D267" s="74"/>
      <c r="E267" s="74"/>
      <c r="F267" s="74"/>
    </row>
    <row r="268">
      <c r="A268" s="74"/>
      <c r="B268" s="74"/>
      <c r="C268" s="74"/>
      <c r="D268" s="74"/>
      <c r="E268" s="74"/>
      <c r="F268" s="74"/>
    </row>
    <row r="269">
      <c r="A269" s="74"/>
      <c r="B269" s="74"/>
      <c r="C269" s="74"/>
      <c r="D269" s="74"/>
      <c r="E269" s="74"/>
      <c r="F269" s="74"/>
    </row>
    <row r="270">
      <c r="A270" s="74"/>
      <c r="B270" s="74"/>
      <c r="C270" s="74"/>
      <c r="D270" s="74"/>
      <c r="E270" s="74"/>
      <c r="F270" s="74"/>
    </row>
    <row r="271">
      <c r="A271" s="74"/>
      <c r="B271" s="74"/>
      <c r="C271" s="74"/>
      <c r="D271" s="74"/>
      <c r="E271" s="74"/>
      <c r="F271" s="74"/>
    </row>
    <row r="272">
      <c r="A272" s="74"/>
      <c r="B272" s="74"/>
      <c r="C272" s="74"/>
      <c r="D272" s="74"/>
      <c r="E272" s="74"/>
      <c r="F272" s="74"/>
    </row>
    <row r="273">
      <c r="A273" s="74"/>
      <c r="B273" s="74"/>
      <c r="C273" s="74"/>
      <c r="D273" s="74"/>
      <c r="E273" s="74"/>
      <c r="F273" s="74"/>
    </row>
    <row r="274">
      <c r="A274" s="74"/>
      <c r="B274" s="74"/>
      <c r="C274" s="74"/>
      <c r="D274" s="74"/>
      <c r="E274" s="74"/>
      <c r="F274" s="74"/>
    </row>
    <row r="275">
      <c r="A275" s="74"/>
      <c r="B275" s="74"/>
      <c r="C275" s="74"/>
      <c r="D275" s="74"/>
      <c r="E275" s="74"/>
      <c r="F275" s="74"/>
    </row>
    <row r="276">
      <c r="A276" s="74"/>
      <c r="B276" s="74"/>
      <c r="C276" s="74"/>
      <c r="D276" s="74"/>
      <c r="E276" s="74"/>
      <c r="F276" s="74"/>
    </row>
    <row r="277">
      <c r="A277" s="74"/>
      <c r="B277" s="74"/>
      <c r="C277" s="74"/>
      <c r="D277" s="74"/>
      <c r="E277" s="74"/>
      <c r="F277" s="74"/>
    </row>
    <row r="278">
      <c r="A278" s="74"/>
      <c r="B278" s="74"/>
      <c r="C278" s="74"/>
      <c r="D278" s="74"/>
      <c r="E278" s="74"/>
      <c r="F278" s="74"/>
    </row>
    <row r="279">
      <c r="A279" s="74"/>
      <c r="B279" s="74"/>
      <c r="C279" s="74"/>
      <c r="D279" s="74"/>
      <c r="E279" s="74"/>
      <c r="F279" s="74"/>
    </row>
    <row r="280">
      <c r="A280" s="74"/>
      <c r="B280" s="74"/>
      <c r="C280" s="74"/>
      <c r="D280" s="74"/>
      <c r="E280" s="74"/>
      <c r="F280" s="74"/>
    </row>
    <row r="281">
      <c r="A281" s="74"/>
      <c r="B281" s="74"/>
      <c r="C281" s="74"/>
      <c r="D281" s="74"/>
      <c r="E281" s="74"/>
      <c r="F281" s="74"/>
    </row>
    <row r="282">
      <c r="A282" s="74"/>
      <c r="B282" s="74"/>
      <c r="C282" s="74"/>
      <c r="D282" s="74"/>
      <c r="E282" s="74"/>
      <c r="F282" s="74"/>
    </row>
    <row r="283">
      <c r="A283" s="74"/>
      <c r="B283" s="74"/>
      <c r="C283" s="74"/>
      <c r="D283" s="74"/>
      <c r="E283" s="74"/>
      <c r="F283" s="74"/>
    </row>
    <row r="284">
      <c r="A284" s="74"/>
      <c r="B284" s="74"/>
      <c r="C284" s="74"/>
      <c r="D284" s="74"/>
      <c r="E284" s="74"/>
      <c r="F284" s="74"/>
    </row>
    <row r="285">
      <c r="A285" s="74"/>
      <c r="B285" s="74"/>
      <c r="C285" s="74"/>
      <c r="D285" s="74"/>
      <c r="E285" s="74"/>
      <c r="F285" s="74"/>
    </row>
    <row r="286">
      <c r="A286" s="74"/>
      <c r="B286" s="74"/>
      <c r="C286" s="74"/>
      <c r="D286" s="74"/>
      <c r="E286" s="74"/>
      <c r="F286" s="74"/>
    </row>
    <row r="287">
      <c r="A287" s="74"/>
      <c r="B287" s="74"/>
      <c r="C287" s="74"/>
      <c r="D287" s="74"/>
      <c r="E287" s="74"/>
      <c r="F287" s="74"/>
    </row>
    <row r="288">
      <c r="A288" s="74"/>
      <c r="B288" s="74"/>
      <c r="C288" s="74"/>
      <c r="D288" s="74"/>
      <c r="E288" s="74"/>
      <c r="F288" s="74"/>
    </row>
    <row r="289">
      <c r="A289" s="74"/>
      <c r="B289" s="74"/>
      <c r="C289" s="74"/>
      <c r="D289" s="74"/>
      <c r="E289" s="74"/>
      <c r="F289" s="74"/>
    </row>
    <row r="290">
      <c r="A290" s="74"/>
      <c r="B290" s="74"/>
      <c r="C290" s="74"/>
      <c r="D290" s="74"/>
      <c r="E290" s="74"/>
      <c r="F290" s="74"/>
    </row>
    <row r="291">
      <c r="A291" s="74"/>
      <c r="B291" s="74"/>
      <c r="C291" s="74"/>
      <c r="D291" s="74"/>
      <c r="E291" s="74"/>
      <c r="F291" s="74"/>
    </row>
    <row r="292">
      <c r="A292" s="74"/>
      <c r="B292" s="74"/>
      <c r="C292" s="74"/>
      <c r="D292" s="74"/>
      <c r="E292" s="74"/>
      <c r="F292" s="74"/>
    </row>
    <row r="293">
      <c r="A293" s="74"/>
      <c r="B293" s="74"/>
      <c r="C293" s="74"/>
      <c r="D293" s="74"/>
      <c r="E293" s="74"/>
      <c r="F293" s="74"/>
    </row>
    <row r="294">
      <c r="A294" s="74"/>
      <c r="B294" s="74"/>
      <c r="C294" s="74"/>
      <c r="D294" s="74"/>
      <c r="E294" s="74"/>
      <c r="F294" s="74"/>
    </row>
    <row r="295">
      <c r="A295" s="74"/>
      <c r="B295" s="74"/>
      <c r="C295" s="74"/>
      <c r="D295" s="74"/>
      <c r="E295" s="74"/>
      <c r="F295" s="74"/>
    </row>
    <row r="296">
      <c r="A296" s="74"/>
      <c r="B296" s="74"/>
      <c r="C296" s="74"/>
      <c r="D296" s="74"/>
      <c r="E296" s="74"/>
      <c r="F296" s="74"/>
    </row>
    <row r="297">
      <c r="A297" s="74"/>
      <c r="B297" s="74"/>
      <c r="C297" s="74"/>
      <c r="D297" s="74"/>
      <c r="E297" s="74"/>
      <c r="F297" s="74"/>
    </row>
    <row r="298">
      <c r="A298" s="74"/>
      <c r="B298" s="74"/>
      <c r="C298" s="74"/>
      <c r="D298" s="74"/>
      <c r="E298" s="74"/>
      <c r="F298" s="74"/>
    </row>
    <row r="299">
      <c r="A299" s="74"/>
      <c r="B299" s="74"/>
      <c r="C299" s="74"/>
      <c r="D299" s="74"/>
      <c r="E299" s="74"/>
      <c r="F299" s="74"/>
    </row>
    <row r="300">
      <c r="A300" s="74"/>
      <c r="B300" s="74"/>
      <c r="C300" s="74"/>
      <c r="D300" s="74"/>
      <c r="E300" s="74"/>
      <c r="F300" s="74"/>
    </row>
    <row r="301">
      <c r="A301" s="74"/>
      <c r="B301" s="74"/>
      <c r="C301" s="74"/>
      <c r="D301" s="74"/>
      <c r="E301" s="74"/>
      <c r="F301" s="74"/>
    </row>
    <row r="302">
      <c r="A302" s="74"/>
      <c r="B302" s="74"/>
      <c r="C302" s="74"/>
      <c r="D302" s="74"/>
      <c r="E302" s="74"/>
      <c r="F302" s="74"/>
    </row>
    <row r="303">
      <c r="A303" s="74"/>
      <c r="B303" s="74"/>
      <c r="C303" s="74"/>
      <c r="D303" s="74"/>
      <c r="E303" s="74"/>
      <c r="F303" s="74"/>
    </row>
    <row r="304">
      <c r="A304" s="74"/>
      <c r="B304" s="74"/>
      <c r="C304" s="74"/>
      <c r="D304" s="74"/>
      <c r="E304" s="74"/>
      <c r="F304" s="74"/>
    </row>
    <row r="305">
      <c r="A305" s="74"/>
      <c r="B305" s="74"/>
      <c r="C305" s="74"/>
      <c r="D305" s="74"/>
      <c r="E305" s="74"/>
      <c r="F305" s="74"/>
    </row>
    <row r="306">
      <c r="A306" s="74"/>
      <c r="B306" s="74"/>
      <c r="C306" s="74"/>
      <c r="D306" s="74"/>
      <c r="E306" s="74"/>
      <c r="F306" s="74"/>
    </row>
    <row r="307">
      <c r="A307" s="74"/>
      <c r="B307" s="74"/>
      <c r="C307" s="74"/>
      <c r="D307" s="74"/>
      <c r="E307" s="74"/>
      <c r="F307" s="74"/>
    </row>
    <row r="308">
      <c r="A308" s="74"/>
      <c r="B308" s="74"/>
      <c r="C308" s="74"/>
      <c r="D308" s="74"/>
      <c r="E308" s="74"/>
      <c r="F308" s="74"/>
    </row>
    <row r="309">
      <c r="A309" s="74"/>
      <c r="B309" s="74"/>
      <c r="C309" s="74"/>
      <c r="D309" s="74"/>
      <c r="E309" s="74"/>
      <c r="F309" s="74"/>
    </row>
    <row r="310">
      <c r="A310" s="74"/>
      <c r="B310" s="74"/>
      <c r="C310" s="74"/>
      <c r="D310" s="74"/>
      <c r="E310" s="74"/>
      <c r="F310" s="74"/>
    </row>
    <row r="311">
      <c r="A311" s="74"/>
      <c r="B311" s="74"/>
      <c r="C311" s="74"/>
      <c r="D311" s="74"/>
      <c r="E311" s="74"/>
      <c r="F311" s="74"/>
    </row>
    <row r="312">
      <c r="A312" s="74"/>
      <c r="B312" s="74"/>
      <c r="C312" s="74"/>
      <c r="D312" s="74"/>
      <c r="E312" s="74"/>
      <c r="F312" s="74"/>
    </row>
    <row r="313">
      <c r="A313" s="74"/>
      <c r="B313" s="74"/>
      <c r="C313" s="74"/>
      <c r="D313" s="74"/>
      <c r="E313" s="74"/>
      <c r="F313" s="74"/>
    </row>
    <row r="314">
      <c r="A314" s="74"/>
      <c r="B314" s="74"/>
      <c r="C314" s="74"/>
      <c r="D314" s="74"/>
      <c r="E314" s="74"/>
      <c r="F314" s="74"/>
    </row>
    <row r="315">
      <c r="A315" s="74"/>
      <c r="B315" s="74"/>
      <c r="C315" s="74"/>
      <c r="D315" s="74"/>
      <c r="E315" s="74"/>
      <c r="F315" s="74"/>
    </row>
    <row r="316">
      <c r="A316" s="74"/>
      <c r="B316" s="74"/>
      <c r="C316" s="74"/>
      <c r="D316" s="74"/>
      <c r="E316" s="74"/>
      <c r="F316" s="74"/>
    </row>
    <row r="317">
      <c r="A317" s="74"/>
      <c r="B317" s="74"/>
      <c r="C317" s="74"/>
      <c r="D317" s="74"/>
      <c r="E317" s="74"/>
      <c r="F317" s="74"/>
    </row>
    <row r="318">
      <c r="A318" s="74"/>
      <c r="B318" s="74"/>
      <c r="C318" s="74"/>
      <c r="D318" s="74"/>
      <c r="E318" s="74"/>
      <c r="F318" s="74"/>
    </row>
    <row r="319">
      <c r="A319" s="74"/>
      <c r="B319" s="74"/>
      <c r="C319" s="74"/>
      <c r="D319" s="74"/>
      <c r="E319" s="74"/>
      <c r="F319" s="74"/>
    </row>
    <row r="320">
      <c r="A320" s="74"/>
      <c r="B320" s="74"/>
      <c r="C320" s="74"/>
      <c r="D320" s="74"/>
      <c r="E320" s="74"/>
      <c r="F320" s="74"/>
    </row>
    <row r="321">
      <c r="A321" s="74"/>
      <c r="B321" s="74"/>
      <c r="C321" s="74"/>
      <c r="D321" s="74"/>
      <c r="E321" s="74"/>
      <c r="F321" s="74"/>
    </row>
    <row r="322">
      <c r="A322" s="74"/>
      <c r="B322" s="74"/>
      <c r="C322" s="74"/>
      <c r="D322" s="74"/>
      <c r="E322" s="74"/>
      <c r="F322" s="74"/>
    </row>
    <row r="323">
      <c r="A323" s="74"/>
      <c r="B323" s="74"/>
      <c r="C323" s="74"/>
      <c r="D323" s="74"/>
      <c r="E323" s="74"/>
      <c r="F323" s="74"/>
    </row>
    <row r="324">
      <c r="A324" s="74"/>
      <c r="B324" s="74"/>
      <c r="C324" s="74"/>
      <c r="D324" s="74"/>
      <c r="E324" s="74"/>
      <c r="F324" s="74"/>
    </row>
    <row r="325">
      <c r="A325" s="74"/>
      <c r="B325" s="74"/>
      <c r="C325" s="74"/>
      <c r="D325" s="74"/>
      <c r="E325" s="74"/>
      <c r="F325" s="74"/>
    </row>
    <row r="326">
      <c r="A326" s="74"/>
      <c r="B326" s="74"/>
      <c r="C326" s="74"/>
      <c r="D326" s="74"/>
      <c r="E326" s="74"/>
      <c r="F326" s="74"/>
    </row>
    <row r="327">
      <c r="A327" s="74"/>
      <c r="B327" s="74"/>
      <c r="C327" s="74"/>
      <c r="D327" s="74"/>
      <c r="E327" s="74"/>
      <c r="F327" s="74"/>
    </row>
    <row r="328">
      <c r="A328" s="74"/>
      <c r="B328" s="74"/>
      <c r="C328" s="74"/>
      <c r="D328" s="74"/>
      <c r="E328" s="74"/>
      <c r="F328" s="74"/>
    </row>
    <row r="329">
      <c r="A329" s="74"/>
      <c r="B329" s="74"/>
      <c r="C329" s="74"/>
      <c r="D329" s="74"/>
      <c r="E329" s="74"/>
      <c r="F329" s="74"/>
    </row>
    <row r="330">
      <c r="A330" s="74"/>
      <c r="B330" s="74"/>
      <c r="C330" s="74"/>
      <c r="D330" s="74"/>
      <c r="E330" s="74"/>
      <c r="F330" s="74"/>
    </row>
    <row r="331">
      <c r="A331" s="74"/>
      <c r="B331" s="74"/>
      <c r="C331" s="74"/>
      <c r="D331" s="74"/>
      <c r="E331" s="74"/>
      <c r="F331" s="74"/>
    </row>
    <row r="332">
      <c r="A332" s="74"/>
      <c r="B332" s="74"/>
      <c r="C332" s="74"/>
      <c r="D332" s="74"/>
      <c r="E332" s="74"/>
      <c r="F332" s="74"/>
    </row>
    <row r="333">
      <c r="A333" s="74"/>
      <c r="B333" s="74"/>
      <c r="C333" s="74"/>
      <c r="D333" s="74"/>
      <c r="E333" s="74"/>
      <c r="F333" s="74"/>
    </row>
    <row r="334">
      <c r="A334" s="74"/>
      <c r="B334" s="74"/>
      <c r="C334" s="74"/>
      <c r="D334" s="74"/>
      <c r="E334" s="74"/>
      <c r="F334" s="74"/>
    </row>
    <row r="335">
      <c r="A335" s="74"/>
      <c r="B335" s="74"/>
      <c r="C335" s="74"/>
      <c r="D335" s="74"/>
      <c r="E335" s="74"/>
      <c r="F335" s="74"/>
    </row>
    <row r="336">
      <c r="A336" s="74"/>
      <c r="B336" s="74"/>
      <c r="C336" s="74"/>
      <c r="D336" s="74"/>
      <c r="E336" s="74"/>
      <c r="F336" s="74"/>
    </row>
    <row r="337">
      <c r="A337" s="74"/>
      <c r="B337" s="74"/>
      <c r="C337" s="74"/>
      <c r="D337" s="74"/>
      <c r="E337" s="74"/>
      <c r="F337" s="74"/>
    </row>
    <row r="338">
      <c r="A338" s="74"/>
      <c r="B338" s="74"/>
      <c r="C338" s="74"/>
      <c r="D338" s="74"/>
      <c r="E338" s="74"/>
      <c r="F338" s="74"/>
    </row>
    <row r="339">
      <c r="A339" s="74"/>
      <c r="B339" s="74"/>
      <c r="C339" s="74"/>
      <c r="D339" s="74"/>
      <c r="E339" s="74"/>
      <c r="F339" s="74"/>
    </row>
    <row r="340">
      <c r="A340" s="74"/>
      <c r="B340" s="74"/>
      <c r="C340" s="74"/>
      <c r="D340" s="74"/>
      <c r="E340" s="74"/>
      <c r="F340" s="74"/>
    </row>
    <row r="341">
      <c r="A341" s="74"/>
      <c r="B341" s="74"/>
      <c r="C341" s="74"/>
      <c r="D341" s="74"/>
      <c r="E341" s="74"/>
      <c r="F341" s="74"/>
    </row>
    <row r="342">
      <c r="A342" s="74"/>
      <c r="B342" s="74"/>
      <c r="C342" s="74"/>
      <c r="D342" s="74"/>
      <c r="E342" s="74"/>
      <c r="F342" s="74"/>
    </row>
    <row r="343">
      <c r="A343" s="74"/>
      <c r="B343" s="74"/>
      <c r="C343" s="74"/>
      <c r="D343" s="74"/>
      <c r="E343" s="74"/>
      <c r="F343" s="74"/>
    </row>
    <row r="344">
      <c r="A344" s="74"/>
      <c r="B344" s="74"/>
      <c r="C344" s="74"/>
      <c r="D344" s="74"/>
      <c r="E344" s="74"/>
      <c r="F344" s="74"/>
    </row>
    <row r="345">
      <c r="A345" s="74"/>
      <c r="B345" s="74"/>
      <c r="C345" s="74"/>
      <c r="D345" s="74"/>
      <c r="E345" s="74"/>
      <c r="F345" s="74"/>
    </row>
    <row r="346">
      <c r="A346" s="74"/>
      <c r="B346" s="74"/>
      <c r="C346" s="74"/>
      <c r="D346" s="74"/>
      <c r="E346" s="74"/>
      <c r="F346" s="74"/>
    </row>
    <row r="347">
      <c r="A347" s="74"/>
      <c r="B347" s="74"/>
      <c r="C347" s="74"/>
      <c r="D347" s="74"/>
      <c r="E347" s="74"/>
      <c r="F347" s="74"/>
    </row>
    <row r="348">
      <c r="A348" s="74"/>
      <c r="B348" s="74"/>
      <c r="C348" s="74"/>
      <c r="D348" s="74"/>
      <c r="E348" s="74"/>
      <c r="F348" s="74"/>
    </row>
    <row r="349">
      <c r="A349" s="74"/>
      <c r="B349" s="74"/>
      <c r="C349" s="74"/>
      <c r="D349" s="74"/>
      <c r="E349" s="74"/>
      <c r="F349" s="74"/>
    </row>
    <row r="350">
      <c r="A350" s="74"/>
      <c r="B350" s="74"/>
      <c r="C350" s="74"/>
      <c r="D350" s="74"/>
      <c r="E350" s="74"/>
      <c r="F350" s="74"/>
    </row>
    <row r="351">
      <c r="A351" s="74"/>
      <c r="B351" s="74"/>
      <c r="C351" s="74"/>
      <c r="D351" s="74"/>
      <c r="E351" s="74"/>
      <c r="F351" s="74"/>
    </row>
    <row r="352">
      <c r="A352" s="74"/>
      <c r="B352" s="74"/>
      <c r="C352" s="74"/>
      <c r="D352" s="74"/>
      <c r="E352" s="74"/>
      <c r="F352" s="74"/>
    </row>
    <row r="353">
      <c r="A353" s="74"/>
      <c r="B353" s="74"/>
      <c r="C353" s="74"/>
      <c r="D353" s="74"/>
      <c r="E353" s="74"/>
      <c r="F353" s="74"/>
    </row>
    <row r="354">
      <c r="A354" s="74"/>
      <c r="B354" s="74"/>
      <c r="C354" s="74"/>
      <c r="D354" s="74"/>
      <c r="E354" s="74"/>
      <c r="F354" s="74"/>
    </row>
    <row r="355">
      <c r="A355" s="74"/>
      <c r="B355" s="74"/>
      <c r="C355" s="74"/>
      <c r="D355" s="74"/>
      <c r="E355" s="74"/>
      <c r="F355" s="74"/>
    </row>
    <row r="356">
      <c r="A356" s="74"/>
      <c r="B356" s="74"/>
      <c r="C356" s="74"/>
      <c r="D356" s="74"/>
      <c r="E356" s="74"/>
      <c r="F356" s="74"/>
    </row>
    <row r="357">
      <c r="A357" s="74"/>
      <c r="B357" s="74"/>
      <c r="C357" s="74"/>
      <c r="D357" s="74"/>
      <c r="E357" s="74"/>
      <c r="F357" s="74"/>
    </row>
    <row r="358">
      <c r="A358" s="74"/>
      <c r="B358" s="74"/>
      <c r="C358" s="74"/>
      <c r="D358" s="74"/>
      <c r="E358" s="74"/>
      <c r="F358" s="74"/>
    </row>
    <row r="359">
      <c r="A359" s="74"/>
      <c r="B359" s="74"/>
      <c r="C359" s="74"/>
      <c r="D359" s="74"/>
      <c r="E359" s="74"/>
      <c r="F359" s="74"/>
    </row>
    <row r="360">
      <c r="A360" s="74"/>
      <c r="B360" s="74"/>
      <c r="C360" s="74"/>
      <c r="D360" s="74"/>
      <c r="E360" s="74"/>
      <c r="F360" s="74"/>
    </row>
    <row r="361">
      <c r="A361" s="74"/>
      <c r="B361" s="74"/>
      <c r="C361" s="74"/>
      <c r="D361" s="74"/>
      <c r="E361" s="74"/>
      <c r="F361" s="74"/>
    </row>
    <row r="362">
      <c r="A362" s="74"/>
      <c r="B362" s="74"/>
      <c r="C362" s="74"/>
      <c r="D362" s="74"/>
      <c r="E362" s="74"/>
      <c r="F362" s="74"/>
    </row>
    <row r="363">
      <c r="A363" s="74"/>
      <c r="B363" s="74"/>
      <c r="C363" s="74"/>
      <c r="D363" s="74"/>
      <c r="E363" s="74"/>
      <c r="F363" s="74"/>
    </row>
    <row r="364">
      <c r="A364" s="74"/>
      <c r="B364" s="74"/>
      <c r="C364" s="74"/>
      <c r="D364" s="74"/>
      <c r="E364" s="74"/>
      <c r="F364" s="74"/>
    </row>
    <row r="365">
      <c r="A365" s="74"/>
      <c r="B365" s="74"/>
      <c r="C365" s="74"/>
      <c r="D365" s="74"/>
      <c r="E365" s="74"/>
      <c r="F365" s="74"/>
    </row>
    <row r="366">
      <c r="A366" s="74"/>
      <c r="B366" s="74"/>
      <c r="C366" s="74"/>
      <c r="D366" s="74"/>
      <c r="E366" s="74"/>
      <c r="F366" s="74"/>
    </row>
    <row r="367">
      <c r="A367" s="74"/>
      <c r="B367" s="74"/>
      <c r="C367" s="74"/>
      <c r="D367" s="74"/>
      <c r="E367" s="74"/>
      <c r="F367" s="74"/>
    </row>
    <row r="368">
      <c r="A368" s="74"/>
      <c r="B368" s="74"/>
      <c r="C368" s="74"/>
      <c r="D368" s="74"/>
      <c r="E368" s="74"/>
      <c r="F368" s="74"/>
    </row>
    <row r="369">
      <c r="A369" s="74"/>
      <c r="B369" s="74"/>
      <c r="C369" s="74"/>
      <c r="D369" s="74"/>
      <c r="E369" s="74"/>
      <c r="F369" s="74"/>
    </row>
    <row r="370">
      <c r="A370" s="74"/>
      <c r="B370" s="74"/>
      <c r="C370" s="74"/>
      <c r="D370" s="74"/>
      <c r="E370" s="74"/>
      <c r="F370" s="74"/>
    </row>
    <row r="371">
      <c r="A371" s="74"/>
      <c r="B371" s="74"/>
      <c r="C371" s="74"/>
      <c r="D371" s="74"/>
      <c r="E371" s="74"/>
      <c r="F371" s="74"/>
    </row>
    <row r="372">
      <c r="A372" s="74"/>
      <c r="B372" s="74"/>
      <c r="C372" s="74"/>
      <c r="D372" s="74"/>
      <c r="E372" s="74"/>
      <c r="F372" s="74"/>
    </row>
    <row r="373">
      <c r="A373" s="74"/>
      <c r="B373" s="74"/>
      <c r="C373" s="74"/>
      <c r="D373" s="74"/>
      <c r="E373" s="74"/>
      <c r="F373" s="74"/>
    </row>
    <row r="374">
      <c r="A374" s="74"/>
      <c r="B374" s="74"/>
      <c r="C374" s="74"/>
      <c r="D374" s="74"/>
      <c r="E374" s="74"/>
      <c r="F374" s="74"/>
    </row>
    <row r="375">
      <c r="A375" s="74"/>
      <c r="B375" s="74"/>
      <c r="C375" s="74"/>
      <c r="D375" s="74"/>
      <c r="E375" s="74"/>
      <c r="F375" s="74"/>
    </row>
    <row r="376">
      <c r="A376" s="74"/>
      <c r="B376" s="74"/>
      <c r="C376" s="74"/>
      <c r="D376" s="74"/>
      <c r="E376" s="74"/>
      <c r="F376" s="74"/>
    </row>
    <row r="377">
      <c r="A377" s="74"/>
      <c r="B377" s="74"/>
      <c r="C377" s="74"/>
      <c r="D377" s="74"/>
      <c r="E377" s="74"/>
      <c r="F377" s="74"/>
    </row>
    <row r="378">
      <c r="A378" s="74"/>
      <c r="B378" s="74"/>
      <c r="C378" s="74"/>
      <c r="D378" s="74"/>
      <c r="E378" s="74"/>
      <c r="F378" s="74"/>
    </row>
    <row r="379">
      <c r="A379" s="74"/>
      <c r="B379" s="74"/>
      <c r="C379" s="74"/>
      <c r="D379" s="74"/>
      <c r="E379" s="74"/>
      <c r="F379" s="74"/>
    </row>
    <row r="380">
      <c r="A380" s="74"/>
      <c r="B380" s="74"/>
      <c r="C380" s="74"/>
      <c r="D380" s="74"/>
      <c r="E380" s="74"/>
      <c r="F380" s="74"/>
    </row>
    <row r="381">
      <c r="A381" s="74"/>
      <c r="B381" s="74"/>
      <c r="C381" s="74"/>
      <c r="D381" s="74"/>
      <c r="E381" s="74"/>
      <c r="F381" s="74"/>
    </row>
    <row r="382">
      <c r="A382" s="74"/>
      <c r="B382" s="74"/>
      <c r="C382" s="74"/>
      <c r="D382" s="74"/>
      <c r="E382" s="74"/>
      <c r="F382" s="74"/>
    </row>
    <row r="383">
      <c r="A383" s="74"/>
      <c r="B383" s="74"/>
      <c r="C383" s="74"/>
      <c r="D383" s="74"/>
      <c r="E383" s="74"/>
      <c r="F383" s="74"/>
    </row>
    <row r="384">
      <c r="A384" s="74"/>
      <c r="B384" s="74"/>
      <c r="C384" s="74"/>
      <c r="D384" s="74"/>
      <c r="E384" s="74"/>
      <c r="F384" s="74"/>
    </row>
    <row r="385">
      <c r="A385" s="74"/>
      <c r="B385" s="74"/>
      <c r="C385" s="74"/>
      <c r="D385" s="74"/>
      <c r="E385" s="74"/>
      <c r="F385" s="74"/>
    </row>
    <row r="386">
      <c r="A386" s="74"/>
      <c r="B386" s="74"/>
      <c r="C386" s="74"/>
      <c r="D386" s="74"/>
      <c r="E386" s="74"/>
      <c r="F386" s="74"/>
    </row>
    <row r="387">
      <c r="A387" s="74"/>
      <c r="B387" s="74"/>
      <c r="C387" s="74"/>
      <c r="D387" s="74"/>
      <c r="E387" s="74"/>
      <c r="F387" s="74"/>
    </row>
    <row r="388">
      <c r="A388" s="74"/>
      <c r="B388" s="74"/>
      <c r="C388" s="74"/>
      <c r="D388" s="74"/>
      <c r="E388" s="74"/>
      <c r="F388" s="74"/>
    </row>
    <row r="389">
      <c r="A389" s="74"/>
      <c r="B389" s="74"/>
      <c r="C389" s="74"/>
      <c r="D389" s="74"/>
      <c r="E389" s="74"/>
      <c r="F389" s="74"/>
    </row>
    <row r="390">
      <c r="A390" s="74"/>
      <c r="B390" s="74"/>
      <c r="C390" s="74"/>
      <c r="D390" s="74"/>
      <c r="E390" s="74"/>
      <c r="F390" s="74"/>
    </row>
    <row r="391">
      <c r="A391" s="74"/>
      <c r="B391" s="74"/>
      <c r="C391" s="74"/>
      <c r="D391" s="74"/>
      <c r="E391" s="74"/>
      <c r="F391" s="74"/>
    </row>
    <row r="392">
      <c r="A392" s="74"/>
      <c r="B392" s="74"/>
      <c r="C392" s="74"/>
      <c r="D392" s="74"/>
      <c r="E392" s="74"/>
      <c r="F392" s="74"/>
    </row>
    <row r="393">
      <c r="A393" s="74"/>
      <c r="B393" s="74"/>
      <c r="C393" s="74"/>
      <c r="D393" s="74"/>
      <c r="E393" s="74"/>
      <c r="F393" s="74"/>
    </row>
    <row r="394">
      <c r="A394" s="74"/>
      <c r="B394" s="74"/>
      <c r="C394" s="74"/>
      <c r="D394" s="74"/>
      <c r="E394" s="74"/>
      <c r="F394" s="74"/>
    </row>
    <row r="395">
      <c r="A395" s="74"/>
      <c r="B395" s="74"/>
      <c r="C395" s="74"/>
      <c r="D395" s="74"/>
      <c r="E395" s="74"/>
      <c r="F395" s="74"/>
    </row>
    <row r="396">
      <c r="A396" s="74"/>
      <c r="B396" s="74"/>
      <c r="C396" s="74"/>
      <c r="D396" s="74"/>
      <c r="E396" s="74"/>
      <c r="F396" s="74"/>
    </row>
    <row r="397">
      <c r="A397" s="74"/>
      <c r="B397" s="74"/>
      <c r="C397" s="74"/>
      <c r="D397" s="74"/>
      <c r="E397" s="74"/>
      <c r="F397" s="74"/>
    </row>
    <row r="398">
      <c r="A398" s="74"/>
      <c r="B398" s="74"/>
      <c r="C398" s="74"/>
      <c r="D398" s="74"/>
      <c r="E398" s="74"/>
      <c r="F398" s="74"/>
    </row>
    <row r="399">
      <c r="A399" s="74"/>
      <c r="B399" s="74"/>
      <c r="C399" s="74"/>
      <c r="D399" s="74"/>
      <c r="E399" s="74"/>
      <c r="F399" s="74"/>
    </row>
    <row r="400">
      <c r="A400" s="74"/>
      <c r="B400" s="74"/>
      <c r="C400" s="74"/>
      <c r="D400" s="74"/>
      <c r="E400" s="74"/>
      <c r="F400" s="74"/>
    </row>
    <row r="401">
      <c r="A401" s="74"/>
      <c r="B401" s="74"/>
      <c r="C401" s="74"/>
      <c r="D401" s="74"/>
      <c r="E401" s="74"/>
      <c r="F401" s="74"/>
    </row>
    <row r="402">
      <c r="A402" s="74"/>
      <c r="B402" s="74"/>
      <c r="C402" s="74"/>
      <c r="D402" s="74"/>
      <c r="E402" s="74"/>
      <c r="F402" s="74"/>
    </row>
    <row r="403">
      <c r="A403" s="74"/>
      <c r="B403" s="74"/>
      <c r="C403" s="74"/>
      <c r="D403" s="74"/>
      <c r="E403" s="74"/>
      <c r="F403" s="74"/>
    </row>
    <row r="404">
      <c r="A404" s="74"/>
      <c r="B404" s="74"/>
      <c r="C404" s="74"/>
      <c r="D404" s="74"/>
      <c r="E404" s="74"/>
      <c r="F404" s="74"/>
    </row>
    <row r="405">
      <c r="A405" s="74"/>
      <c r="B405" s="74"/>
      <c r="C405" s="74"/>
      <c r="D405" s="74"/>
      <c r="E405" s="74"/>
      <c r="F405" s="74"/>
    </row>
    <row r="406">
      <c r="A406" s="74"/>
      <c r="B406" s="74"/>
      <c r="C406" s="74"/>
      <c r="D406" s="74"/>
      <c r="E406" s="74"/>
      <c r="F406" s="74"/>
    </row>
    <row r="407">
      <c r="A407" s="74"/>
      <c r="B407" s="74"/>
      <c r="C407" s="74"/>
      <c r="D407" s="74"/>
      <c r="E407" s="74"/>
      <c r="F407" s="74"/>
    </row>
    <row r="408">
      <c r="A408" s="74"/>
      <c r="B408" s="74"/>
      <c r="C408" s="74"/>
      <c r="D408" s="74"/>
      <c r="E408" s="74"/>
      <c r="F408" s="74"/>
    </row>
    <row r="409">
      <c r="A409" s="74"/>
      <c r="B409" s="74"/>
      <c r="C409" s="74"/>
      <c r="D409" s="74"/>
      <c r="E409" s="74"/>
      <c r="F409" s="74"/>
    </row>
    <row r="410">
      <c r="A410" s="74"/>
      <c r="B410" s="74"/>
      <c r="C410" s="74"/>
      <c r="D410" s="74"/>
      <c r="E410" s="74"/>
      <c r="F410" s="74"/>
    </row>
    <row r="411">
      <c r="A411" s="74"/>
      <c r="B411" s="74"/>
      <c r="C411" s="74"/>
      <c r="D411" s="74"/>
      <c r="E411" s="74"/>
      <c r="F411" s="74"/>
    </row>
    <row r="412">
      <c r="A412" s="74"/>
      <c r="B412" s="74"/>
      <c r="C412" s="74"/>
      <c r="D412" s="74"/>
      <c r="E412" s="74"/>
      <c r="F412" s="74"/>
    </row>
    <row r="413">
      <c r="A413" s="74"/>
      <c r="B413" s="74"/>
      <c r="C413" s="74"/>
      <c r="D413" s="74"/>
      <c r="E413" s="74"/>
      <c r="F413" s="74"/>
    </row>
    <row r="414">
      <c r="A414" s="74"/>
      <c r="B414" s="74"/>
      <c r="C414" s="74"/>
      <c r="D414" s="74"/>
      <c r="E414" s="74"/>
      <c r="F414" s="74"/>
    </row>
    <row r="415">
      <c r="A415" s="74"/>
      <c r="B415" s="74"/>
      <c r="C415" s="74"/>
      <c r="D415" s="74"/>
      <c r="E415" s="74"/>
      <c r="F415" s="74"/>
    </row>
    <row r="416">
      <c r="A416" s="74"/>
      <c r="B416" s="74"/>
      <c r="C416" s="74"/>
      <c r="D416" s="74"/>
      <c r="E416" s="74"/>
      <c r="F416" s="74"/>
    </row>
    <row r="417">
      <c r="A417" s="74"/>
      <c r="B417" s="74"/>
      <c r="C417" s="74"/>
      <c r="D417" s="74"/>
      <c r="E417" s="74"/>
      <c r="F417" s="74"/>
    </row>
    <row r="418">
      <c r="A418" s="74"/>
      <c r="B418" s="74"/>
      <c r="C418" s="74"/>
      <c r="D418" s="74"/>
      <c r="E418" s="74"/>
      <c r="F418" s="74"/>
    </row>
    <row r="419">
      <c r="A419" s="74"/>
      <c r="B419" s="74"/>
      <c r="C419" s="74"/>
      <c r="D419" s="74"/>
      <c r="E419" s="74"/>
      <c r="F419" s="74"/>
    </row>
    <row r="420">
      <c r="A420" s="74"/>
      <c r="B420" s="74"/>
      <c r="C420" s="74"/>
      <c r="D420" s="74"/>
      <c r="E420" s="74"/>
      <c r="F420" s="74"/>
    </row>
    <row r="421">
      <c r="A421" s="74"/>
      <c r="B421" s="74"/>
      <c r="C421" s="74"/>
      <c r="D421" s="74"/>
      <c r="E421" s="74"/>
      <c r="F421" s="74"/>
    </row>
    <row r="422">
      <c r="A422" s="74"/>
      <c r="B422" s="74"/>
      <c r="C422" s="74"/>
      <c r="D422" s="74"/>
      <c r="E422" s="74"/>
      <c r="F422" s="74"/>
    </row>
    <row r="423">
      <c r="A423" s="74"/>
      <c r="B423" s="74"/>
      <c r="C423" s="74"/>
      <c r="D423" s="74"/>
      <c r="E423" s="74"/>
      <c r="F423" s="74"/>
    </row>
    <row r="424">
      <c r="A424" s="74"/>
      <c r="B424" s="74"/>
      <c r="C424" s="74"/>
      <c r="D424" s="74"/>
      <c r="E424" s="74"/>
      <c r="F424" s="74"/>
    </row>
    <row r="425">
      <c r="A425" s="74"/>
      <c r="B425" s="74"/>
      <c r="C425" s="74"/>
      <c r="D425" s="74"/>
      <c r="E425" s="74"/>
      <c r="F425" s="74"/>
    </row>
    <row r="426">
      <c r="A426" s="74"/>
      <c r="B426" s="74"/>
      <c r="C426" s="74"/>
      <c r="D426" s="74"/>
      <c r="E426" s="74"/>
      <c r="F426" s="74"/>
    </row>
    <row r="427">
      <c r="A427" s="74"/>
      <c r="B427" s="74"/>
      <c r="C427" s="74"/>
      <c r="D427" s="74"/>
      <c r="E427" s="74"/>
      <c r="F427" s="74"/>
    </row>
    <row r="428">
      <c r="A428" s="74"/>
      <c r="B428" s="74"/>
      <c r="C428" s="74"/>
      <c r="D428" s="74"/>
      <c r="E428" s="74"/>
      <c r="F428" s="74"/>
    </row>
    <row r="429">
      <c r="A429" s="74"/>
      <c r="B429" s="74"/>
      <c r="C429" s="74"/>
      <c r="D429" s="74"/>
      <c r="E429" s="74"/>
      <c r="F429" s="74"/>
    </row>
    <row r="430">
      <c r="A430" s="74"/>
      <c r="B430" s="74"/>
      <c r="C430" s="74"/>
      <c r="D430" s="74"/>
      <c r="E430" s="74"/>
      <c r="F430" s="74"/>
    </row>
    <row r="431">
      <c r="A431" s="74"/>
      <c r="B431" s="74"/>
      <c r="C431" s="74"/>
      <c r="D431" s="74"/>
      <c r="E431" s="74"/>
      <c r="F431" s="74"/>
    </row>
    <row r="432">
      <c r="A432" s="74"/>
      <c r="B432" s="74"/>
      <c r="C432" s="74"/>
      <c r="D432" s="74"/>
      <c r="E432" s="74"/>
      <c r="F432" s="74"/>
    </row>
    <row r="433">
      <c r="A433" s="74"/>
      <c r="B433" s="74"/>
      <c r="C433" s="74"/>
      <c r="D433" s="74"/>
      <c r="E433" s="74"/>
      <c r="F433" s="74"/>
    </row>
    <row r="434">
      <c r="A434" s="74"/>
      <c r="B434" s="74"/>
      <c r="C434" s="74"/>
      <c r="D434" s="74"/>
      <c r="E434" s="74"/>
      <c r="F434" s="74"/>
    </row>
    <row r="435">
      <c r="A435" s="74"/>
      <c r="B435" s="74"/>
      <c r="C435" s="74"/>
      <c r="D435" s="74"/>
      <c r="E435" s="74"/>
      <c r="F435" s="74"/>
    </row>
    <row r="436">
      <c r="A436" s="74"/>
      <c r="B436" s="74"/>
      <c r="C436" s="74"/>
      <c r="D436" s="74"/>
      <c r="E436" s="74"/>
      <c r="F436" s="74"/>
    </row>
    <row r="437">
      <c r="A437" s="74"/>
      <c r="B437" s="74"/>
      <c r="C437" s="74"/>
      <c r="D437" s="74"/>
      <c r="E437" s="74"/>
      <c r="F437" s="74"/>
    </row>
    <row r="438">
      <c r="A438" s="74"/>
      <c r="B438" s="74"/>
      <c r="C438" s="74"/>
      <c r="D438" s="74"/>
      <c r="E438" s="74"/>
      <c r="F438" s="74"/>
    </row>
    <row r="439">
      <c r="A439" s="74"/>
      <c r="B439" s="74"/>
      <c r="C439" s="74"/>
      <c r="D439" s="74"/>
      <c r="E439" s="74"/>
      <c r="F439" s="74"/>
    </row>
    <row r="440">
      <c r="A440" s="74"/>
      <c r="B440" s="74"/>
      <c r="C440" s="74"/>
      <c r="D440" s="74"/>
      <c r="E440" s="74"/>
      <c r="F440" s="74"/>
    </row>
    <row r="441">
      <c r="A441" s="74"/>
      <c r="B441" s="74"/>
      <c r="C441" s="74"/>
      <c r="D441" s="74"/>
      <c r="E441" s="74"/>
      <c r="F441" s="74"/>
    </row>
    <row r="442">
      <c r="A442" s="74"/>
      <c r="B442" s="74"/>
      <c r="C442" s="74"/>
      <c r="D442" s="74"/>
      <c r="E442" s="74"/>
      <c r="F442" s="74"/>
    </row>
    <row r="443">
      <c r="A443" s="74"/>
      <c r="B443" s="74"/>
      <c r="C443" s="74"/>
      <c r="D443" s="74"/>
      <c r="E443" s="74"/>
      <c r="F443" s="74"/>
    </row>
    <row r="444">
      <c r="A444" s="74"/>
      <c r="B444" s="74"/>
      <c r="C444" s="74"/>
      <c r="D444" s="74"/>
      <c r="E444" s="74"/>
      <c r="F444" s="74"/>
    </row>
    <row r="445">
      <c r="A445" s="74"/>
      <c r="B445" s="74"/>
      <c r="C445" s="74"/>
      <c r="D445" s="74"/>
      <c r="E445" s="74"/>
      <c r="F445" s="74"/>
    </row>
    <row r="446">
      <c r="A446" s="74"/>
      <c r="B446" s="74"/>
      <c r="C446" s="74"/>
      <c r="D446" s="74"/>
      <c r="E446" s="74"/>
      <c r="F446" s="74"/>
    </row>
    <row r="447">
      <c r="A447" s="74"/>
      <c r="B447" s="74"/>
      <c r="C447" s="74"/>
      <c r="D447" s="74"/>
      <c r="E447" s="74"/>
      <c r="F447" s="74"/>
    </row>
    <row r="448">
      <c r="A448" s="74"/>
      <c r="B448" s="74"/>
      <c r="C448" s="74"/>
      <c r="D448" s="74"/>
      <c r="E448" s="74"/>
      <c r="F448" s="74"/>
    </row>
    <row r="449">
      <c r="A449" s="74"/>
      <c r="B449" s="74"/>
      <c r="C449" s="74"/>
      <c r="D449" s="74"/>
      <c r="E449" s="74"/>
      <c r="F449" s="74"/>
    </row>
    <row r="450">
      <c r="A450" s="74"/>
      <c r="B450" s="74"/>
      <c r="C450" s="74"/>
      <c r="D450" s="74"/>
      <c r="E450" s="74"/>
      <c r="F450" s="74"/>
    </row>
    <row r="451">
      <c r="A451" s="74"/>
      <c r="B451" s="74"/>
      <c r="C451" s="74"/>
      <c r="D451" s="74"/>
      <c r="E451" s="74"/>
      <c r="F451" s="74"/>
    </row>
    <row r="452">
      <c r="A452" s="74"/>
      <c r="B452" s="74"/>
      <c r="C452" s="74"/>
      <c r="D452" s="74"/>
      <c r="E452" s="74"/>
      <c r="F452" s="74"/>
    </row>
    <row r="453">
      <c r="A453" s="74"/>
      <c r="B453" s="74"/>
      <c r="C453" s="74"/>
      <c r="D453" s="74"/>
      <c r="E453" s="74"/>
      <c r="F453" s="74"/>
    </row>
    <row r="454">
      <c r="A454" s="74"/>
      <c r="B454" s="74"/>
      <c r="C454" s="74"/>
      <c r="D454" s="74"/>
      <c r="E454" s="74"/>
      <c r="F454" s="74"/>
    </row>
    <row r="455">
      <c r="A455" s="74"/>
      <c r="B455" s="74"/>
      <c r="C455" s="74"/>
      <c r="D455" s="74"/>
      <c r="E455" s="74"/>
      <c r="F455" s="74"/>
    </row>
    <row r="456">
      <c r="A456" s="74"/>
      <c r="B456" s="74"/>
      <c r="C456" s="74"/>
      <c r="D456" s="74"/>
      <c r="E456" s="74"/>
      <c r="F456" s="74"/>
    </row>
    <row r="457">
      <c r="A457" s="74"/>
      <c r="B457" s="74"/>
      <c r="C457" s="74"/>
      <c r="D457" s="74"/>
      <c r="E457" s="74"/>
      <c r="F457" s="74"/>
    </row>
    <row r="458">
      <c r="A458" s="74"/>
      <c r="B458" s="74"/>
      <c r="C458" s="74"/>
      <c r="D458" s="74"/>
      <c r="E458" s="74"/>
      <c r="F458" s="74"/>
    </row>
    <row r="459">
      <c r="A459" s="74"/>
      <c r="B459" s="74"/>
      <c r="C459" s="74"/>
      <c r="D459" s="74"/>
      <c r="E459" s="74"/>
      <c r="F459" s="74"/>
    </row>
    <row r="460">
      <c r="A460" s="74"/>
      <c r="B460" s="74"/>
      <c r="C460" s="74"/>
      <c r="D460" s="74"/>
      <c r="E460" s="74"/>
      <c r="F460" s="74"/>
    </row>
    <row r="461">
      <c r="A461" s="74"/>
      <c r="B461" s="74"/>
      <c r="C461" s="74"/>
      <c r="D461" s="74"/>
      <c r="E461" s="74"/>
      <c r="F461" s="74"/>
    </row>
    <row r="462">
      <c r="A462" s="74"/>
      <c r="B462" s="74"/>
      <c r="C462" s="74"/>
      <c r="D462" s="74"/>
      <c r="E462" s="74"/>
      <c r="F462" s="74"/>
    </row>
    <row r="463">
      <c r="A463" s="74"/>
      <c r="B463" s="74"/>
      <c r="C463" s="74"/>
      <c r="D463" s="74"/>
      <c r="E463" s="74"/>
      <c r="F463" s="74"/>
    </row>
    <row r="464">
      <c r="A464" s="74"/>
      <c r="B464" s="74"/>
      <c r="C464" s="74"/>
      <c r="D464" s="74"/>
      <c r="E464" s="74"/>
      <c r="F464" s="74"/>
    </row>
    <row r="465">
      <c r="A465" s="74"/>
      <c r="B465" s="74"/>
      <c r="C465" s="74"/>
      <c r="D465" s="74"/>
      <c r="E465" s="74"/>
      <c r="F465" s="74"/>
    </row>
    <row r="466">
      <c r="A466" s="74"/>
      <c r="B466" s="74"/>
      <c r="C466" s="74"/>
      <c r="D466" s="74"/>
      <c r="E466" s="74"/>
      <c r="F466" s="74"/>
    </row>
    <row r="467">
      <c r="A467" s="74"/>
      <c r="B467" s="74"/>
      <c r="C467" s="74"/>
      <c r="D467" s="74"/>
      <c r="E467" s="74"/>
      <c r="F467" s="74"/>
    </row>
    <row r="468">
      <c r="A468" s="74"/>
      <c r="B468" s="74"/>
      <c r="C468" s="74"/>
      <c r="D468" s="74"/>
      <c r="E468" s="74"/>
      <c r="F468" s="74"/>
    </row>
    <row r="469">
      <c r="A469" s="74"/>
      <c r="B469" s="74"/>
      <c r="C469" s="74"/>
      <c r="D469" s="74"/>
      <c r="E469" s="74"/>
      <c r="F469" s="74"/>
    </row>
    <row r="470">
      <c r="A470" s="74"/>
      <c r="B470" s="74"/>
      <c r="C470" s="74"/>
      <c r="D470" s="74"/>
      <c r="E470" s="74"/>
      <c r="F470" s="74"/>
    </row>
    <row r="471">
      <c r="A471" s="74"/>
      <c r="B471" s="74"/>
      <c r="C471" s="74"/>
      <c r="D471" s="74"/>
      <c r="E471" s="74"/>
      <c r="F471" s="74"/>
    </row>
    <row r="472">
      <c r="A472" s="74"/>
      <c r="B472" s="74"/>
      <c r="C472" s="74"/>
      <c r="D472" s="74"/>
      <c r="E472" s="74"/>
      <c r="F472" s="74"/>
    </row>
    <row r="473">
      <c r="A473" s="74"/>
      <c r="B473" s="74"/>
      <c r="C473" s="74"/>
      <c r="D473" s="74"/>
      <c r="E473" s="74"/>
      <c r="F473" s="74"/>
    </row>
    <row r="474">
      <c r="A474" s="74"/>
      <c r="B474" s="74"/>
      <c r="C474" s="74"/>
      <c r="D474" s="74"/>
      <c r="E474" s="74"/>
      <c r="F474" s="74"/>
    </row>
    <row r="475">
      <c r="A475" s="74"/>
      <c r="B475" s="74"/>
      <c r="C475" s="74"/>
      <c r="D475" s="74"/>
      <c r="E475" s="74"/>
      <c r="F475" s="74"/>
    </row>
    <row r="476">
      <c r="A476" s="74"/>
      <c r="B476" s="74"/>
      <c r="C476" s="74"/>
      <c r="D476" s="74"/>
      <c r="E476" s="74"/>
      <c r="F476" s="74"/>
    </row>
    <row r="477">
      <c r="A477" s="74"/>
      <c r="B477" s="74"/>
      <c r="C477" s="74"/>
      <c r="D477" s="74"/>
      <c r="E477" s="74"/>
      <c r="F477" s="74"/>
    </row>
    <row r="478">
      <c r="A478" s="74"/>
      <c r="B478" s="74"/>
      <c r="C478" s="74"/>
      <c r="D478" s="74"/>
      <c r="E478" s="74"/>
      <c r="F478" s="74"/>
    </row>
    <row r="479">
      <c r="A479" s="74"/>
      <c r="B479" s="74"/>
      <c r="C479" s="74"/>
      <c r="D479" s="74"/>
      <c r="E479" s="74"/>
      <c r="F479" s="74"/>
    </row>
    <row r="480">
      <c r="A480" s="74"/>
      <c r="B480" s="74"/>
      <c r="C480" s="74"/>
      <c r="D480" s="74"/>
      <c r="E480" s="74"/>
      <c r="F480" s="74"/>
    </row>
    <row r="481">
      <c r="A481" s="74"/>
      <c r="B481" s="74"/>
      <c r="C481" s="74"/>
      <c r="D481" s="74"/>
      <c r="E481" s="74"/>
      <c r="F481" s="74"/>
    </row>
    <row r="482">
      <c r="A482" s="74"/>
      <c r="B482" s="74"/>
      <c r="C482" s="74"/>
      <c r="D482" s="74"/>
      <c r="E482" s="74"/>
      <c r="F482" s="74"/>
    </row>
    <row r="483">
      <c r="A483" s="74"/>
      <c r="B483" s="74"/>
      <c r="C483" s="74"/>
      <c r="D483" s="74"/>
      <c r="E483" s="74"/>
      <c r="F483" s="74"/>
    </row>
    <row r="484">
      <c r="A484" s="74"/>
      <c r="B484" s="74"/>
      <c r="C484" s="74"/>
      <c r="D484" s="74"/>
      <c r="E484" s="74"/>
      <c r="F484" s="74"/>
    </row>
    <row r="485">
      <c r="A485" s="74"/>
      <c r="B485" s="74"/>
      <c r="C485" s="74"/>
      <c r="D485" s="74"/>
      <c r="E485" s="74"/>
      <c r="F485" s="74"/>
    </row>
    <row r="486">
      <c r="A486" s="74"/>
      <c r="B486" s="74"/>
      <c r="C486" s="74"/>
      <c r="D486" s="74"/>
      <c r="E486" s="74"/>
      <c r="F486" s="74"/>
    </row>
    <row r="487">
      <c r="A487" s="74"/>
      <c r="B487" s="74"/>
      <c r="C487" s="74"/>
      <c r="D487" s="74"/>
      <c r="E487" s="74"/>
      <c r="F487" s="74"/>
    </row>
    <row r="488">
      <c r="A488" s="74"/>
      <c r="B488" s="74"/>
      <c r="C488" s="74"/>
      <c r="D488" s="74"/>
      <c r="E488" s="74"/>
      <c r="F488" s="74"/>
    </row>
    <row r="489">
      <c r="A489" s="74"/>
      <c r="B489" s="74"/>
      <c r="C489" s="74"/>
      <c r="D489" s="74"/>
      <c r="E489" s="74"/>
      <c r="F489" s="74"/>
    </row>
    <row r="490">
      <c r="A490" s="74"/>
      <c r="B490" s="74"/>
      <c r="C490" s="74"/>
      <c r="D490" s="74"/>
      <c r="E490" s="74"/>
      <c r="F490" s="74"/>
    </row>
    <row r="491">
      <c r="A491" s="74"/>
      <c r="B491" s="74"/>
      <c r="C491" s="74"/>
      <c r="D491" s="74"/>
      <c r="E491" s="74"/>
      <c r="F491" s="74"/>
    </row>
    <row r="492">
      <c r="A492" s="74"/>
      <c r="B492" s="74"/>
      <c r="C492" s="74"/>
      <c r="D492" s="74"/>
      <c r="E492" s="74"/>
      <c r="F492" s="74"/>
    </row>
    <row r="493">
      <c r="A493" s="74"/>
      <c r="B493" s="74"/>
      <c r="C493" s="74"/>
      <c r="D493" s="74"/>
      <c r="E493" s="74"/>
      <c r="F493" s="74"/>
    </row>
    <row r="494">
      <c r="A494" s="74"/>
      <c r="B494" s="74"/>
      <c r="C494" s="74"/>
      <c r="D494" s="74"/>
      <c r="E494" s="74"/>
      <c r="F494" s="74"/>
    </row>
    <row r="495">
      <c r="A495" s="74"/>
      <c r="B495" s="74"/>
      <c r="C495" s="74"/>
      <c r="D495" s="74"/>
      <c r="E495" s="74"/>
      <c r="F495" s="74"/>
    </row>
    <row r="496">
      <c r="A496" s="74"/>
      <c r="B496" s="74"/>
      <c r="C496" s="74"/>
      <c r="D496" s="74"/>
      <c r="E496" s="74"/>
      <c r="F496" s="74"/>
    </row>
    <row r="497">
      <c r="A497" s="74"/>
      <c r="B497" s="74"/>
      <c r="C497" s="74"/>
      <c r="D497" s="74"/>
      <c r="E497" s="74"/>
      <c r="F497" s="74"/>
    </row>
    <row r="498">
      <c r="A498" s="74"/>
      <c r="B498" s="74"/>
      <c r="C498" s="74"/>
      <c r="D498" s="74"/>
      <c r="E498" s="74"/>
      <c r="F498" s="74"/>
    </row>
    <row r="499">
      <c r="A499" s="74"/>
      <c r="B499" s="74"/>
      <c r="C499" s="74"/>
      <c r="D499" s="74"/>
      <c r="E499" s="74"/>
      <c r="F499" s="74"/>
    </row>
    <row r="500">
      <c r="A500" s="74"/>
      <c r="B500" s="74"/>
      <c r="C500" s="74"/>
      <c r="D500" s="74"/>
      <c r="E500" s="74"/>
      <c r="F500" s="74"/>
    </row>
    <row r="501">
      <c r="A501" s="74"/>
      <c r="B501" s="74"/>
      <c r="C501" s="74"/>
      <c r="D501" s="74"/>
      <c r="E501" s="74"/>
      <c r="F501" s="74"/>
    </row>
    <row r="502">
      <c r="A502" s="74"/>
      <c r="B502" s="74"/>
      <c r="C502" s="74"/>
      <c r="D502" s="74"/>
      <c r="E502" s="74"/>
      <c r="F502" s="74"/>
    </row>
    <row r="503">
      <c r="A503" s="74"/>
      <c r="B503" s="74"/>
      <c r="C503" s="74"/>
      <c r="D503" s="74"/>
      <c r="E503" s="74"/>
      <c r="F503" s="74"/>
    </row>
    <row r="504">
      <c r="A504" s="74"/>
      <c r="B504" s="74"/>
      <c r="C504" s="74"/>
      <c r="D504" s="74"/>
      <c r="E504" s="74"/>
      <c r="F504" s="74"/>
    </row>
    <row r="505">
      <c r="A505" s="74"/>
      <c r="B505" s="74"/>
      <c r="C505" s="74"/>
      <c r="D505" s="74"/>
      <c r="E505" s="74"/>
      <c r="F505" s="74"/>
    </row>
    <row r="506">
      <c r="A506" s="74"/>
      <c r="B506" s="74"/>
      <c r="C506" s="74"/>
      <c r="D506" s="74"/>
      <c r="E506" s="74"/>
      <c r="F506" s="74"/>
    </row>
    <row r="507">
      <c r="A507" s="74"/>
      <c r="B507" s="74"/>
      <c r="C507" s="74"/>
      <c r="D507" s="74"/>
      <c r="E507" s="74"/>
      <c r="F507" s="74"/>
    </row>
    <row r="508">
      <c r="A508" s="74"/>
      <c r="B508" s="74"/>
      <c r="C508" s="74"/>
      <c r="D508" s="74"/>
      <c r="E508" s="74"/>
      <c r="F508" s="74"/>
    </row>
    <row r="509">
      <c r="A509" s="74"/>
      <c r="B509" s="74"/>
      <c r="C509" s="74"/>
      <c r="D509" s="74"/>
      <c r="E509" s="74"/>
      <c r="F509" s="74"/>
    </row>
    <row r="510">
      <c r="A510" s="74"/>
      <c r="B510" s="74"/>
      <c r="C510" s="74"/>
      <c r="D510" s="74"/>
      <c r="E510" s="74"/>
      <c r="F510" s="74"/>
    </row>
    <row r="511">
      <c r="A511" s="74"/>
      <c r="B511" s="74"/>
      <c r="C511" s="74"/>
      <c r="D511" s="74"/>
      <c r="E511" s="74"/>
      <c r="F511" s="74"/>
    </row>
    <row r="512">
      <c r="A512" s="74"/>
      <c r="B512" s="74"/>
      <c r="C512" s="74"/>
      <c r="D512" s="74"/>
      <c r="E512" s="74"/>
      <c r="F512" s="74"/>
    </row>
    <row r="513">
      <c r="A513" s="74"/>
      <c r="B513" s="74"/>
      <c r="C513" s="74"/>
      <c r="D513" s="74"/>
      <c r="E513" s="74"/>
      <c r="F513" s="74"/>
    </row>
    <row r="514">
      <c r="A514" s="74"/>
      <c r="B514" s="74"/>
      <c r="C514" s="74"/>
      <c r="D514" s="74"/>
      <c r="E514" s="74"/>
      <c r="F514" s="74"/>
    </row>
    <row r="515">
      <c r="A515" s="74"/>
      <c r="B515" s="74"/>
      <c r="C515" s="74"/>
      <c r="D515" s="74"/>
      <c r="E515" s="74"/>
      <c r="F515" s="74"/>
    </row>
    <row r="516">
      <c r="A516" s="74"/>
      <c r="B516" s="74"/>
      <c r="C516" s="74"/>
      <c r="D516" s="74"/>
      <c r="E516" s="74"/>
      <c r="F516" s="74"/>
    </row>
    <row r="517">
      <c r="A517" s="74"/>
      <c r="B517" s="74"/>
      <c r="C517" s="74"/>
      <c r="D517" s="74"/>
      <c r="E517" s="74"/>
      <c r="F517" s="74"/>
    </row>
    <row r="518">
      <c r="A518" s="74"/>
      <c r="B518" s="74"/>
      <c r="C518" s="74"/>
      <c r="D518" s="74"/>
      <c r="E518" s="74"/>
      <c r="F518" s="74"/>
    </row>
    <row r="519">
      <c r="A519" s="74"/>
      <c r="B519" s="74"/>
      <c r="C519" s="74"/>
      <c r="D519" s="74"/>
      <c r="E519" s="74"/>
      <c r="F519" s="74"/>
    </row>
    <row r="520">
      <c r="A520" s="74"/>
      <c r="B520" s="74"/>
      <c r="C520" s="74"/>
      <c r="D520" s="74"/>
      <c r="E520" s="74"/>
      <c r="F520" s="74"/>
    </row>
    <row r="521">
      <c r="A521" s="74"/>
      <c r="B521" s="74"/>
      <c r="C521" s="74"/>
      <c r="D521" s="74"/>
      <c r="E521" s="74"/>
      <c r="F521" s="74"/>
    </row>
    <row r="522">
      <c r="A522" s="74"/>
      <c r="B522" s="74"/>
      <c r="C522" s="74"/>
      <c r="D522" s="74"/>
      <c r="E522" s="74"/>
      <c r="F522" s="74"/>
    </row>
    <row r="523">
      <c r="A523" s="74"/>
      <c r="B523" s="74"/>
      <c r="C523" s="74"/>
      <c r="D523" s="74"/>
      <c r="E523" s="74"/>
      <c r="F523" s="74"/>
    </row>
    <row r="524">
      <c r="A524" s="74"/>
      <c r="B524" s="74"/>
      <c r="C524" s="74"/>
      <c r="D524" s="74"/>
      <c r="E524" s="74"/>
      <c r="F524" s="74"/>
    </row>
    <row r="525">
      <c r="A525" s="74"/>
      <c r="B525" s="74"/>
      <c r="C525" s="74"/>
      <c r="D525" s="74"/>
      <c r="E525" s="74"/>
      <c r="F525" s="74"/>
    </row>
    <row r="526">
      <c r="A526" s="74"/>
      <c r="B526" s="74"/>
      <c r="C526" s="74"/>
      <c r="D526" s="74"/>
      <c r="E526" s="74"/>
      <c r="F526" s="74"/>
    </row>
    <row r="527">
      <c r="A527" s="74"/>
      <c r="B527" s="74"/>
      <c r="C527" s="74"/>
      <c r="D527" s="74"/>
      <c r="E527" s="74"/>
      <c r="F527" s="74"/>
    </row>
    <row r="528">
      <c r="A528" s="74"/>
      <c r="B528" s="74"/>
      <c r="C528" s="74"/>
      <c r="D528" s="74"/>
      <c r="E528" s="74"/>
      <c r="F528" s="74"/>
    </row>
    <row r="529">
      <c r="A529" s="74"/>
      <c r="B529" s="74"/>
      <c r="C529" s="74"/>
      <c r="D529" s="74"/>
      <c r="E529" s="74"/>
      <c r="F529" s="74"/>
    </row>
    <row r="530">
      <c r="A530" s="74"/>
      <c r="B530" s="74"/>
      <c r="C530" s="74"/>
      <c r="D530" s="74"/>
      <c r="E530" s="74"/>
      <c r="F530" s="74"/>
    </row>
    <row r="531">
      <c r="A531" s="74"/>
      <c r="B531" s="74"/>
      <c r="C531" s="74"/>
      <c r="D531" s="74"/>
      <c r="E531" s="74"/>
      <c r="F531" s="74"/>
    </row>
    <row r="532">
      <c r="A532" s="74"/>
      <c r="B532" s="74"/>
      <c r="C532" s="74"/>
      <c r="D532" s="74"/>
      <c r="E532" s="74"/>
      <c r="F532" s="74"/>
    </row>
    <row r="533">
      <c r="A533" s="74"/>
      <c r="B533" s="74"/>
      <c r="C533" s="74"/>
      <c r="D533" s="74"/>
      <c r="E533" s="74"/>
      <c r="F533" s="74"/>
    </row>
    <row r="534">
      <c r="A534" s="74"/>
      <c r="B534" s="74"/>
      <c r="C534" s="74"/>
      <c r="D534" s="74"/>
      <c r="E534" s="74"/>
      <c r="F534" s="74"/>
    </row>
    <row r="535">
      <c r="A535" s="74"/>
      <c r="B535" s="74"/>
      <c r="C535" s="74"/>
      <c r="D535" s="74"/>
      <c r="E535" s="74"/>
      <c r="F535" s="74"/>
    </row>
    <row r="536">
      <c r="A536" s="74"/>
      <c r="B536" s="74"/>
      <c r="C536" s="74"/>
      <c r="D536" s="74"/>
      <c r="E536" s="74"/>
      <c r="F536" s="74"/>
    </row>
    <row r="537">
      <c r="A537" s="74"/>
      <c r="B537" s="74"/>
      <c r="C537" s="74"/>
      <c r="D537" s="74"/>
      <c r="E537" s="74"/>
      <c r="F537" s="74"/>
    </row>
    <row r="538">
      <c r="A538" s="74"/>
      <c r="B538" s="74"/>
      <c r="C538" s="74"/>
      <c r="D538" s="74"/>
      <c r="E538" s="74"/>
      <c r="F538" s="74"/>
    </row>
    <row r="539">
      <c r="A539" s="74"/>
      <c r="B539" s="74"/>
      <c r="C539" s="74"/>
      <c r="D539" s="74"/>
      <c r="E539" s="74"/>
      <c r="F539" s="74"/>
    </row>
    <row r="540">
      <c r="A540" s="74"/>
      <c r="B540" s="74"/>
      <c r="C540" s="74"/>
      <c r="D540" s="74"/>
      <c r="E540" s="74"/>
      <c r="F540" s="74"/>
    </row>
    <row r="541">
      <c r="A541" s="74"/>
      <c r="B541" s="74"/>
      <c r="C541" s="74"/>
      <c r="D541" s="74"/>
      <c r="E541" s="74"/>
      <c r="F541" s="74"/>
    </row>
    <row r="542">
      <c r="A542" s="74"/>
      <c r="B542" s="74"/>
      <c r="C542" s="74"/>
      <c r="D542" s="74"/>
      <c r="E542" s="74"/>
      <c r="F542" s="74"/>
    </row>
    <row r="543">
      <c r="A543" s="74"/>
      <c r="B543" s="74"/>
      <c r="C543" s="74"/>
      <c r="D543" s="74"/>
      <c r="E543" s="74"/>
      <c r="F543" s="74"/>
    </row>
    <row r="544">
      <c r="A544" s="74"/>
      <c r="B544" s="74"/>
      <c r="C544" s="74"/>
      <c r="D544" s="74"/>
      <c r="E544" s="74"/>
      <c r="F544" s="74"/>
    </row>
    <row r="545">
      <c r="A545" s="74"/>
      <c r="B545" s="74"/>
      <c r="C545" s="74"/>
      <c r="D545" s="74"/>
      <c r="E545" s="74"/>
      <c r="F545" s="74"/>
    </row>
    <row r="546">
      <c r="A546" s="74"/>
      <c r="B546" s="74"/>
      <c r="C546" s="74"/>
      <c r="D546" s="74"/>
      <c r="E546" s="74"/>
      <c r="F546" s="74"/>
    </row>
    <row r="547">
      <c r="A547" s="74"/>
      <c r="B547" s="74"/>
      <c r="C547" s="74"/>
      <c r="D547" s="74"/>
      <c r="E547" s="74"/>
      <c r="F547" s="74"/>
    </row>
    <row r="548">
      <c r="A548" s="74"/>
      <c r="B548" s="74"/>
      <c r="C548" s="74"/>
      <c r="D548" s="74"/>
      <c r="E548" s="74"/>
      <c r="F548" s="74"/>
    </row>
    <row r="549">
      <c r="A549" s="74"/>
      <c r="B549" s="74"/>
      <c r="C549" s="74"/>
      <c r="D549" s="74"/>
      <c r="E549" s="74"/>
      <c r="F549" s="74"/>
    </row>
    <row r="550">
      <c r="A550" s="74"/>
      <c r="B550" s="74"/>
      <c r="C550" s="74"/>
      <c r="D550" s="74"/>
      <c r="E550" s="74"/>
      <c r="F550" s="74"/>
    </row>
    <row r="551">
      <c r="A551" s="74"/>
      <c r="B551" s="74"/>
      <c r="C551" s="74"/>
      <c r="D551" s="74"/>
      <c r="E551" s="74"/>
      <c r="F551" s="74"/>
    </row>
    <row r="552">
      <c r="A552" s="74"/>
      <c r="B552" s="74"/>
      <c r="C552" s="74"/>
      <c r="D552" s="74"/>
      <c r="E552" s="74"/>
      <c r="F552" s="74"/>
    </row>
    <row r="553">
      <c r="A553" s="74"/>
      <c r="B553" s="74"/>
      <c r="C553" s="74"/>
      <c r="D553" s="74"/>
      <c r="E553" s="74"/>
      <c r="F553" s="74"/>
    </row>
    <row r="554">
      <c r="A554" s="74"/>
      <c r="B554" s="74"/>
      <c r="C554" s="74"/>
      <c r="D554" s="74"/>
      <c r="E554" s="74"/>
      <c r="F554" s="74"/>
    </row>
    <row r="555">
      <c r="A555" s="74"/>
      <c r="B555" s="74"/>
      <c r="C555" s="74"/>
      <c r="D555" s="74"/>
      <c r="E555" s="74"/>
      <c r="F555" s="74"/>
    </row>
    <row r="556">
      <c r="A556" s="74"/>
      <c r="B556" s="74"/>
      <c r="C556" s="74"/>
      <c r="D556" s="74"/>
      <c r="E556" s="74"/>
      <c r="F556" s="74"/>
    </row>
    <row r="557">
      <c r="A557" s="74"/>
      <c r="B557" s="74"/>
      <c r="C557" s="74"/>
      <c r="D557" s="74"/>
      <c r="E557" s="74"/>
      <c r="F557" s="74"/>
    </row>
    <row r="558">
      <c r="A558" s="74"/>
      <c r="B558" s="74"/>
      <c r="C558" s="74"/>
      <c r="D558" s="74"/>
      <c r="E558" s="74"/>
      <c r="F558" s="74"/>
    </row>
    <row r="559">
      <c r="A559" s="74"/>
      <c r="B559" s="74"/>
      <c r="C559" s="74"/>
      <c r="D559" s="74"/>
      <c r="E559" s="74"/>
      <c r="F559" s="74"/>
    </row>
    <row r="560">
      <c r="A560" s="74"/>
      <c r="B560" s="74"/>
      <c r="C560" s="74"/>
      <c r="D560" s="74"/>
      <c r="E560" s="74"/>
      <c r="F560" s="74"/>
    </row>
    <row r="561">
      <c r="A561" s="74"/>
      <c r="B561" s="74"/>
      <c r="C561" s="74"/>
      <c r="D561" s="74"/>
      <c r="E561" s="74"/>
      <c r="F561" s="74"/>
    </row>
    <row r="562">
      <c r="A562" s="74"/>
      <c r="B562" s="74"/>
      <c r="C562" s="74"/>
      <c r="D562" s="74"/>
      <c r="E562" s="74"/>
      <c r="F562" s="74"/>
    </row>
    <row r="563">
      <c r="A563" s="74"/>
      <c r="B563" s="74"/>
      <c r="C563" s="74"/>
      <c r="D563" s="74"/>
      <c r="E563" s="74"/>
      <c r="F563" s="74"/>
    </row>
    <row r="564">
      <c r="A564" s="74"/>
      <c r="B564" s="74"/>
      <c r="C564" s="74"/>
      <c r="D564" s="74"/>
      <c r="E564" s="74"/>
      <c r="F564" s="74"/>
    </row>
    <row r="565">
      <c r="A565" s="74"/>
      <c r="B565" s="74"/>
      <c r="C565" s="74"/>
      <c r="D565" s="74"/>
      <c r="E565" s="74"/>
      <c r="F565" s="74"/>
    </row>
    <row r="566">
      <c r="A566" s="74"/>
      <c r="B566" s="74"/>
      <c r="C566" s="74"/>
      <c r="D566" s="74"/>
      <c r="E566" s="74"/>
      <c r="F566" s="74"/>
    </row>
    <row r="567">
      <c r="A567" s="74"/>
      <c r="B567" s="74"/>
      <c r="C567" s="74"/>
      <c r="D567" s="74"/>
      <c r="E567" s="74"/>
      <c r="F567" s="74"/>
    </row>
    <row r="568">
      <c r="A568" s="74"/>
      <c r="B568" s="74"/>
      <c r="C568" s="74"/>
      <c r="D568" s="74"/>
      <c r="E568" s="74"/>
      <c r="F568" s="74"/>
    </row>
    <row r="569">
      <c r="A569" s="74"/>
      <c r="B569" s="74"/>
      <c r="C569" s="74"/>
      <c r="D569" s="74"/>
      <c r="E569" s="74"/>
      <c r="F569" s="74"/>
    </row>
    <row r="570">
      <c r="A570" s="74"/>
      <c r="B570" s="74"/>
      <c r="C570" s="74"/>
      <c r="D570" s="74"/>
      <c r="E570" s="74"/>
      <c r="F570" s="74"/>
    </row>
    <row r="571">
      <c r="A571" s="74"/>
      <c r="B571" s="74"/>
      <c r="C571" s="74"/>
      <c r="D571" s="74"/>
      <c r="E571" s="74"/>
      <c r="F571" s="74"/>
    </row>
    <row r="572">
      <c r="A572" s="74"/>
      <c r="B572" s="74"/>
      <c r="C572" s="74"/>
      <c r="D572" s="74"/>
      <c r="E572" s="74"/>
      <c r="F572" s="74"/>
    </row>
    <row r="573">
      <c r="A573" s="74"/>
      <c r="B573" s="74"/>
      <c r="C573" s="74"/>
      <c r="D573" s="74"/>
      <c r="E573" s="74"/>
      <c r="F573" s="74"/>
    </row>
    <row r="574">
      <c r="A574" s="74"/>
      <c r="B574" s="74"/>
      <c r="C574" s="74"/>
      <c r="D574" s="74"/>
      <c r="E574" s="74"/>
      <c r="F574" s="74"/>
    </row>
    <row r="575">
      <c r="A575" s="74"/>
      <c r="B575" s="74"/>
      <c r="C575" s="74"/>
      <c r="D575" s="74"/>
      <c r="E575" s="74"/>
      <c r="F575" s="74"/>
    </row>
    <row r="576">
      <c r="A576" s="74"/>
      <c r="B576" s="74"/>
      <c r="C576" s="74"/>
      <c r="D576" s="74"/>
      <c r="E576" s="74"/>
      <c r="F576" s="74"/>
    </row>
    <row r="577">
      <c r="A577" s="74"/>
      <c r="B577" s="74"/>
      <c r="C577" s="74"/>
      <c r="D577" s="74"/>
      <c r="E577" s="74"/>
      <c r="F577" s="74"/>
    </row>
    <row r="578">
      <c r="A578" s="74"/>
      <c r="B578" s="74"/>
      <c r="C578" s="74"/>
      <c r="D578" s="74"/>
      <c r="E578" s="74"/>
      <c r="F578" s="74"/>
    </row>
    <row r="579">
      <c r="A579" s="74"/>
      <c r="B579" s="74"/>
      <c r="C579" s="74"/>
      <c r="D579" s="74"/>
      <c r="E579" s="74"/>
      <c r="F579" s="74"/>
    </row>
    <row r="580">
      <c r="A580" s="74"/>
      <c r="B580" s="74"/>
      <c r="C580" s="74"/>
      <c r="D580" s="74"/>
      <c r="E580" s="74"/>
      <c r="F580" s="74"/>
    </row>
    <row r="581">
      <c r="A581" s="74"/>
      <c r="B581" s="74"/>
      <c r="C581" s="74"/>
      <c r="D581" s="74"/>
      <c r="E581" s="74"/>
      <c r="F581" s="74"/>
    </row>
    <row r="582">
      <c r="A582" s="74"/>
      <c r="B582" s="74"/>
      <c r="C582" s="74"/>
      <c r="D582" s="74"/>
      <c r="E582" s="74"/>
      <c r="F582" s="74"/>
    </row>
    <row r="583">
      <c r="A583" s="74"/>
      <c r="B583" s="74"/>
      <c r="C583" s="74"/>
      <c r="D583" s="74"/>
      <c r="E583" s="74"/>
      <c r="F583" s="74"/>
    </row>
    <row r="584">
      <c r="A584" s="74"/>
      <c r="B584" s="74"/>
      <c r="C584" s="74"/>
      <c r="D584" s="74"/>
      <c r="E584" s="74"/>
      <c r="F584" s="74"/>
    </row>
    <row r="585">
      <c r="A585" s="74"/>
      <c r="B585" s="74"/>
      <c r="C585" s="74"/>
      <c r="D585" s="74"/>
      <c r="E585" s="74"/>
      <c r="F585" s="74"/>
    </row>
    <row r="586">
      <c r="A586" s="74"/>
      <c r="B586" s="74"/>
      <c r="C586" s="74"/>
      <c r="D586" s="74"/>
      <c r="E586" s="74"/>
      <c r="F586" s="74"/>
    </row>
    <row r="587">
      <c r="A587" s="74"/>
      <c r="B587" s="74"/>
      <c r="C587" s="74"/>
      <c r="D587" s="74"/>
      <c r="E587" s="74"/>
      <c r="F587" s="74"/>
    </row>
    <row r="588">
      <c r="A588" s="74"/>
      <c r="B588" s="74"/>
      <c r="C588" s="74"/>
      <c r="D588" s="74"/>
      <c r="E588" s="74"/>
      <c r="F588" s="74"/>
    </row>
    <row r="589">
      <c r="A589" s="74"/>
      <c r="B589" s="74"/>
      <c r="C589" s="74"/>
      <c r="D589" s="74"/>
      <c r="E589" s="74"/>
      <c r="F589" s="74"/>
    </row>
    <row r="590">
      <c r="A590" s="74"/>
      <c r="B590" s="74"/>
      <c r="C590" s="74"/>
      <c r="D590" s="74"/>
      <c r="E590" s="74"/>
      <c r="F590" s="74"/>
    </row>
    <row r="591">
      <c r="A591" s="74"/>
      <c r="B591" s="74"/>
      <c r="C591" s="74"/>
      <c r="D591" s="74"/>
      <c r="E591" s="74"/>
      <c r="F591" s="74"/>
    </row>
    <row r="592">
      <c r="A592" s="74"/>
      <c r="B592" s="74"/>
      <c r="C592" s="74"/>
      <c r="D592" s="74"/>
      <c r="E592" s="74"/>
      <c r="F592" s="74"/>
    </row>
    <row r="593">
      <c r="A593" s="74"/>
      <c r="B593" s="74"/>
      <c r="C593" s="74"/>
      <c r="D593" s="74"/>
      <c r="E593" s="74"/>
      <c r="F593" s="74"/>
    </row>
    <row r="594">
      <c r="A594" s="74"/>
      <c r="B594" s="74"/>
      <c r="C594" s="74"/>
      <c r="D594" s="74"/>
      <c r="E594" s="74"/>
      <c r="F594" s="74"/>
    </row>
    <row r="595">
      <c r="A595" s="74"/>
      <c r="B595" s="74"/>
      <c r="C595" s="74"/>
      <c r="D595" s="74"/>
      <c r="E595" s="74"/>
      <c r="F595" s="74"/>
    </row>
    <row r="596">
      <c r="A596" s="74"/>
      <c r="B596" s="74"/>
      <c r="C596" s="74"/>
      <c r="D596" s="74"/>
      <c r="E596" s="74"/>
      <c r="F596" s="74"/>
    </row>
    <row r="597">
      <c r="A597" s="74"/>
      <c r="B597" s="74"/>
      <c r="C597" s="74"/>
      <c r="D597" s="74"/>
      <c r="E597" s="74"/>
      <c r="F597" s="74"/>
    </row>
    <row r="598">
      <c r="A598" s="74"/>
      <c r="B598" s="74"/>
      <c r="C598" s="74"/>
      <c r="D598" s="74"/>
      <c r="E598" s="74"/>
      <c r="F598" s="74"/>
    </row>
    <row r="599">
      <c r="A599" s="74"/>
      <c r="B599" s="74"/>
      <c r="C599" s="74"/>
      <c r="D599" s="74"/>
      <c r="E599" s="74"/>
      <c r="F599" s="74"/>
    </row>
    <row r="600">
      <c r="A600" s="74"/>
      <c r="B600" s="74"/>
      <c r="C600" s="74"/>
      <c r="D600" s="74"/>
      <c r="E600" s="74"/>
      <c r="F600" s="74"/>
    </row>
    <row r="601">
      <c r="A601" s="74"/>
      <c r="B601" s="74"/>
      <c r="C601" s="74"/>
      <c r="D601" s="74"/>
      <c r="E601" s="74"/>
      <c r="F601" s="74"/>
    </row>
    <row r="602">
      <c r="A602" s="74"/>
      <c r="B602" s="74"/>
      <c r="C602" s="74"/>
      <c r="D602" s="74"/>
      <c r="E602" s="74"/>
      <c r="F602" s="74"/>
    </row>
    <row r="603">
      <c r="A603" s="74"/>
      <c r="B603" s="74"/>
      <c r="C603" s="74"/>
      <c r="D603" s="74"/>
      <c r="E603" s="74"/>
      <c r="F603" s="74"/>
    </row>
    <row r="604">
      <c r="A604" s="74"/>
      <c r="B604" s="74"/>
      <c r="C604" s="74"/>
      <c r="D604" s="74"/>
      <c r="E604" s="74"/>
      <c r="F604" s="74"/>
    </row>
    <row r="605">
      <c r="A605" s="74"/>
      <c r="B605" s="74"/>
      <c r="C605" s="74"/>
      <c r="D605" s="74"/>
      <c r="E605" s="74"/>
      <c r="F605" s="74"/>
    </row>
    <row r="606">
      <c r="A606" s="74"/>
      <c r="B606" s="74"/>
      <c r="C606" s="74"/>
      <c r="D606" s="74"/>
      <c r="E606" s="74"/>
      <c r="F606" s="74"/>
    </row>
    <row r="607">
      <c r="A607" s="74"/>
      <c r="B607" s="74"/>
      <c r="C607" s="74"/>
      <c r="D607" s="74"/>
      <c r="E607" s="74"/>
      <c r="F607" s="74"/>
    </row>
    <row r="608">
      <c r="A608" s="74"/>
      <c r="B608" s="74"/>
      <c r="C608" s="74"/>
      <c r="D608" s="74"/>
      <c r="E608" s="74"/>
      <c r="F608" s="74"/>
    </row>
    <row r="609">
      <c r="A609" s="74"/>
      <c r="B609" s="74"/>
      <c r="C609" s="74"/>
      <c r="D609" s="74"/>
      <c r="E609" s="74"/>
      <c r="F609" s="74"/>
    </row>
    <row r="610">
      <c r="A610" s="74"/>
      <c r="B610" s="74"/>
      <c r="C610" s="74"/>
      <c r="D610" s="74"/>
      <c r="E610" s="74"/>
      <c r="F610" s="74"/>
    </row>
    <row r="611">
      <c r="A611" s="74"/>
      <c r="B611" s="74"/>
      <c r="C611" s="74"/>
      <c r="D611" s="74"/>
      <c r="E611" s="74"/>
      <c r="F611" s="74"/>
    </row>
    <row r="612">
      <c r="A612" s="74"/>
      <c r="B612" s="74"/>
      <c r="C612" s="74"/>
      <c r="D612" s="74"/>
      <c r="E612" s="74"/>
      <c r="F612" s="74"/>
    </row>
    <row r="613">
      <c r="A613" s="74"/>
      <c r="B613" s="74"/>
      <c r="C613" s="74"/>
      <c r="D613" s="74"/>
      <c r="E613" s="74"/>
      <c r="F613" s="74"/>
    </row>
    <row r="614">
      <c r="A614" s="74"/>
      <c r="B614" s="74"/>
      <c r="C614" s="74"/>
      <c r="D614" s="74"/>
      <c r="E614" s="74"/>
      <c r="F614" s="74"/>
    </row>
    <row r="615">
      <c r="A615" s="74"/>
      <c r="B615" s="74"/>
      <c r="C615" s="74"/>
      <c r="D615" s="74"/>
      <c r="E615" s="74"/>
      <c r="F615" s="74"/>
    </row>
    <row r="616">
      <c r="A616" s="74"/>
      <c r="B616" s="74"/>
      <c r="C616" s="74"/>
      <c r="D616" s="74"/>
      <c r="E616" s="74"/>
      <c r="F616" s="74"/>
    </row>
    <row r="617">
      <c r="A617" s="74"/>
      <c r="B617" s="74"/>
      <c r="C617" s="74"/>
      <c r="D617" s="74"/>
      <c r="E617" s="74"/>
      <c r="F617" s="74"/>
    </row>
    <row r="618">
      <c r="A618" s="74"/>
      <c r="B618" s="74"/>
      <c r="C618" s="74"/>
      <c r="D618" s="74"/>
      <c r="E618" s="74"/>
      <c r="F618" s="74"/>
    </row>
    <row r="619">
      <c r="A619" s="74"/>
      <c r="B619" s="74"/>
      <c r="C619" s="74"/>
      <c r="D619" s="74"/>
      <c r="E619" s="74"/>
      <c r="F619" s="74"/>
    </row>
    <row r="620">
      <c r="A620" s="74"/>
      <c r="B620" s="74"/>
      <c r="C620" s="74"/>
      <c r="D620" s="74"/>
      <c r="E620" s="74"/>
      <c r="F620" s="74"/>
    </row>
    <row r="621">
      <c r="A621" s="74"/>
      <c r="B621" s="74"/>
      <c r="C621" s="74"/>
      <c r="D621" s="74"/>
      <c r="E621" s="74"/>
      <c r="F621" s="74"/>
    </row>
    <row r="622">
      <c r="A622" s="74"/>
      <c r="B622" s="74"/>
      <c r="C622" s="74"/>
      <c r="D622" s="74"/>
      <c r="E622" s="74"/>
      <c r="F622" s="74"/>
    </row>
    <row r="623">
      <c r="A623" s="74"/>
      <c r="B623" s="74"/>
      <c r="C623" s="74"/>
      <c r="D623" s="74"/>
      <c r="E623" s="74"/>
      <c r="F623" s="74"/>
    </row>
    <row r="624">
      <c r="A624" s="74"/>
      <c r="B624" s="74"/>
      <c r="C624" s="74"/>
      <c r="D624" s="74"/>
      <c r="E624" s="74"/>
      <c r="F624" s="74"/>
    </row>
    <row r="625">
      <c r="A625" s="74"/>
      <c r="B625" s="74"/>
      <c r="C625" s="74"/>
      <c r="D625" s="74"/>
      <c r="E625" s="74"/>
      <c r="F625" s="74"/>
    </row>
    <row r="626">
      <c r="A626" s="74"/>
      <c r="B626" s="74"/>
      <c r="C626" s="74"/>
      <c r="D626" s="74"/>
      <c r="E626" s="74"/>
      <c r="F626" s="74"/>
    </row>
    <row r="627">
      <c r="A627" s="74"/>
      <c r="B627" s="74"/>
      <c r="C627" s="74"/>
      <c r="D627" s="74"/>
      <c r="E627" s="74"/>
      <c r="F627" s="74"/>
    </row>
    <row r="628">
      <c r="A628" s="74"/>
      <c r="B628" s="74"/>
      <c r="C628" s="74"/>
      <c r="D628" s="74"/>
      <c r="E628" s="74"/>
      <c r="F628" s="74"/>
    </row>
    <row r="629">
      <c r="A629" s="74"/>
      <c r="B629" s="74"/>
      <c r="C629" s="74"/>
      <c r="D629" s="74"/>
      <c r="E629" s="74"/>
      <c r="F629" s="74"/>
    </row>
    <row r="630">
      <c r="A630" s="74"/>
      <c r="B630" s="74"/>
      <c r="C630" s="74"/>
      <c r="D630" s="74"/>
      <c r="E630" s="74"/>
      <c r="F630" s="74"/>
    </row>
    <row r="631">
      <c r="A631" s="74"/>
      <c r="B631" s="74"/>
      <c r="C631" s="74"/>
      <c r="D631" s="74"/>
      <c r="E631" s="74"/>
      <c r="F631" s="74"/>
    </row>
    <row r="632">
      <c r="A632" s="74"/>
      <c r="B632" s="74"/>
      <c r="C632" s="74"/>
      <c r="D632" s="74"/>
      <c r="E632" s="74"/>
      <c r="F632" s="74"/>
    </row>
    <row r="633">
      <c r="A633" s="74"/>
      <c r="B633" s="74"/>
      <c r="C633" s="74"/>
      <c r="D633" s="74"/>
      <c r="E633" s="74"/>
      <c r="F633" s="74"/>
    </row>
    <row r="634">
      <c r="A634" s="74"/>
      <c r="B634" s="74"/>
      <c r="C634" s="74"/>
      <c r="D634" s="74"/>
      <c r="E634" s="74"/>
      <c r="F634" s="74"/>
    </row>
    <row r="635">
      <c r="A635" s="74"/>
      <c r="B635" s="74"/>
      <c r="C635" s="74"/>
      <c r="D635" s="74"/>
      <c r="E635" s="74"/>
      <c r="F635" s="74"/>
    </row>
    <row r="636">
      <c r="A636" s="74"/>
      <c r="B636" s="74"/>
      <c r="C636" s="74"/>
      <c r="D636" s="74"/>
      <c r="E636" s="74"/>
      <c r="F636" s="74"/>
    </row>
    <row r="637">
      <c r="A637" s="74"/>
      <c r="B637" s="74"/>
      <c r="C637" s="74"/>
      <c r="D637" s="74"/>
      <c r="E637" s="74"/>
      <c r="F637" s="74"/>
    </row>
    <row r="638">
      <c r="A638" s="74"/>
      <c r="B638" s="74"/>
      <c r="C638" s="74"/>
      <c r="D638" s="74"/>
      <c r="E638" s="74"/>
      <c r="F638" s="74"/>
    </row>
    <row r="639">
      <c r="A639" s="74"/>
      <c r="B639" s="74"/>
      <c r="C639" s="74"/>
      <c r="D639" s="74"/>
      <c r="E639" s="74"/>
      <c r="F639" s="74"/>
    </row>
    <row r="640">
      <c r="A640" s="74"/>
      <c r="B640" s="74"/>
      <c r="C640" s="74"/>
      <c r="D640" s="74"/>
      <c r="E640" s="74"/>
      <c r="F640" s="74"/>
    </row>
    <row r="641">
      <c r="A641" s="74"/>
      <c r="B641" s="74"/>
      <c r="C641" s="74"/>
      <c r="D641" s="74"/>
      <c r="E641" s="74"/>
      <c r="F641" s="74"/>
    </row>
    <row r="642">
      <c r="A642" s="74"/>
      <c r="B642" s="74"/>
      <c r="C642" s="74"/>
      <c r="D642" s="74"/>
      <c r="E642" s="74"/>
      <c r="F642" s="74"/>
    </row>
    <row r="643">
      <c r="A643" s="74"/>
      <c r="B643" s="74"/>
      <c r="C643" s="74"/>
      <c r="D643" s="74"/>
      <c r="E643" s="74"/>
      <c r="F643" s="74"/>
    </row>
    <row r="644">
      <c r="A644" s="74"/>
      <c r="B644" s="74"/>
      <c r="C644" s="74"/>
      <c r="D644" s="74"/>
      <c r="E644" s="74"/>
      <c r="F644" s="74"/>
    </row>
    <row r="645">
      <c r="A645" s="74"/>
      <c r="B645" s="74"/>
      <c r="C645" s="74"/>
      <c r="D645" s="74"/>
      <c r="E645" s="74"/>
      <c r="F645" s="74"/>
    </row>
    <row r="646">
      <c r="A646" s="74"/>
      <c r="B646" s="74"/>
      <c r="C646" s="74"/>
      <c r="D646" s="74"/>
      <c r="E646" s="74"/>
      <c r="F646" s="74"/>
    </row>
    <row r="647">
      <c r="A647" s="74"/>
      <c r="B647" s="74"/>
      <c r="C647" s="74"/>
      <c r="D647" s="74"/>
      <c r="E647" s="74"/>
      <c r="F647" s="74"/>
    </row>
    <row r="648">
      <c r="A648" s="74"/>
      <c r="B648" s="74"/>
      <c r="C648" s="74"/>
      <c r="D648" s="74"/>
      <c r="E648" s="74"/>
      <c r="F648" s="74"/>
    </row>
    <row r="649">
      <c r="A649" s="74"/>
      <c r="B649" s="74"/>
      <c r="C649" s="74"/>
      <c r="D649" s="74"/>
      <c r="E649" s="74"/>
      <c r="F649" s="74"/>
    </row>
    <row r="650">
      <c r="A650" s="74"/>
      <c r="B650" s="74"/>
      <c r="C650" s="74"/>
      <c r="D650" s="74"/>
      <c r="E650" s="74"/>
      <c r="F650" s="74"/>
    </row>
    <row r="651">
      <c r="A651" s="74"/>
      <c r="B651" s="74"/>
      <c r="C651" s="74"/>
      <c r="D651" s="74"/>
      <c r="E651" s="74"/>
      <c r="F651" s="74"/>
    </row>
    <row r="652">
      <c r="A652" s="74"/>
      <c r="B652" s="74"/>
      <c r="C652" s="74"/>
      <c r="D652" s="74"/>
      <c r="E652" s="74"/>
      <c r="F652" s="74"/>
    </row>
    <row r="653">
      <c r="A653" s="74"/>
      <c r="B653" s="74"/>
      <c r="C653" s="74"/>
      <c r="D653" s="74"/>
      <c r="E653" s="74"/>
      <c r="F653" s="74"/>
    </row>
    <row r="654">
      <c r="A654" s="74"/>
      <c r="B654" s="74"/>
      <c r="C654" s="74"/>
      <c r="D654" s="74"/>
      <c r="E654" s="74"/>
      <c r="F654" s="74"/>
    </row>
    <row r="655">
      <c r="A655" s="74"/>
      <c r="B655" s="74"/>
      <c r="C655" s="74"/>
      <c r="D655" s="74"/>
      <c r="E655" s="74"/>
      <c r="F655" s="74"/>
    </row>
    <row r="656">
      <c r="A656" s="74"/>
      <c r="B656" s="74"/>
      <c r="C656" s="74"/>
      <c r="D656" s="74"/>
      <c r="E656" s="74"/>
      <c r="F656" s="74"/>
    </row>
    <row r="657">
      <c r="A657" s="74"/>
      <c r="B657" s="74"/>
      <c r="C657" s="74"/>
      <c r="D657" s="74"/>
      <c r="E657" s="74"/>
      <c r="F657" s="74"/>
    </row>
    <row r="658">
      <c r="A658" s="74"/>
      <c r="B658" s="74"/>
      <c r="C658" s="74"/>
      <c r="D658" s="74"/>
      <c r="E658" s="74"/>
      <c r="F658" s="74"/>
    </row>
    <row r="659">
      <c r="A659" s="74"/>
      <c r="B659" s="74"/>
      <c r="C659" s="74"/>
      <c r="D659" s="74"/>
      <c r="E659" s="74"/>
      <c r="F659" s="74"/>
    </row>
    <row r="660">
      <c r="A660" s="74"/>
      <c r="B660" s="74"/>
      <c r="C660" s="74"/>
      <c r="D660" s="74"/>
      <c r="E660" s="74"/>
      <c r="F660" s="74"/>
    </row>
    <row r="661">
      <c r="A661" s="74"/>
      <c r="B661" s="74"/>
      <c r="C661" s="74"/>
      <c r="D661" s="74"/>
      <c r="E661" s="74"/>
      <c r="F661" s="74"/>
    </row>
    <row r="662">
      <c r="A662" s="74"/>
      <c r="B662" s="74"/>
      <c r="C662" s="74"/>
      <c r="D662" s="74"/>
      <c r="E662" s="74"/>
      <c r="F662" s="74"/>
    </row>
    <row r="663">
      <c r="A663" s="74"/>
      <c r="B663" s="74"/>
      <c r="C663" s="74"/>
      <c r="D663" s="74"/>
      <c r="E663" s="74"/>
      <c r="F663" s="74"/>
    </row>
    <row r="664">
      <c r="A664" s="74"/>
      <c r="B664" s="74"/>
      <c r="C664" s="74"/>
      <c r="D664" s="74"/>
      <c r="E664" s="74"/>
      <c r="F664" s="74"/>
    </row>
    <row r="665">
      <c r="A665" s="74"/>
      <c r="B665" s="74"/>
      <c r="C665" s="74"/>
      <c r="D665" s="74"/>
      <c r="E665" s="74"/>
      <c r="F665" s="74"/>
    </row>
    <row r="666">
      <c r="A666" s="74"/>
      <c r="B666" s="74"/>
      <c r="C666" s="74"/>
      <c r="D666" s="74"/>
      <c r="E666" s="74"/>
      <c r="F666" s="74"/>
    </row>
    <row r="667">
      <c r="A667" s="74"/>
      <c r="B667" s="74"/>
      <c r="C667" s="74"/>
      <c r="D667" s="74"/>
      <c r="E667" s="74"/>
      <c r="F667" s="74"/>
    </row>
    <row r="668">
      <c r="A668" s="74"/>
      <c r="B668" s="74"/>
      <c r="C668" s="74"/>
      <c r="D668" s="74"/>
      <c r="E668" s="74"/>
      <c r="F668" s="74"/>
    </row>
    <row r="669">
      <c r="A669" s="74"/>
      <c r="B669" s="74"/>
      <c r="C669" s="74"/>
      <c r="D669" s="74"/>
      <c r="E669" s="74"/>
      <c r="F669" s="74"/>
    </row>
    <row r="670">
      <c r="A670" s="74"/>
      <c r="B670" s="74"/>
      <c r="C670" s="74"/>
      <c r="D670" s="74"/>
      <c r="E670" s="74"/>
      <c r="F670" s="74"/>
    </row>
    <row r="671">
      <c r="A671" s="74"/>
      <c r="B671" s="74"/>
      <c r="C671" s="74"/>
      <c r="D671" s="74"/>
      <c r="E671" s="74"/>
      <c r="F671" s="74"/>
    </row>
    <row r="672">
      <c r="A672" s="74"/>
      <c r="B672" s="74"/>
      <c r="C672" s="74"/>
      <c r="D672" s="74"/>
      <c r="E672" s="74"/>
      <c r="F672" s="74"/>
    </row>
    <row r="673">
      <c r="A673" s="74"/>
      <c r="B673" s="74"/>
      <c r="C673" s="74"/>
      <c r="D673" s="74"/>
      <c r="E673" s="74"/>
      <c r="F673" s="74"/>
    </row>
    <row r="674">
      <c r="A674" s="74"/>
      <c r="B674" s="74"/>
      <c r="C674" s="74"/>
      <c r="D674" s="74"/>
      <c r="E674" s="74"/>
      <c r="F674" s="74"/>
    </row>
    <row r="675">
      <c r="A675" s="74"/>
      <c r="B675" s="74"/>
      <c r="C675" s="74"/>
      <c r="D675" s="74"/>
      <c r="E675" s="74"/>
      <c r="F675" s="74"/>
    </row>
    <row r="676">
      <c r="A676" s="74"/>
      <c r="B676" s="74"/>
      <c r="C676" s="74"/>
      <c r="D676" s="74"/>
      <c r="E676" s="74"/>
      <c r="F676" s="74"/>
    </row>
    <row r="677">
      <c r="A677" s="74"/>
      <c r="B677" s="74"/>
      <c r="C677" s="74"/>
      <c r="D677" s="74"/>
      <c r="E677" s="74"/>
      <c r="F677" s="74"/>
    </row>
    <row r="678">
      <c r="A678" s="74"/>
      <c r="B678" s="74"/>
      <c r="C678" s="74"/>
      <c r="D678" s="74"/>
      <c r="E678" s="74"/>
      <c r="F678" s="74"/>
    </row>
    <row r="679">
      <c r="A679" s="74"/>
      <c r="B679" s="74"/>
      <c r="C679" s="74"/>
      <c r="D679" s="74"/>
      <c r="E679" s="74"/>
      <c r="F679" s="74"/>
    </row>
    <row r="680">
      <c r="A680" s="74"/>
      <c r="B680" s="74"/>
      <c r="C680" s="74"/>
      <c r="D680" s="74"/>
      <c r="E680" s="74"/>
      <c r="F680" s="74"/>
    </row>
    <row r="681">
      <c r="A681" s="74"/>
      <c r="B681" s="74"/>
      <c r="C681" s="74"/>
      <c r="D681" s="74"/>
      <c r="E681" s="74"/>
      <c r="F681" s="74"/>
    </row>
    <row r="682">
      <c r="A682" s="74"/>
      <c r="B682" s="74"/>
      <c r="C682" s="74"/>
      <c r="D682" s="74"/>
      <c r="E682" s="74"/>
      <c r="F682" s="74"/>
    </row>
    <row r="683">
      <c r="A683" s="74"/>
      <c r="B683" s="74"/>
      <c r="C683" s="74"/>
      <c r="D683" s="74"/>
      <c r="E683" s="74"/>
      <c r="F683" s="74"/>
    </row>
    <row r="684">
      <c r="A684" s="74"/>
      <c r="B684" s="74"/>
      <c r="C684" s="74"/>
      <c r="D684" s="74"/>
      <c r="E684" s="74"/>
      <c r="F684" s="74"/>
    </row>
    <row r="685">
      <c r="A685" s="74"/>
      <c r="B685" s="74"/>
      <c r="C685" s="74"/>
      <c r="D685" s="74"/>
      <c r="E685" s="74"/>
      <c r="F685" s="74"/>
    </row>
    <row r="686">
      <c r="A686" s="74"/>
      <c r="B686" s="74"/>
      <c r="C686" s="74"/>
      <c r="D686" s="74"/>
      <c r="E686" s="74"/>
      <c r="F686" s="74"/>
    </row>
    <row r="687">
      <c r="A687" s="74"/>
      <c r="B687" s="74"/>
      <c r="C687" s="74"/>
      <c r="D687" s="74"/>
      <c r="E687" s="74"/>
      <c r="F687" s="74"/>
    </row>
    <row r="688">
      <c r="A688" s="74"/>
      <c r="B688" s="74"/>
      <c r="C688" s="74"/>
      <c r="D688" s="74"/>
      <c r="E688" s="74"/>
      <c r="F688" s="74"/>
    </row>
    <row r="689">
      <c r="A689" s="74"/>
      <c r="B689" s="74"/>
      <c r="C689" s="74"/>
      <c r="D689" s="74"/>
      <c r="E689" s="74"/>
      <c r="F689" s="74"/>
    </row>
    <row r="690">
      <c r="A690" s="74"/>
      <c r="B690" s="74"/>
      <c r="C690" s="74"/>
      <c r="D690" s="74"/>
      <c r="E690" s="74"/>
      <c r="F690" s="74"/>
    </row>
    <row r="691">
      <c r="A691" s="74"/>
      <c r="B691" s="74"/>
      <c r="C691" s="74"/>
      <c r="D691" s="74"/>
      <c r="E691" s="74"/>
      <c r="F691" s="74"/>
    </row>
    <row r="692">
      <c r="A692" s="74"/>
      <c r="B692" s="74"/>
      <c r="C692" s="74"/>
      <c r="D692" s="74"/>
      <c r="E692" s="74"/>
      <c r="F692" s="74"/>
    </row>
    <row r="693">
      <c r="A693" s="74"/>
      <c r="B693" s="74"/>
      <c r="C693" s="74"/>
      <c r="D693" s="74"/>
      <c r="E693" s="74"/>
      <c r="F693" s="74"/>
    </row>
    <row r="694">
      <c r="A694" s="74"/>
      <c r="B694" s="74"/>
      <c r="C694" s="74"/>
      <c r="D694" s="74"/>
      <c r="E694" s="74"/>
      <c r="F694" s="74"/>
    </row>
    <row r="695">
      <c r="A695" s="74"/>
      <c r="B695" s="74"/>
      <c r="C695" s="74"/>
      <c r="D695" s="74"/>
      <c r="E695" s="74"/>
      <c r="F695" s="74"/>
    </row>
    <row r="696">
      <c r="A696" s="74"/>
      <c r="B696" s="74"/>
      <c r="C696" s="74"/>
      <c r="D696" s="74"/>
      <c r="E696" s="74"/>
      <c r="F696" s="74"/>
    </row>
    <row r="697">
      <c r="A697" s="74"/>
      <c r="B697" s="74"/>
      <c r="C697" s="74"/>
      <c r="D697" s="74"/>
      <c r="E697" s="74"/>
      <c r="F697" s="74"/>
    </row>
    <row r="698">
      <c r="A698" s="74"/>
      <c r="B698" s="74"/>
      <c r="C698" s="74"/>
      <c r="D698" s="74"/>
      <c r="E698" s="74"/>
      <c r="F698" s="74"/>
    </row>
    <row r="699">
      <c r="A699" s="74"/>
      <c r="B699" s="74"/>
      <c r="C699" s="74"/>
      <c r="D699" s="74"/>
      <c r="E699" s="74"/>
      <c r="F699" s="74"/>
    </row>
    <row r="700">
      <c r="A700" s="74"/>
      <c r="B700" s="74"/>
      <c r="C700" s="74"/>
      <c r="D700" s="74"/>
      <c r="E700" s="74"/>
      <c r="F700" s="74"/>
    </row>
    <row r="701">
      <c r="A701" s="74"/>
      <c r="B701" s="74"/>
      <c r="C701" s="74"/>
      <c r="D701" s="74"/>
      <c r="E701" s="74"/>
      <c r="F701" s="74"/>
    </row>
    <row r="702">
      <c r="A702" s="74"/>
      <c r="B702" s="74"/>
      <c r="C702" s="74"/>
      <c r="D702" s="74"/>
      <c r="E702" s="74"/>
      <c r="F702" s="74"/>
    </row>
    <row r="703">
      <c r="A703" s="74"/>
      <c r="B703" s="74"/>
      <c r="C703" s="74"/>
      <c r="D703" s="74"/>
      <c r="E703" s="74"/>
      <c r="F703" s="74"/>
    </row>
    <row r="704">
      <c r="A704" s="74"/>
      <c r="B704" s="74"/>
      <c r="C704" s="74"/>
      <c r="D704" s="74"/>
      <c r="E704" s="74"/>
      <c r="F704" s="74"/>
    </row>
    <row r="705">
      <c r="A705" s="74"/>
      <c r="B705" s="74"/>
      <c r="C705" s="74"/>
      <c r="D705" s="74"/>
      <c r="E705" s="74"/>
      <c r="F705" s="74"/>
    </row>
    <row r="706">
      <c r="A706" s="74"/>
      <c r="B706" s="74"/>
      <c r="C706" s="74"/>
      <c r="D706" s="74"/>
      <c r="E706" s="74"/>
      <c r="F706" s="74"/>
    </row>
    <row r="707">
      <c r="A707" s="74"/>
      <c r="B707" s="74"/>
      <c r="C707" s="74"/>
      <c r="D707" s="74"/>
      <c r="E707" s="74"/>
      <c r="F707" s="74"/>
    </row>
    <row r="708">
      <c r="A708" s="74"/>
      <c r="B708" s="74"/>
      <c r="C708" s="74"/>
      <c r="D708" s="74"/>
      <c r="E708" s="74"/>
      <c r="F708" s="74"/>
    </row>
    <row r="709">
      <c r="A709" s="74"/>
      <c r="B709" s="74"/>
      <c r="C709" s="74"/>
      <c r="D709" s="74"/>
      <c r="E709" s="74"/>
      <c r="F709" s="74"/>
    </row>
    <row r="710">
      <c r="A710" s="74"/>
      <c r="B710" s="74"/>
      <c r="C710" s="74"/>
      <c r="D710" s="74"/>
      <c r="E710" s="74"/>
      <c r="F710" s="74"/>
    </row>
    <row r="711">
      <c r="A711" s="74"/>
      <c r="B711" s="74"/>
      <c r="C711" s="74"/>
      <c r="D711" s="74"/>
      <c r="E711" s="74"/>
      <c r="F711" s="74"/>
    </row>
    <row r="712">
      <c r="A712" s="74"/>
      <c r="B712" s="74"/>
      <c r="C712" s="74"/>
      <c r="D712" s="74"/>
      <c r="E712" s="74"/>
      <c r="F712" s="74"/>
    </row>
    <row r="713">
      <c r="A713" s="74"/>
      <c r="B713" s="74"/>
      <c r="C713" s="74"/>
      <c r="D713" s="74"/>
      <c r="E713" s="74"/>
      <c r="F713" s="74"/>
    </row>
    <row r="714">
      <c r="A714" s="74"/>
      <c r="B714" s="74"/>
      <c r="C714" s="74"/>
      <c r="D714" s="74"/>
      <c r="E714" s="74"/>
      <c r="F714" s="74"/>
    </row>
    <row r="715">
      <c r="A715" s="74"/>
      <c r="B715" s="74"/>
      <c r="C715" s="74"/>
      <c r="D715" s="74"/>
      <c r="E715" s="74"/>
      <c r="F715" s="74"/>
    </row>
    <row r="716">
      <c r="A716" s="74"/>
      <c r="B716" s="74"/>
      <c r="C716" s="74"/>
      <c r="D716" s="74"/>
      <c r="E716" s="74"/>
      <c r="F716" s="74"/>
    </row>
    <row r="717">
      <c r="A717" s="74"/>
      <c r="B717" s="74"/>
      <c r="C717" s="74"/>
      <c r="D717" s="74"/>
      <c r="E717" s="74"/>
      <c r="F717" s="74"/>
    </row>
    <row r="718">
      <c r="A718" s="74"/>
      <c r="B718" s="74"/>
      <c r="C718" s="74"/>
      <c r="D718" s="74"/>
      <c r="E718" s="74"/>
      <c r="F718" s="74"/>
    </row>
    <row r="719">
      <c r="A719" s="74"/>
      <c r="B719" s="74"/>
      <c r="C719" s="74"/>
      <c r="D719" s="74"/>
      <c r="E719" s="74"/>
      <c r="F719" s="74"/>
    </row>
    <row r="720">
      <c r="A720" s="74"/>
      <c r="B720" s="74"/>
      <c r="C720" s="74"/>
      <c r="D720" s="74"/>
      <c r="E720" s="74"/>
      <c r="F720" s="74"/>
    </row>
    <row r="721">
      <c r="A721" s="74"/>
      <c r="B721" s="74"/>
      <c r="C721" s="74"/>
      <c r="D721" s="74"/>
      <c r="E721" s="74"/>
      <c r="F721" s="74"/>
    </row>
    <row r="722">
      <c r="A722" s="74"/>
      <c r="B722" s="74"/>
      <c r="C722" s="74"/>
      <c r="D722" s="74"/>
      <c r="E722" s="74"/>
      <c r="F722" s="74"/>
    </row>
    <row r="723">
      <c r="A723" s="74"/>
      <c r="B723" s="74"/>
      <c r="C723" s="74"/>
      <c r="D723" s="74"/>
      <c r="E723" s="74"/>
      <c r="F723" s="74"/>
    </row>
    <row r="724">
      <c r="A724" s="74"/>
      <c r="B724" s="74"/>
      <c r="C724" s="74"/>
      <c r="D724" s="74"/>
      <c r="E724" s="74"/>
      <c r="F724" s="74"/>
    </row>
    <row r="725">
      <c r="A725" s="74"/>
      <c r="B725" s="74"/>
      <c r="C725" s="74"/>
      <c r="D725" s="74"/>
      <c r="E725" s="74"/>
      <c r="F725" s="74"/>
    </row>
    <row r="726">
      <c r="A726" s="74"/>
      <c r="B726" s="74"/>
      <c r="C726" s="74"/>
      <c r="D726" s="74"/>
      <c r="E726" s="74"/>
      <c r="F726" s="74"/>
    </row>
    <row r="727">
      <c r="A727" s="74"/>
      <c r="B727" s="74"/>
      <c r="C727" s="74"/>
      <c r="D727" s="74"/>
      <c r="E727" s="74"/>
      <c r="F727" s="74"/>
    </row>
    <row r="728">
      <c r="A728" s="74"/>
      <c r="B728" s="74"/>
      <c r="C728" s="74"/>
      <c r="D728" s="74"/>
      <c r="E728" s="74"/>
      <c r="F728" s="74"/>
    </row>
    <row r="729">
      <c r="A729" s="74"/>
      <c r="B729" s="74"/>
      <c r="C729" s="74"/>
      <c r="D729" s="74"/>
      <c r="E729" s="74"/>
      <c r="F729" s="74"/>
    </row>
    <row r="730">
      <c r="A730" s="74"/>
      <c r="B730" s="74"/>
      <c r="C730" s="74"/>
      <c r="D730" s="74"/>
      <c r="E730" s="74"/>
      <c r="F730" s="74"/>
    </row>
    <row r="731">
      <c r="A731" s="74"/>
      <c r="B731" s="74"/>
      <c r="C731" s="74"/>
      <c r="D731" s="74"/>
      <c r="E731" s="74"/>
      <c r="F731" s="74"/>
    </row>
    <row r="732">
      <c r="A732" s="74"/>
      <c r="B732" s="74"/>
      <c r="C732" s="74"/>
      <c r="D732" s="74"/>
      <c r="E732" s="74"/>
      <c r="F732" s="74"/>
    </row>
    <row r="733">
      <c r="A733" s="74"/>
      <c r="B733" s="74"/>
      <c r="C733" s="74"/>
      <c r="D733" s="74"/>
      <c r="E733" s="74"/>
      <c r="F733" s="74"/>
    </row>
    <row r="734">
      <c r="A734" s="74"/>
      <c r="B734" s="74"/>
      <c r="C734" s="74"/>
      <c r="D734" s="74"/>
      <c r="E734" s="74"/>
      <c r="F734" s="74"/>
    </row>
    <row r="735">
      <c r="A735" s="74"/>
      <c r="B735" s="74"/>
      <c r="C735" s="74"/>
      <c r="D735" s="74"/>
      <c r="E735" s="74"/>
      <c r="F735" s="74"/>
    </row>
    <row r="736">
      <c r="A736" s="74"/>
      <c r="B736" s="74"/>
      <c r="C736" s="74"/>
      <c r="D736" s="74"/>
      <c r="E736" s="74"/>
      <c r="F736" s="74"/>
    </row>
    <row r="737">
      <c r="A737" s="74"/>
      <c r="B737" s="74"/>
      <c r="C737" s="74"/>
      <c r="D737" s="74"/>
      <c r="E737" s="74"/>
      <c r="F737" s="74"/>
    </row>
    <row r="738">
      <c r="A738" s="74"/>
      <c r="B738" s="74"/>
      <c r="C738" s="74"/>
      <c r="D738" s="74"/>
      <c r="E738" s="74"/>
      <c r="F738" s="74"/>
    </row>
    <row r="739">
      <c r="A739" s="74"/>
      <c r="B739" s="74"/>
      <c r="C739" s="74"/>
      <c r="D739" s="74"/>
      <c r="E739" s="74"/>
      <c r="F739" s="74"/>
    </row>
    <row r="740">
      <c r="A740" s="74"/>
      <c r="B740" s="74"/>
      <c r="C740" s="74"/>
      <c r="D740" s="74"/>
      <c r="E740" s="74"/>
      <c r="F740" s="74"/>
    </row>
    <row r="741">
      <c r="A741" s="74"/>
      <c r="B741" s="74"/>
      <c r="C741" s="74"/>
      <c r="D741" s="74"/>
      <c r="E741" s="74"/>
      <c r="F741" s="74"/>
    </row>
    <row r="742">
      <c r="A742" s="74"/>
      <c r="B742" s="74"/>
      <c r="C742" s="74"/>
      <c r="D742" s="74"/>
      <c r="E742" s="74"/>
      <c r="F742" s="74"/>
    </row>
    <row r="743">
      <c r="A743" s="74"/>
      <c r="B743" s="74"/>
      <c r="C743" s="74"/>
      <c r="D743" s="74"/>
      <c r="E743" s="74"/>
      <c r="F743" s="74"/>
    </row>
    <row r="744">
      <c r="A744" s="74"/>
      <c r="B744" s="74"/>
      <c r="C744" s="74"/>
      <c r="D744" s="74"/>
      <c r="E744" s="74"/>
      <c r="F744" s="74"/>
    </row>
    <row r="745">
      <c r="A745" s="74"/>
      <c r="B745" s="74"/>
      <c r="C745" s="74"/>
      <c r="D745" s="74"/>
      <c r="E745" s="74"/>
      <c r="F745" s="74"/>
    </row>
    <row r="746">
      <c r="A746" s="74"/>
      <c r="B746" s="74"/>
      <c r="C746" s="74"/>
      <c r="D746" s="74"/>
      <c r="E746" s="74"/>
      <c r="F746" s="74"/>
    </row>
    <row r="747">
      <c r="A747" s="74"/>
      <c r="B747" s="74"/>
      <c r="C747" s="74"/>
      <c r="D747" s="74"/>
      <c r="E747" s="74"/>
      <c r="F747" s="74"/>
    </row>
    <row r="748">
      <c r="A748" s="74"/>
      <c r="B748" s="74"/>
      <c r="C748" s="74"/>
      <c r="D748" s="74"/>
      <c r="E748" s="74"/>
      <c r="F748" s="74"/>
    </row>
    <row r="749">
      <c r="A749" s="74"/>
      <c r="B749" s="74"/>
      <c r="C749" s="74"/>
      <c r="D749" s="74"/>
      <c r="E749" s="74"/>
      <c r="F749" s="74"/>
    </row>
    <row r="750">
      <c r="A750" s="74"/>
      <c r="B750" s="74"/>
      <c r="C750" s="74"/>
      <c r="D750" s="74"/>
      <c r="E750" s="74"/>
      <c r="F750" s="74"/>
    </row>
    <row r="751">
      <c r="A751" s="74"/>
      <c r="B751" s="74"/>
      <c r="C751" s="74"/>
      <c r="D751" s="74"/>
      <c r="E751" s="74"/>
      <c r="F751" s="74"/>
    </row>
    <row r="752">
      <c r="A752" s="74"/>
      <c r="B752" s="74"/>
      <c r="C752" s="74"/>
      <c r="D752" s="74"/>
      <c r="E752" s="74"/>
      <c r="F752" s="74"/>
    </row>
    <row r="753">
      <c r="A753" s="74"/>
      <c r="B753" s="74"/>
      <c r="C753" s="74"/>
      <c r="D753" s="74"/>
      <c r="E753" s="74"/>
      <c r="F753" s="74"/>
    </row>
    <row r="754">
      <c r="A754" s="74"/>
      <c r="B754" s="74"/>
      <c r="C754" s="74"/>
      <c r="D754" s="74"/>
      <c r="E754" s="74"/>
      <c r="F754" s="74"/>
    </row>
    <row r="755">
      <c r="A755" s="74"/>
      <c r="B755" s="74"/>
      <c r="C755" s="74"/>
      <c r="D755" s="74"/>
      <c r="E755" s="74"/>
      <c r="F755" s="74"/>
    </row>
    <row r="756">
      <c r="A756" s="74"/>
      <c r="B756" s="74"/>
      <c r="C756" s="74"/>
      <c r="D756" s="74"/>
      <c r="E756" s="74"/>
      <c r="F756" s="74"/>
    </row>
    <row r="757">
      <c r="A757" s="74"/>
      <c r="B757" s="74"/>
      <c r="C757" s="74"/>
      <c r="D757" s="74"/>
      <c r="E757" s="74"/>
      <c r="F757" s="74"/>
    </row>
    <row r="758">
      <c r="A758" s="74"/>
      <c r="B758" s="74"/>
      <c r="C758" s="74"/>
      <c r="D758" s="74"/>
      <c r="E758" s="74"/>
      <c r="F758" s="74"/>
    </row>
    <row r="759">
      <c r="A759" s="74"/>
      <c r="B759" s="74"/>
      <c r="C759" s="74"/>
      <c r="D759" s="74"/>
      <c r="E759" s="74"/>
      <c r="F759" s="74"/>
    </row>
    <row r="760">
      <c r="A760" s="74"/>
      <c r="B760" s="74"/>
      <c r="C760" s="74"/>
      <c r="D760" s="74"/>
      <c r="E760" s="74"/>
      <c r="F760" s="74"/>
    </row>
    <row r="761">
      <c r="A761" s="74"/>
      <c r="B761" s="74"/>
      <c r="C761" s="74"/>
      <c r="D761" s="74"/>
      <c r="E761" s="74"/>
      <c r="F761" s="74"/>
    </row>
    <row r="762">
      <c r="A762" s="74"/>
      <c r="B762" s="74"/>
      <c r="C762" s="74"/>
      <c r="D762" s="74"/>
      <c r="E762" s="74"/>
      <c r="F762" s="74"/>
    </row>
    <row r="763">
      <c r="A763" s="74"/>
      <c r="B763" s="74"/>
      <c r="C763" s="74"/>
      <c r="D763" s="74"/>
      <c r="E763" s="74"/>
      <c r="F763" s="74"/>
    </row>
    <row r="764">
      <c r="A764" s="74"/>
      <c r="B764" s="74"/>
      <c r="C764" s="74"/>
      <c r="D764" s="74"/>
      <c r="E764" s="74"/>
      <c r="F764" s="74"/>
    </row>
    <row r="765">
      <c r="A765" s="74"/>
      <c r="B765" s="74"/>
      <c r="C765" s="74"/>
      <c r="D765" s="74"/>
      <c r="E765" s="74"/>
      <c r="F765" s="74"/>
    </row>
    <row r="766">
      <c r="A766" s="74"/>
      <c r="B766" s="74"/>
      <c r="C766" s="74"/>
      <c r="D766" s="74"/>
      <c r="E766" s="74"/>
      <c r="F766" s="74"/>
    </row>
    <row r="767">
      <c r="A767" s="74"/>
      <c r="B767" s="74"/>
      <c r="C767" s="74"/>
      <c r="D767" s="74"/>
      <c r="E767" s="74"/>
      <c r="F767" s="74"/>
    </row>
    <row r="768">
      <c r="A768" s="74"/>
      <c r="B768" s="74"/>
      <c r="C768" s="74"/>
      <c r="D768" s="74"/>
      <c r="E768" s="74"/>
      <c r="F768" s="74"/>
    </row>
    <row r="769">
      <c r="A769" s="74"/>
      <c r="B769" s="74"/>
      <c r="C769" s="74"/>
      <c r="D769" s="74"/>
      <c r="E769" s="74"/>
      <c r="F769" s="74"/>
    </row>
    <row r="770">
      <c r="A770" s="74"/>
      <c r="B770" s="74"/>
      <c r="C770" s="74"/>
      <c r="D770" s="74"/>
      <c r="E770" s="74"/>
      <c r="F770" s="74"/>
    </row>
    <row r="771">
      <c r="A771" s="74"/>
      <c r="B771" s="74"/>
      <c r="C771" s="74"/>
      <c r="D771" s="74"/>
      <c r="E771" s="74"/>
      <c r="F771" s="74"/>
    </row>
    <row r="772">
      <c r="A772" s="74"/>
      <c r="B772" s="74"/>
      <c r="C772" s="74"/>
      <c r="D772" s="74"/>
      <c r="E772" s="74"/>
      <c r="F772" s="74"/>
    </row>
    <row r="773">
      <c r="A773" s="74"/>
      <c r="B773" s="74"/>
      <c r="C773" s="74"/>
      <c r="D773" s="74"/>
      <c r="E773" s="74"/>
      <c r="F773" s="74"/>
    </row>
    <row r="774">
      <c r="A774" s="74"/>
      <c r="B774" s="74"/>
      <c r="C774" s="74"/>
      <c r="D774" s="74"/>
      <c r="E774" s="74"/>
      <c r="F774" s="74"/>
    </row>
    <row r="775">
      <c r="A775" s="74"/>
      <c r="B775" s="74"/>
      <c r="C775" s="74"/>
      <c r="D775" s="74"/>
      <c r="E775" s="74"/>
      <c r="F775" s="74"/>
    </row>
    <row r="776">
      <c r="A776" s="74"/>
      <c r="B776" s="74"/>
      <c r="C776" s="74"/>
      <c r="D776" s="74"/>
      <c r="E776" s="74"/>
      <c r="F776" s="74"/>
    </row>
    <row r="777">
      <c r="A777" s="74"/>
      <c r="B777" s="74"/>
      <c r="C777" s="74"/>
      <c r="D777" s="74"/>
      <c r="E777" s="74"/>
      <c r="F777" s="74"/>
    </row>
    <row r="778">
      <c r="A778" s="74"/>
      <c r="B778" s="74"/>
      <c r="C778" s="74"/>
      <c r="D778" s="74"/>
      <c r="E778" s="74"/>
      <c r="F778" s="74"/>
    </row>
    <row r="779">
      <c r="A779" s="74"/>
      <c r="B779" s="74"/>
      <c r="C779" s="74"/>
      <c r="D779" s="74"/>
      <c r="E779" s="74"/>
      <c r="F779" s="74"/>
    </row>
    <row r="780">
      <c r="A780" s="74"/>
      <c r="B780" s="74"/>
      <c r="C780" s="74"/>
      <c r="D780" s="74"/>
      <c r="E780" s="74"/>
      <c r="F780" s="74"/>
    </row>
    <row r="781">
      <c r="A781" s="74"/>
      <c r="B781" s="74"/>
      <c r="C781" s="74"/>
      <c r="D781" s="74"/>
      <c r="E781" s="74"/>
      <c r="F781" s="74"/>
    </row>
    <row r="782">
      <c r="A782" s="74"/>
      <c r="B782" s="74"/>
      <c r="C782" s="74"/>
      <c r="D782" s="74"/>
      <c r="E782" s="74"/>
      <c r="F782" s="74"/>
    </row>
    <row r="783">
      <c r="A783" s="74"/>
      <c r="B783" s="74"/>
      <c r="C783" s="74"/>
      <c r="D783" s="74"/>
      <c r="E783" s="74"/>
      <c r="F783" s="74"/>
    </row>
    <row r="784">
      <c r="A784" s="74"/>
      <c r="B784" s="74"/>
      <c r="C784" s="74"/>
      <c r="D784" s="74"/>
      <c r="E784" s="74"/>
      <c r="F784" s="74"/>
    </row>
    <row r="785">
      <c r="A785" s="74"/>
      <c r="B785" s="74"/>
      <c r="C785" s="74"/>
      <c r="D785" s="74"/>
      <c r="E785" s="74"/>
      <c r="F785" s="74"/>
    </row>
    <row r="786">
      <c r="A786" s="74"/>
      <c r="B786" s="74"/>
      <c r="C786" s="74"/>
      <c r="D786" s="74"/>
      <c r="E786" s="74"/>
      <c r="F786" s="74"/>
    </row>
    <row r="787">
      <c r="A787" s="74"/>
      <c r="B787" s="74"/>
      <c r="C787" s="74"/>
      <c r="D787" s="74"/>
      <c r="E787" s="74"/>
      <c r="F787" s="74"/>
    </row>
    <row r="788">
      <c r="A788" s="74"/>
      <c r="B788" s="74"/>
      <c r="C788" s="74"/>
      <c r="D788" s="74"/>
      <c r="E788" s="74"/>
      <c r="F788" s="74"/>
    </row>
    <row r="789">
      <c r="A789" s="74"/>
      <c r="B789" s="74"/>
      <c r="C789" s="74"/>
      <c r="D789" s="74"/>
      <c r="E789" s="74"/>
      <c r="F789" s="74"/>
    </row>
    <row r="790">
      <c r="A790" s="74"/>
      <c r="B790" s="74"/>
      <c r="C790" s="74"/>
      <c r="D790" s="74"/>
      <c r="E790" s="74"/>
      <c r="F790" s="74"/>
    </row>
    <row r="791">
      <c r="A791" s="74"/>
      <c r="B791" s="74"/>
      <c r="C791" s="74"/>
      <c r="D791" s="74"/>
      <c r="E791" s="74"/>
      <c r="F791" s="74"/>
    </row>
    <row r="792">
      <c r="A792" s="74"/>
      <c r="B792" s="74"/>
      <c r="C792" s="74"/>
      <c r="D792" s="74"/>
      <c r="E792" s="74"/>
      <c r="F792" s="74"/>
    </row>
    <row r="793">
      <c r="A793" s="74"/>
      <c r="B793" s="74"/>
      <c r="C793" s="74"/>
      <c r="D793" s="74"/>
      <c r="E793" s="74"/>
      <c r="F793" s="74"/>
    </row>
    <row r="794">
      <c r="A794" s="74"/>
      <c r="B794" s="74"/>
      <c r="C794" s="74"/>
      <c r="D794" s="74"/>
      <c r="E794" s="74"/>
      <c r="F794" s="74"/>
    </row>
    <row r="795">
      <c r="A795" s="74"/>
      <c r="B795" s="74"/>
      <c r="C795" s="74"/>
      <c r="D795" s="74"/>
      <c r="E795" s="74"/>
      <c r="F795" s="74"/>
    </row>
    <row r="796">
      <c r="A796" s="74"/>
      <c r="B796" s="74"/>
      <c r="C796" s="74"/>
      <c r="D796" s="74"/>
      <c r="E796" s="74"/>
      <c r="F796" s="74"/>
    </row>
    <row r="797">
      <c r="A797" s="74"/>
      <c r="B797" s="74"/>
      <c r="C797" s="74"/>
      <c r="D797" s="74"/>
      <c r="E797" s="74"/>
      <c r="F797" s="74"/>
    </row>
    <row r="798">
      <c r="A798" s="74"/>
      <c r="B798" s="74"/>
      <c r="C798" s="74"/>
      <c r="D798" s="74"/>
      <c r="E798" s="74"/>
      <c r="F798" s="74"/>
    </row>
    <row r="799">
      <c r="A799" s="74"/>
      <c r="B799" s="74"/>
      <c r="C799" s="74"/>
      <c r="D799" s="74"/>
      <c r="E799" s="74"/>
      <c r="F799" s="74"/>
    </row>
    <row r="800">
      <c r="A800" s="74"/>
      <c r="B800" s="74"/>
      <c r="C800" s="74"/>
      <c r="D800" s="74"/>
      <c r="E800" s="74"/>
      <c r="F800" s="74"/>
    </row>
    <row r="801">
      <c r="A801" s="74"/>
      <c r="B801" s="74"/>
      <c r="C801" s="74"/>
      <c r="D801" s="74"/>
      <c r="E801" s="74"/>
      <c r="F801" s="74"/>
    </row>
    <row r="802">
      <c r="A802" s="74"/>
      <c r="B802" s="74"/>
      <c r="C802" s="74"/>
      <c r="D802" s="74"/>
      <c r="E802" s="74"/>
      <c r="F802" s="74"/>
    </row>
    <row r="803">
      <c r="A803" s="74"/>
      <c r="B803" s="74"/>
      <c r="C803" s="74"/>
      <c r="D803" s="74"/>
      <c r="E803" s="74"/>
      <c r="F803" s="74"/>
    </row>
    <row r="804">
      <c r="A804" s="74"/>
      <c r="B804" s="74"/>
      <c r="C804" s="74"/>
      <c r="D804" s="74"/>
      <c r="E804" s="74"/>
      <c r="F804" s="74"/>
    </row>
    <row r="805">
      <c r="A805" s="74"/>
      <c r="B805" s="74"/>
      <c r="C805" s="74"/>
      <c r="D805" s="74"/>
      <c r="E805" s="74"/>
      <c r="F805" s="74"/>
    </row>
    <row r="806">
      <c r="A806" s="74"/>
      <c r="B806" s="74"/>
      <c r="C806" s="74"/>
      <c r="D806" s="74"/>
      <c r="E806" s="74"/>
      <c r="F806" s="74"/>
    </row>
    <row r="807">
      <c r="A807" s="74"/>
      <c r="B807" s="74"/>
      <c r="C807" s="74"/>
      <c r="D807" s="74"/>
      <c r="E807" s="74"/>
      <c r="F807" s="74"/>
    </row>
    <row r="808">
      <c r="A808" s="74"/>
      <c r="B808" s="74"/>
      <c r="C808" s="74"/>
      <c r="D808" s="74"/>
      <c r="E808" s="74"/>
      <c r="F808" s="74"/>
    </row>
    <row r="809">
      <c r="A809" s="74"/>
      <c r="B809" s="74"/>
      <c r="C809" s="74"/>
      <c r="D809" s="74"/>
      <c r="E809" s="74"/>
      <c r="F809" s="74"/>
    </row>
    <row r="810">
      <c r="A810" s="74"/>
      <c r="B810" s="74"/>
      <c r="C810" s="74"/>
      <c r="D810" s="74"/>
      <c r="E810" s="74"/>
      <c r="F810" s="74"/>
    </row>
    <row r="811">
      <c r="A811" s="74"/>
      <c r="B811" s="74"/>
      <c r="C811" s="74"/>
      <c r="D811" s="74"/>
      <c r="E811" s="74"/>
      <c r="F811" s="74"/>
    </row>
    <row r="812">
      <c r="A812" s="74"/>
      <c r="B812" s="74"/>
      <c r="C812" s="74"/>
      <c r="D812" s="74"/>
      <c r="E812" s="74"/>
      <c r="F812" s="74"/>
    </row>
    <row r="813">
      <c r="A813" s="74"/>
      <c r="B813" s="74"/>
      <c r="C813" s="74"/>
      <c r="D813" s="74"/>
      <c r="E813" s="74"/>
      <c r="F813" s="74"/>
    </row>
    <row r="814">
      <c r="A814" s="74"/>
      <c r="B814" s="74"/>
      <c r="C814" s="74"/>
      <c r="D814" s="74"/>
      <c r="E814" s="74"/>
      <c r="F814" s="74"/>
    </row>
    <row r="815">
      <c r="A815" s="74"/>
      <c r="B815" s="74"/>
      <c r="C815" s="74"/>
      <c r="D815" s="74"/>
      <c r="E815" s="74"/>
      <c r="F815" s="74"/>
    </row>
    <row r="816">
      <c r="A816" s="74"/>
      <c r="B816" s="74"/>
      <c r="C816" s="74"/>
      <c r="D816" s="74"/>
      <c r="E816" s="74"/>
      <c r="F816" s="74"/>
    </row>
    <row r="817">
      <c r="A817" s="74"/>
      <c r="B817" s="74"/>
      <c r="C817" s="74"/>
      <c r="D817" s="74"/>
      <c r="E817" s="74"/>
      <c r="F817" s="74"/>
    </row>
    <row r="818">
      <c r="A818" s="74"/>
      <c r="B818" s="74"/>
      <c r="C818" s="74"/>
      <c r="D818" s="74"/>
      <c r="E818" s="74"/>
      <c r="F818" s="74"/>
    </row>
    <row r="819">
      <c r="A819" s="74"/>
      <c r="B819" s="74"/>
      <c r="C819" s="74"/>
      <c r="D819" s="74"/>
      <c r="E819" s="74"/>
      <c r="F819" s="74"/>
    </row>
    <row r="820">
      <c r="A820" s="74"/>
      <c r="B820" s="74"/>
      <c r="C820" s="74"/>
      <c r="D820" s="74"/>
      <c r="E820" s="74"/>
      <c r="F820" s="74"/>
    </row>
    <row r="821">
      <c r="A821" s="74"/>
      <c r="B821" s="74"/>
      <c r="C821" s="74"/>
      <c r="D821" s="74"/>
      <c r="E821" s="74"/>
      <c r="F821" s="74"/>
    </row>
    <row r="822">
      <c r="A822" s="74"/>
      <c r="B822" s="74"/>
      <c r="C822" s="74"/>
      <c r="D822" s="74"/>
      <c r="E822" s="74"/>
      <c r="F822" s="74"/>
    </row>
    <row r="823">
      <c r="A823" s="74"/>
      <c r="B823" s="74"/>
      <c r="C823" s="74"/>
      <c r="D823" s="74"/>
      <c r="E823" s="74"/>
      <c r="F823" s="74"/>
    </row>
    <row r="824">
      <c r="A824" s="74"/>
      <c r="B824" s="74"/>
      <c r="C824" s="74"/>
      <c r="D824" s="74"/>
      <c r="E824" s="74"/>
      <c r="F824" s="74"/>
    </row>
    <row r="825">
      <c r="A825" s="74"/>
      <c r="B825" s="74"/>
      <c r="C825" s="74"/>
      <c r="D825" s="74"/>
      <c r="E825" s="74"/>
      <c r="F825" s="74"/>
    </row>
    <row r="826">
      <c r="A826" s="74"/>
      <c r="B826" s="74"/>
      <c r="C826" s="74"/>
      <c r="D826" s="74"/>
      <c r="E826" s="74"/>
      <c r="F826" s="74"/>
    </row>
    <row r="827">
      <c r="A827" s="74"/>
      <c r="B827" s="74"/>
      <c r="C827" s="74"/>
      <c r="D827" s="74"/>
      <c r="E827" s="74"/>
      <c r="F827" s="74"/>
    </row>
    <row r="828">
      <c r="A828" s="74"/>
      <c r="B828" s="74"/>
      <c r="C828" s="74"/>
      <c r="D828" s="74"/>
      <c r="E828" s="74"/>
      <c r="F828" s="74"/>
    </row>
    <row r="829">
      <c r="A829" s="74"/>
      <c r="B829" s="74"/>
      <c r="C829" s="74"/>
      <c r="D829" s="74"/>
      <c r="E829" s="74"/>
      <c r="F829" s="74"/>
    </row>
    <row r="830">
      <c r="A830" s="74"/>
      <c r="B830" s="74"/>
      <c r="C830" s="74"/>
      <c r="D830" s="74"/>
      <c r="E830" s="74"/>
      <c r="F830" s="74"/>
    </row>
    <row r="831">
      <c r="A831" s="74"/>
      <c r="B831" s="74"/>
      <c r="C831" s="74"/>
      <c r="D831" s="74"/>
      <c r="E831" s="74"/>
      <c r="F831" s="74"/>
    </row>
    <row r="832">
      <c r="A832" s="74"/>
      <c r="B832" s="74"/>
      <c r="C832" s="74"/>
      <c r="D832" s="74"/>
      <c r="E832" s="74"/>
      <c r="F832" s="74"/>
    </row>
    <row r="833">
      <c r="A833" s="74"/>
      <c r="B833" s="74"/>
      <c r="C833" s="74"/>
      <c r="D833" s="74"/>
      <c r="E833" s="74"/>
      <c r="F833" s="74"/>
    </row>
    <row r="834">
      <c r="A834" s="74"/>
      <c r="B834" s="74"/>
      <c r="C834" s="74"/>
      <c r="D834" s="74"/>
      <c r="E834" s="74"/>
      <c r="F834" s="74"/>
    </row>
    <row r="835">
      <c r="A835" s="74"/>
      <c r="B835" s="74"/>
      <c r="C835" s="74"/>
      <c r="D835" s="74"/>
      <c r="E835" s="74"/>
      <c r="F835" s="74"/>
    </row>
    <row r="836">
      <c r="A836" s="74"/>
      <c r="B836" s="74"/>
      <c r="C836" s="74"/>
      <c r="D836" s="74"/>
      <c r="E836" s="74"/>
      <c r="F836" s="74"/>
    </row>
    <row r="837">
      <c r="A837" s="74"/>
      <c r="B837" s="74"/>
      <c r="C837" s="74"/>
      <c r="D837" s="74"/>
      <c r="E837" s="74"/>
      <c r="F837" s="74"/>
    </row>
    <row r="838">
      <c r="A838" s="74"/>
      <c r="B838" s="74"/>
      <c r="C838" s="74"/>
      <c r="D838" s="74"/>
      <c r="E838" s="74"/>
      <c r="F838" s="74"/>
    </row>
    <row r="839">
      <c r="A839" s="74"/>
      <c r="B839" s="74"/>
      <c r="C839" s="74"/>
      <c r="D839" s="74"/>
      <c r="E839" s="74"/>
      <c r="F839" s="74"/>
    </row>
    <row r="840">
      <c r="A840" s="74"/>
      <c r="B840" s="74"/>
      <c r="C840" s="74"/>
      <c r="D840" s="74"/>
      <c r="E840" s="74"/>
      <c r="F840" s="74"/>
    </row>
    <row r="841">
      <c r="A841" s="74"/>
      <c r="B841" s="74"/>
      <c r="C841" s="74"/>
      <c r="D841" s="74"/>
      <c r="E841" s="74"/>
      <c r="F841" s="74"/>
    </row>
    <row r="842">
      <c r="A842" s="74"/>
      <c r="B842" s="74"/>
      <c r="C842" s="74"/>
      <c r="D842" s="74"/>
      <c r="E842" s="74"/>
      <c r="F842" s="74"/>
    </row>
    <row r="843">
      <c r="A843" s="74"/>
      <c r="B843" s="74"/>
      <c r="C843" s="74"/>
      <c r="D843" s="74"/>
      <c r="E843" s="74"/>
      <c r="F843" s="74"/>
    </row>
    <row r="844">
      <c r="A844" s="74"/>
      <c r="B844" s="74"/>
      <c r="C844" s="74"/>
      <c r="D844" s="74"/>
      <c r="E844" s="74"/>
      <c r="F844" s="74"/>
    </row>
    <row r="845">
      <c r="A845" s="74"/>
      <c r="B845" s="74"/>
      <c r="C845" s="74"/>
      <c r="D845" s="74"/>
      <c r="E845" s="74"/>
      <c r="F845" s="74"/>
    </row>
    <row r="846">
      <c r="A846" s="74"/>
      <c r="B846" s="74"/>
      <c r="C846" s="74"/>
      <c r="D846" s="74"/>
      <c r="E846" s="74"/>
      <c r="F846" s="74"/>
    </row>
    <row r="847">
      <c r="A847" s="74"/>
      <c r="B847" s="74"/>
      <c r="C847" s="74"/>
      <c r="D847" s="74"/>
      <c r="E847" s="74"/>
      <c r="F847" s="74"/>
    </row>
    <row r="848">
      <c r="A848" s="74"/>
      <c r="B848" s="74"/>
      <c r="C848" s="74"/>
      <c r="D848" s="74"/>
      <c r="E848" s="74"/>
      <c r="F848" s="74"/>
    </row>
    <row r="849">
      <c r="A849" s="74"/>
      <c r="B849" s="74"/>
      <c r="C849" s="74"/>
      <c r="D849" s="74"/>
      <c r="E849" s="74"/>
      <c r="F849" s="74"/>
    </row>
    <row r="850">
      <c r="A850" s="74"/>
      <c r="B850" s="74"/>
      <c r="C850" s="74"/>
      <c r="D850" s="74"/>
      <c r="E850" s="74"/>
      <c r="F850" s="74"/>
    </row>
    <row r="851">
      <c r="A851" s="74"/>
      <c r="B851" s="74"/>
      <c r="C851" s="74"/>
      <c r="D851" s="74"/>
      <c r="E851" s="74"/>
      <c r="F851" s="74"/>
    </row>
    <row r="852">
      <c r="A852" s="74"/>
      <c r="B852" s="74"/>
      <c r="C852" s="74"/>
      <c r="D852" s="74"/>
      <c r="E852" s="74"/>
      <c r="F852" s="74"/>
    </row>
    <row r="853">
      <c r="A853" s="74"/>
      <c r="B853" s="74"/>
      <c r="C853" s="74"/>
      <c r="D853" s="74"/>
      <c r="E853" s="74"/>
      <c r="F853" s="74"/>
    </row>
    <row r="854">
      <c r="A854" s="74"/>
      <c r="B854" s="74"/>
      <c r="C854" s="74"/>
      <c r="D854" s="74"/>
      <c r="E854" s="74"/>
      <c r="F854" s="74"/>
    </row>
    <row r="855">
      <c r="A855" s="74"/>
      <c r="B855" s="74"/>
      <c r="C855" s="74"/>
      <c r="D855" s="74"/>
      <c r="E855" s="74"/>
      <c r="F855" s="74"/>
    </row>
    <row r="856">
      <c r="A856" s="74"/>
      <c r="B856" s="74"/>
      <c r="C856" s="74"/>
      <c r="D856" s="74"/>
      <c r="E856" s="74"/>
      <c r="F856" s="74"/>
    </row>
    <row r="857">
      <c r="A857" s="74"/>
      <c r="B857" s="74"/>
      <c r="C857" s="74"/>
      <c r="D857" s="74"/>
      <c r="E857" s="74"/>
      <c r="F857" s="74"/>
    </row>
    <row r="858">
      <c r="A858" s="74"/>
      <c r="B858" s="74"/>
      <c r="C858" s="74"/>
      <c r="D858" s="74"/>
      <c r="E858" s="74"/>
      <c r="F858" s="74"/>
    </row>
    <row r="859">
      <c r="A859" s="74"/>
      <c r="B859" s="74"/>
      <c r="C859" s="74"/>
      <c r="D859" s="74"/>
      <c r="E859" s="74"/>
      <c r="F859" s="74"/>
    </row>
    <row r="860">
      <c r="A860" s="74"/>
      <c r="B860" s="74"/>
      <c r="C860" s="74"/>
      <c r="D860" s="74"/>
      <c r="E860" s="74"/>
      <c r="F860" s="74"/>
    </row>
    <row r="861">
      <c r="A861" s="74"/>
      <c r="B861" s="74"/>
      <c r="C861" s="74"/>
      <c r="D861" s="74"/>
      <c r="E861" s="74"/>
      <c r="F861" s="74"/>
    </row>
    <row r="862">
      <c r="A862" s="74"/>
      <c r="B862" s="74"/>
      <c r="C862" s="74"/>
      <c r="D862" s="74"/>
      <c r="E862" s="74"/>
      <c r="F862" s="74"/>
    </row>
    <row r="863">
      <c r="A863" s="74"/>
      <c r="B863" s="74"/>
      <c r="C863" s="74"/>
      <c r="D863" s="74"/>
      <c r="E863" s="74"/>
      <c r="F863" s="74"/>
    </row>
    <row r="864">
      <c r="A864" s="74"/>
      <c r="B864" s="74"/>
      <c r="C864" s="74"/>
      <c r="D864" s="74"/>
      <c r="E864" s="74"/>
      <c r="F864" s="74"/>
    </row>
    <row r="865">
      <c r="A865" s="74"/>
      <c r="B865" s="74"/>
      <c r="C865" s="74"/>
      <c r="D865" s="74"/>
      <c r="E865" s="74"/>
      <c r="F865" s="74"/>
    </row>
    <row r="866">
      <c r="A866" s="74"/>
      <c r="B866" s="74"/>
      <c r="C866" s="74"/>
      <c r="D866" s="74"/>
      <c r="E866" s="74"/>
      <c r="F866" s="74"/>
    </row>
    <row r="867">
      <c r="A867" s="74"/>
      <c r="B867" s="74"/>
      <c r="C867" s="74"/>
      <c r="D867" s="74"/>
      <c r="E867" s="74"/>
      <c r="F867" s="74"/>
    </row>
    <row r="868">
      <c r="A868" s="74"/>
      <c r="B868" s="74"/>
      <c r="C868" s="74"/>
      <c r="D868" s="74"/>
      <c r="E868" s="74"/>
      <c r="F868" s="74"/>
    </row>
    <row r="869">
      <c r="A869" s="74"/>
      <c r="B869" s="74"/>
      <c r="C869" s="74"/>
      <c r="D869" s="74"/>
      <c r="E869" s="74"/>
      <c r="F869" s="74"/>
    </row>
    <row r="870">
      <c r="A870" s="74"/>
      <c r="B870" s="74"/>
      <c r="C870" s="74"/>
      <c r="D870" s="74"/>
      <c r="E870" s="74"/>
      <c r="F870" s="74"/>
    </row>
    <row r="871">
      <c r="A871" s="74"/>
      <c r="B871" s="74"/>
      <c r="C871" s="74"/>
      <c r="D871" s="74"/>
      <c r="E871" s="74"/>
      <c r="F871" s="74"/>
    </row>
    <row r="872">
      <c r="A872" s="74"/>
      <c r="B872" s="74"/>
      <c r="C872" s="74"/>
      <c r="D872" s="74"/>
      <c r="E872" s="74"/>
      <c r="F872" s="74"/>
    </row>
    <row r="873">
      <c r="A873" s="74"/>
      <c r="B873" s="74"/>
      <c r="C873" s="74"/>
      <c r="D873" s="74"/>
      <c r="E873" s="74"/>
      <c r="F873" s="74"/>
    </row>
    <row r="874">
      <c r="A874" s="74"/>
      <c r="B874" s="74"/>
      <c r="C874" s="74"/>
      <c r="D874" s="74"/>
      <c r="E874" s="74"/>
      <c r="F874" s="74"/>
    </row>
    <row r="875">
      <c r="A875" s="74"/>
      <c r="B875" s="74"/>
      <c r="C875" s="74"/>
      <c r="D875" s="74"/>
      <c r="E875" s="74"/>
      <c r="F875" s="74"/>
    </row>
    <row r="876">
      <c r="A876" s="74"/>
      <c r="B876" s="74"/>
      <c r="C876" s="74"/>
      <c r="D876" s="74"/>
      <c r="E876" s="74"/>
      <c r="F876" s="74"/>
    </row>
    <row r="877">
      <c r="A877" s="74"/>
      <c r="B877" s="74"/>
      <c r="C877" s="74"/>
      <c r="D877" s="74"/>
      <c r="E877" s="74"/>
      <c r="F877" s="74"/>
    </row>
    <row r="878">
      <c r="A878" s="74"/>
      <c r="B878" s="74"/>
      <c r="C878" s="74"/>
      <c r="D878" s="74"/>
      <c r="E878" s="74"/>
      <c r="F878" s="74"/>
    </row>
    <row r="879">
      <c r="A879" s="74"/>
      <c r="B879" s="74"/>
      <c r="C879" s="74"/>
      <c r="D879" s="74"/>
      <c r="E879" s="74"/>
      <c r="F879" s="74"/>
    </row>
    <row r="880">
      <c r="A880" s="74"/>
      <c r="B880" s="74"/>
      <c r="C880" s="74"/>
      <c r="D880" s="74"/>
      <c r="E880" s="74"/>
      <c r="F880" s="74"/>
    </row>
    <row r="881">
      <c r="A881" s="74"/>
      <c r="B881" s="74"/>
      <c r="C881" s="74"/>
      <c r="D881" s="74"/>
      <c r="E881" s="74"/>
      <c r="F881" s="74"/>
    </row>
    <row r="882">
      <c r="A882" s="74"/>
      <c r="B882" s="74"/>
      <c r="C882" s="74"/>
      <c r="D882" s="74"/>
      <c r="E882" s="74"/>
      <c r="F882" s="74"/>
    </row>
    <row r="883">
      <c r="A883" s="74"/>
      <c r="B883" s="74"/>
      <c r="C883" s="74"/>
      <c r="D883" s="74"/>
      <c r="E883" s="74"/>
      <c r="F883" s="74"/>
    </row>
    <row r="884">
      <c r="A884" s="74"/>
      <c r="B884" s="74"/>
      <c r="C884" s="74"/>
      <c r="D884" s="74"/>
      <c r="E884" s="74"/>
      <c r="F884" s="74"/>
    </row>
    <row r="885">
      <c r="A885" s="74"/>
      <c r="B885" s="74"/>
      <c r="C885" s="74"/>
      <c r="D885" s="74"/>
      <c r="E885" s="74"/>
      <c r="F885" s="74"/>
    </row>
    <row r="886">
      <c r="A886" s="74"/>
      <c r="B886" s="74"/>
      <c r="C886" s="74"/>
      <c r="D886" s="74"/>
      <c r="E886" s="74"/>
      <c r="F886" s="74"/>
    </row>
    <row r="887">
      <c r="A887" s="74"/>
      <c r="B887" s="74"/>
      <c r="C887" s="74"/>
      <c r="D887" s="74"/>
      <c r="E887" s="74"/>
      <c r="F887" s="74"/>
    </row>
    <row r="888">
      <c r="A888" s="74"/>
      <c r="B888" s="74"/>
      <c r="C888" s="74"/>
      <c r="D888" s="74"/>
      <c r="E888" s="74"/>
      <c r="F888" s="74"/>
    </row>
    <row r="889">
      <c r="A889" s="74"/>
      <c r="B889" s="74"/>
      <c r="C889" s="74"/>
      <c r="D889" s="74"/>
      <c r="E889" s="74"/>
      <c r="F889" s="74"/>
    </row>
    <row r="890">
      <c r="A890" s="74"/>
      <c r="B890" s="74"/>
      <c r="C890" s="74"/>
      <c r="D890" s="74"/>
      <c r="E890" s="74"/>
      <c r="F890" s="74"/>
    </row>
    <row r="891">
      <c r="A891" s="74"/>
      <c r="B891" s="74"/>
      <c r="C891" s="74"/>
      <c r="D891" s="74"/>
      <c r="E891" s="74"/>
      <c r="F891" s="74"/>
    </row>
    <row r="892">
      <c r="A892" s="74"/>
      <c r="B892" s="74"/>
      <c r="C892" s="74"/>
      <c r="D892" s="74"/>
      <c r="E892" s="74"/>
      <c r="F892" s="74"/>
    </row>
    <row r="893">
      <c r="A893" s="74"/>
      <c r="B893" s="74"/>
      <c r="C893" s="74"/>
      <c r="D893" s="74"/>
      <c r="E893" s="74"/>
      <c r="F893" s="74"/>
    </row>
    <row r="894">
      <c r="A894" s="74"/>
      <c r="B894" s="74"/>
      <c r="C894" s="74"/>
      <c r="D894" s="74"/>
      <c r="E894" s="74"/>
      <c r="F894" s="74"/>
    </row>
    <row r="895">
      <c r="A895" s="74"/>
      <c r="B895" s="74"/>
      <c r="C895" s="74"/>
      <c r="D895" s="74"/>
      <c r="E895" s="74"/>
      <c r="F895" s="74"/>
    </row>
    <row r="896">
      <c r="A896" s="74"/>
      <c r="B896" s="74"/>
      <c r="C896" s="74"/>
      <c r="D896" s="74"/>
      <c r="E896" s="74"/>
      <c r="F896" s="74"/>
    </row>
    <row r="897">
      <c r="A897" s="74"/>
      <c r="B897" s="74"/>
      <c r="C897" s="74"/>
      <c r="D897" s="74"/>
      <c r="E897" s="74"/>
      <c r="F897" s="74"/>
    </row>
    <row r="898">
      <c r="A898" s="74"/>
      <c r="B898" s="74"/>
      <c r="C898" s="74"/>
      <c r="D898" s="74"/>
      <c r="E898" s="74"/>
      <c r="F898" s="74"/>
    </row>
    <row r="899">
      <c r="A899" s="74"/>
      <c r="B899" s="74"/>
      <c r="C899" s="74"/>
      <c r="D899" s="74"/>
      <c r="E899" s="74"/>
      <c r="F899" s="74"/>
    </row>
    <row r="900">
      <c r="A900" s="74"/>
      <c r="B900" s="74"/>
      <c r="C900" s="74"/>
      <c r="D900" s="74"/>
      <c r="E900" s="74"/>
      <c r="F900" s="74"/>
    </row>
    <row r="901">
      <c r="A901" s="74"/>
      <c r="B901" s="74"/>
      <c r="C901" s="74"/>
      <c r="D901" s="74"/>
      <c r="E901" s="74"/>
      <c r="F901" s="74"/>
    </row>
    <row r="902">
      <c r="A902" s="74"/>
      <c r="B902" s="74"/>
      <c r="C902" s="74"/>
      <c r="D902" s="74"/>
      <c r="E902" s="74"/>
      <c r="F902" s="74"/>
    </row>
    <row r="903">
      <c r="A903" s="74"/>
      <c r="B903" s="74"/>
      <c r="C903" s="74"/>
      <c r="D903" s="74"/>
      <c r="E903" s="74"/>
      <c r="F903" s="74"/>
    </row>
    <row r="904">
      <c r="A904" s="74"/>
      <c r="B904" s="74"/>
      <c r="C904" s="74"/>
      <c r="D904" s="74"/>
      <c r="E904" s="74"/>
      <c r="F904" s="74"/>
    </row>
    <row r="905">
      <c r="A905" s="74"/>
      <c r="B905" s="74"/>
      <c r="C905" s="74"/>
      <c r="D905" s="74"/>
      <c r="E905" s="74"/>
      <c r="F905" s="74"/>
    </row>
    <row r="906">
      <c r="A906" s="74"/>
      <c r="B906" s="74"/>
      <c r="C906" s="74"/>
      <c r="D906" s="74"/>
      <c r="E906" s="74"/>
      <c r="F906" s="74"/>
    </row>
    <row r="907">
      <c r="A907" s="74"/>
      <c r="B907" s="74"/>
      <c r="C907" s="74"/>
      <c r="D907" s="74"/>
      <c r="E907" s="74"/>
      <c r="F907" s="74"/>
    </row>
    <row r="908">
      <c r="A908" s="74"/>
      <c r="B908" s="74"/>
      <c r="C908" s="74"/>
      <c r="D908" s="74"/>
      <c r="E908" s="74"/>
      <c r="F908" s="74"/>
    </row>
    <row r="909">
      <c r="A909" s="74"/>
      <c r="B909" s="74"/>
      <c r="C909" s="74"/>
      <c r="D909" s="74"/>
      <c r="E909" s="74"/>
      <c r="F909" s="74"/>
    </row>
    <row r="910">
      <c r="A910" s="74"/>
      <c r="B910" s="74"/>
      <c r="C910" s="74"/>
      <c r="D910" s="74"/>
      <c r="E910" s="74"/>
      <c r="F910" s="74"/>
    </row>
    <row r="911">
      <c r="A911" s="74"/>
      <c r="B911" s="74"/>
      <c r="C911" s="74"/>
      <c r="D911" s="74"/>
      <c r="E911" s="74"/>
      <c r="F911" s="74"/>
    </row>
    <row r="912">
      <c r="A912" s="74"/>
      <c r="B912" s="74"/>
      <c r="C912" s="74"/>
      <c r="D912" s="74"/>
      <c r="E912" s="74"/>
      <c r="F912" s="74"/>
    </row>
    <row r="913">
      <c r="A913" s="74"/>
      <c r="B913" s="74"/>
      <c r="C913" s="74"/>
      <c r="D913" s="74"/>
      <c r="E913" s="74"/>
      <c r="F913" s="74"/>
    </row>
    <row r="914">
      <c r="A914" s="74"/>
      <c r="B914" s="74"/>
      <c r="C914" s="74"/>
      <c r="D914" s="74"/>
      <c r="E914" s="74"/>
      <c r="F914" s="74"/>
    </row>
    <row r="915">
      <c r="A915" s="74"/>
      <c r="B915" s="74"/>
      <c r="C915" s="74"/>
      <c r="D915" s="74"/>
      <c r="E915" s="74"/>
      <c r="F915" s="74"/>
    </row>
    <row r="916">
      <c r="A916" s="74"/>
      <c r="B916" s="74"/>
      <c r="C916" s="74"/>
      <c r="D916" s="74"/>
      <c r="E916" s="74"/>
      <c r="F916" s="74"/>
    </row>
    <row r="917">
      <c r="A917" s="74"/>
      <c r="B917" s="74"/>
      <c r="C917" s="74"/>
      <c r="D917" s="74"/>
      <c r="E917" s="74"/>
      <c r="F917" s="74"/>
    </row>
    <row r="918">
      <c r="A918" s="74"/>
      <c r="B918" s="74"/>
      <c r="C918" s="74"/>
      <c r="D918" s="74"/>
      <c r="E918" s="74"/>
      <c r="F918" s="74"/>
    </row>
    <row r="919">
      <c r="A919" s="74"/>
      <c r="B919" s="74"/>
      <c r="C919" s="74"/>
      <c r="D919" s="74"/>
      <c r="E919" s="74"/>
      <c r="F919" s="74"/>
    </row>
    <row r="920">
      <c r="A920" s="74"/>
      <c r="B920" s="74"/>
      <c r="C920" s="74"/>
      <c r="D920" s="74"/>
      <c r="E920" s="74"/>
      <c r="F920" s="74"/>
    </row>
    <row r="921">
      <c r="A921" s="74"/>
      <c r="B921" s="74"/>
      <c r="C921" s="74"/>
      <c r="D921" s="74"/>
      <c r="E921" s="74"/>
      <c r="F921" s="74"/>
    </row>
    <row r="922">
      <c r="A922" s="74"/>
      <c r="B922" s="74"/>
      <c r="C922" s="74"/>
      <c r="D922" s="74"/>
      <c r="E922" s="74"/>
      <c r="F922" s="74"/>
    </row>
    <row r="923">
      <c r="A923" s="74"/>
      <c r="B923" s="74"/>
      <c r="C923" s="74"/>
      <c r="D923" s="74"/>
      <c r="E923" s="74"/>
      <c r="F923" s="74"/>
    </row>
    <row r="924">
      <c r="A924" s="74"/>
      <c r="B924" s="74"/>
      <c r="C924" s="74"/>
      <c r="D924" s="74"/>
      <c r="E924" s="74"/>
      <c r="F924" s="74"/>
    </row>
    <row r="925">
      <c r="A925" s="74"/>
      <c r="B925" s="74"/>
      <c r="C925" s="74"/>
      <c r="D925" s="74"/>
      <c r="E925" s="74"/>
      <c r="F925" s="74"/>
    </row>
    <row r="926">
      <c r="A926" s="74"/>
      <c r="B926" s="74"/>
      <c r="C926" s="74"/>
      <c r="D926" s="74"/>
      <c r="E926" s="74"/>
      <c r="F926" s="74"/>
    </row>
    <row r="927">
      <c r="A927" s="74"/>
      <c r="B927" s="74"/>
      <c r="C927" s="74"/>
      <c r="D927" s="74"/>
      <c r="E927" s="74"/>
      <c r="F927" s="74"/>
    </row>
    <row r="928">
      <c r="A928" s="74"/>
      <c r="B928" s="74"/>
      <c r="C928" s="74"/>
      <c r="D928" s="74"/>
      <c r="E928" s="74"/>
      <c r="F928" s="74"/>
    </row>
    <row r="929">
      <c r="A929" s="74"/>
      <c r="B929" s="74"/>
      <c r="C929" s="74"/>
      <c r="D929" s="74"/>
      <c r="E929" s="74"/>
      <c r="F929" s="74"/>
    </row>
    <row r="930">
      <c r="A930" s="74"/>
      <c r="B930" s="74"/>
      <c r="C930" s="74"/>
      <c r="D930" s="74"/>
      <c r="E930" s="74"/>
      <c r="F930" s="74"/>
    </row>
    <row r="931">
      <c r="A931" s="74"/>
      <c r="B931" s="74"/>
      <c r="C931" s="74"/>
      <c r="D931" s="74"/>
      <c r="E931" s="74"/>
      <c r="F931" s="74"/>
    </row>
    <row r="932">
      <c r="A932" s="74"/>
      <c r="B932" s="74"/>
      <c r="C932" s="74"/>
      <c r="D932" s="74"/>
      <c r="E932" s="74"/>
      <c r="F932" s="74"/>
    </row>
    <row r="933">
      <c r="A933" s="74"/>
      <c r="B933" s="74"/>
      <c r="C933" s="74"/>
      <c r="D933" s="74"/>
      <c r="E933" s="74"/>
      <c r="F933" s="74"/>
    </row>
    <row r="934">
      <c r="A934" s="74"/>
      <c r="B934" s="74"/>
      <c r="C934" s="74"/>
      <c r="D934" s="74"/>
      <c r="E934" s="74"/>
      <c r="F934" s="74"/>
    </row>
    <row r="935">
      <c r="A935" s="74"/>
      <c r="B935" s="74"/>
      <c r="C935" s="74"/>
      <c r="D935" s="74"/>
      <c r="E935" s="74"/>
      <c r="F935" s="74"/>
    </row>
    <row r="936">
      <c r="A936" s="74"/>
      <c r="B936" s="74"/>
      <c r="C936" s="74"/>
      <c r="D936" s="74"/>
      <c r="E936" s="74"/>
      <c r="F936" s="74"/>
    </row>
    <row r="937">
      <c r="A937" s="74"/>
      <c r="B937" s="74"/>
      <c r="C937" s="74"/>
      <c r="D937" s="74"/>
      <c r="E937" s="74"/>
      <c r="F937" s="74"/>
    </row>
    <row r="938">
      <c r="A938" s="74"/>
      <c r="B938" s="74"/>
      <c r="C938" s="74"/>
      <c r="D938" s="74"/>
      <c r="E938" s="74"/>
      <c r="F938" s="74"/>
    </row>
    <row r="939">
      <c r="A939" s="74"/>
      <c r="B939" s="74"/>
      <c r="C939" s="74"/>
      <c r="D939" s="74"/>
      <c r="E939" s="74"/>
      <c r="F939" s="74"/>
    </row>
    <row r="940">
      <c r="A940" s="74"/>
      <c r="B940" s="74"/>
      <c r="C940" s="74"/>
      <c r="D940" s="74"/>
      <c r="E940" s="74"/>
      <c r="F940" s="74"/>
    </row>
    <row r="941">
      <c r="A941" s="74"/>
      <c r="B941" s="74"/>
      <c r="C941" s="74"/>
      <c r="D941" s="74"/>
      <c r="E941" s="74"/>
      <c r="F941" s="74"/>
    </row>
    <row r="942">
      <c r="A942" s="74"/>
      <c r="B942" s="74"/>
      <c r="C942" s="74"/>
      <c r="D942" s="74"/>
      <c r="E942" s="74"/>
      <c r="F942" s="74"/>
    </row>
    <row r="943">
      <c r="A943" s="74"/>
      <c r="B943" s="74"/>
      <c r="C943" s="74"/>
      <c r="D943" s="74"/>
      <c r="E943" s="74"/>
      <c r="F943" s="74"/>
    </row>
    <row r="944">
      <c r="A944" s="74"/>
      <c r="B944" s="74"/>
      <c r="C944" s="74"/>
      <c r="D944" s="74"/>
      <c r="E944" s="74"/>
      <c r="F944" s="74"/>
    </row>
    <row r="945">
      <c r="A945" s="74"/>
      <c r="B945" s="74"/>
      <c r="C945" s="74"/>
      <c r="D945" s="74"/>
      <c r="E945" s="74"/>
      <c r="F945" s="74"/>
    </row>
    <row r="946">
      <c r="A946" s="74"/>
      <c r="B946" s="74"/>
      <c r="C946" s="74"/>
      <c r="D946" s="74"/>
      <c r="E946" s="74"/>
      <c r="F946" s="74"/>
    </row>
    <row r="947">
      <c r="A947" s="74"/>
      <c r="B947" s="74"/>
      <c r="C947" s="74"/>
      <c r="D947" s="74"/>
      <c r="E947" s="74"/>
      <c r="F947" s="74"/>
    </row>
    <row r="948">
      <c r="A948" s="74"/>
      <c r="B948" s="74"/>
      <c r="C948" s="74"/>
      <c r="D948" s="74"/>
      <c r="E948" s="74"/>
      <c r="F948" s="74"/>
    </row>
    <row r="949">
      <c r="A949" s="74"/>
      <c r="B949" s="74"/>
      <c r="C949" s="74"/>
      <c r="D949" s="74"/>
      <c r="E949" s="74"/>
      <c r="F949" s="74"/>
    </row>
    <row r="950">
      <c r="A950" s="74"/>
      <c r="B950" s="74"/>
      <c r="C950" s="74"/>
      <c r="D950" s="74"/>
      <c r="E950" s="74"/>
      <c r="F950" s="74"/>
    </row>
    <row r="951">
      <c r="A951" s="74"/>
      <c r="B951" s="74"/>
      <c r="C951" s="74"/>
      <c r="D951" s="74"/>
      <c r="E951" s="74"/>
      <c r="F951" s="74"/>
    </row>
    <row r="952">
      <c r="A952" s="74"/>
      <c r="B952" s="74"/>
      <c r="C952" s="74"/>
      <c r="D952" s="74"/>
      <c r="E952" s="74"/>
      <c r="F952" s="74"/>
    </row>
    <row r="953">
      <c r="A953" s="74"/>
      <c r="B953" s="74"/>
      <c r="C953" s="74"/>
      <c r="D953" s="74"/>
      <c r="E953" s="74"/>
      <c r="F953" s="74"/>
    </row>
    <row r="954">
      <c r="A954" s="74"/>
      <c r="B954" s="74"/>
      <c r="C954" s="74"/>
      <c r="D954" s="74"/>
      <c r="E954" s="74"/>
      <c r="F954" s="74"/>
    </row>
    <row r="955">
      <c r="A955" s="74"/>
      <c r="B955" s="74"/>
      <c r="C955" s="74"/>
      <c r="D955" s="74"/>
      <c r="E955" s="74"/>
      <c r="F955" s="74"/>
    </row>
    <row r="956">
      <c r="A956" s="74"/>
      <c r="B956" s="74"/>
      <c r="C956" s="74"/>
      <c r="D956" s="74"/>
      <c r="E956" s="74"/>
      <c r="F956" s="74"/>
    </row>
    <row r="957">
      <c r="A957" s="74"/>
      <c r="B957" s="74"/>
      <c r="C957" s="74"/>
      <c r="D957" s="74"/>
      <c r="E957" s="74"/>
      <c r="F957" s="74"/>
    </row>
    <row r="958">
      <c r="A958" s="74"/>
      <c r="B958" s="74"/>
      <c r="C958" s="74"/>
      <c r="D958" s="74"/>
      <c r="E958" s="74"/>
      <c r="F958" s="74"/>
    </row>
    <row r="959">
      <c r="A959" s="74"/>
      <c r="B959" s="74"/>
      <c r="C959" s="74"/>
      <c r="D959" s="74"/>
      <c r="E959" s="74"/>
      <c r="F959" s="74"/>
    </row>
    <row r="960">
      <c r="A960" s="74"/>
      <c r="B960" s="74"/>
      <c r="C960" s="74"/>
      <c r="D960" s="74"/>
      <c r="E960" s="74"/>
      <c r="F960" s="74"/>
    </row>
    <row r="961">
      <c r="A961" s="74"/>
      <c r="B961" s="74"/>
      <c r="C961" s="74"/>
      <c r="D961" s="74"/>
      <c r="E961" s="74"/>
      <c r="F961" s="74"/>
    </row>
    <row r="962">
      <c r="A962" s="74"/>
      <c r="B962" s="74"/>
      <c r="C962" s="74"/>
      <c r="D962" s="74"/>
      <c r="E962" s="74"/>
      <c r="F962" s="74"/>
    </row>
    <row r="963">
      <c r="A963" s="74"/>
      <c r="B963" s="74"/>
      <c r="C963" s="74"/>
      <c r="D963" s="74"/>
      <c r="E963" s="74"/>
      <c r="F963" s="74"/>
    </row>
    <row r="964">
      <c r="A964" s="74"/>
      <c r="B964" s="74"/>
      <c r="C964" s="74"/>
      <c r="D964" s="74"/>
      <c r="E964" s="74"/>
      <c r="F964" s="74"/>
    </row>
    <row r="965">
      <c r="A965" s="74"/>
      <c r="B965" s="74"/>
      <c r="C965" s="74"/>
      <c r="D965" s="74"/>
      <c r="E965" s="74"/>
      <c r="F965" s="74"/>
    </row>
    <row r="966">
      <c r="A966" s="74"/>
      <c r="B966" s="74"/>
      <c r="C966" s="74"/>
      <c r="D966" s="74"/>
      <c r="E966" s="74"/>
      <c r="F966" s="74"/>
    </row>
    <row r="967">
      <c r="A967" s="74"/>
      <c r="B967" s="74"/>
      <c r="C967" s="74"/>
      <c r="D967" s="74"/>
      <c r="E967" s="74"/>
      <c r="F967" s="74"/>
    </row>
    <row r="968">
      <c r="A968" s="74"/>
      <c r="B968" s="74"/>
      <c r="C968" s="74"/>
      <c r="D968" s="74"/>
      <c r="E968" s="74"/>
      <c r="F968" s="74"/>
    </row>
    <row r="969">
      <c r="A969" s="74"/>
      <c r="B969" s="74"/>
      <c r="C969" s="74"/>
      <c r="D969" s="74"/>
      <c r="E969" s="74"/>
      <c r="F969" s="74"/>
    </row>
    <row r="970">
      <c r="A970" s="74"/>
      <c r="B970" s="74"/>
      <c r="C970" s="74"/>
      <c r="D970" s="74"/>
      <c r="E970" s="74"/>
      <c r="F970" s="74"/>
    </row>
    <row r="971">
      <c r="A971" s="74"/>
      <c r="B971" s="74"/>
      <c r="C971" s="74"/>
      <c r="D971" s="74"/>
      <c r="E971" s="74"/>
      <c r="F971" s="74"/>
    </row>
    <row r="972">
      <c r="A972" s="74"/>
      <c r="B972" s="74"/>
      <c r="C972" s="74"/>
      <c r="D972" s="74"/>
      <c r="E972" s="74"/>
      <c r="F972" s="74"/>
    </row>
    <row r="973">
      <c r="A973" s="74"/>
      <c r="B973" s="74"/>
      <c r="C973" s="74"/>
      <c r="D973" s="74"/>
      <c r="E973" s="74"/>
      <c r="F973" s="74"/>
    </row>
    <row r="974">
      <c r="A974" s="74"/>
      <c r="B974" s="74"/>
      <c r="C974" s="74"/>
      <c r="D974" s="74"/>
      <c r="E974" s="74"/>
      <c r="F974" s="74"/>
    </row>
    <row r="975">
      <c r="A975" s="74"/>
      <c r="B975" s="74"/>
      <c r="C975" s="74"/>
      <c r="D975" s="74"/>
      <c r="E975" s="74"/>
      <c r="F975" s="74"/>
    </row>
    <row r="976">
      <c r="A976" s="74"/>
      <c r="B976" s="74"/>
      <c r="C976" s="74"/>
      <c r="D976" s="74"/>
      <c r="E976" s="74"/>
      <c r="F976" s="74"/>
    </row>
    <row r="977">
      <c r="A977" s="74"/>
      <c r="B977" s="74"/>
      <c r="C977" s="74"/>
      <c r="D977" s="74"/>
      <c r="E977" s="74"/>
      <c r="F977" s="74"/>
    </row>
    <row r="978">
      <c r="A978" s="74"/>
      <c r="B978" s="74"/>
      <c r="C978" s="74"/>
      <c r="D978" s="74"/>
      <c r="E978" s="74"/>
      <c r="F978" s="74"/>
    </row>
    <row r="979">
      <c r="A979" s="74"/>
      <c r="B979" s="74"/>
      <c r="C979" s="74"/>
      <c r="D979" s="74"/>
      <c r="E979" s="74"/>
      <c r="F979" s="74"/>
    </row>
    <row r="980">
      <c r="A980" s="74"/>
      <c r="B980" s="74"/>
      <c r="C980" s="74"/>
      <c r="D980" s="74"/>
      <c r="E980" s="74"/>
      <c r="F980" s="74"/>
    </row>
    <row r="981">
      <c r="A981" s="74"/>
      <c r="B981" s="74"/>
      <c r="C981" s="74"/>
      <c r="D981" s="74"/>
      <c r="E981" s="74"/>
      <c r="F981" s="74"/>
    </row>
    <row r="982">
      <c r="A982" s="74"/>
      <c r="B982" s="74"/>
      <c r="C982" s="74"/>
      <c r="D982" s="74"/>
      <c r="E982" s="74"/>
      <c r="F982" s="74"/>
    </row>
    <row r="983">
      <c r="A983" s="74"/>
      <c r="B983" s="74"/>
      <c r="C983" s="74"/>
      <c r="D983" s="74"/>
      <c r="E983" s="74"/>
      <c r="F983" s="74"/>
    </row>
    <row r="984">
      <c r="A984" s="74"/>
      <c r="B984" s="74"/>
      <c r="C984" s="74"/>
      <c r="D984" s="74"/>
      <c r="E984" s="74"/>
      <c r="F984" s="74"/>
    </row>
    <row r="985">
      <c r="A985" s="74"/>
      <c r="B985" s="74"/>
      <c r="C985" s="74"/>
      <c r="D985" s="74"/>
      <c r="E985" s="74"/>
      <c r="F985" s="74"/>
    </row>
    <row r="986">
      <c r="A986" s="74"/>
      <c r="B986" s="74"/>
      <c r="C986" s="74"/>
      <c r="D986" s="74"/>
      <c r="E986" s="74"/>
      <c r="F986" s="74"/>
    </row>
    <row r="987">
      <c r="A987" s="74"/>
      <c r="B987" s="74"/>
      <c r="C987" s="74"/>
      <c r="D987" s="74"/>
      <c r="E987" s="74"/>
      <c r="F987" s="74"/>
    </row>
    <row r="988">
      <c r="A988" s="74"/>
      <c r="B988" s="74"/>
      <c r="C988" s="74"/>
      <c r="D988" s="74"/>
      <c r="E988" s="74"/>
      <c r="F988" s="74"/>
    </row>
    <row r="989">
      <c r="A989" s="74"/>
      <c r="B989" s="74"/>
      <c r="C989" s="74"/>
      <c r="D989" s="74"/>
      <c r="E989" s="74"/>
      <c r="F989" s="74"/>
    </row>
    <row r="990">
      <c r="A990" s="74"/>
      <c r="B990" s="74"/>
      <c r="C990" s="74"/>
      <c r="D990" s="74"/>
      <c r="E990" s="74"/>
      <c r="F990" s="74"/>
    </row>
    <row r="991">
      <c r="A991" s="74"/>
      <c r="B991" s="74"/>
      <c r="C991" s="74"/>
      <c r="D991" s="74"/>
      <c r="E991" s="74"/>
      <c r="F991" s="74"/>
    </row>
    <row r="992">
      <c r="A992" s="74"/>
      <c r="B992" s="74"/>
      <c r="C992" s="74"/>
      <c r="D992" s="74"/>
      <c r="E992" s="74"/>
      <c r="F992" s="74"/>
    </row>
    <row r="993">
      <c r="A993" s="74"/>
      <c r="B993" s="74"/>
      <c r="C993" s="74"/>
      <c r="D993" s="74"/>
      <c r="E993" s="74"/>
      <c r="F993" s="74"/>
    </row>
    <row r="994">
      <c r="A994" s="74"/>
      <c r="B994" s="74"/>
      <c r="C994" s="74"/>
      <c r="D994" s="74"/>
      <c r="E994" s="74"/>
      <c r="F994" s="74"/>
    </row>
    <row r="995">
      <c r="A995" s="74"/>
      <c r="B995" s="74"/>
      <c r="C995" s="74"/>
      <c r="D995" s="74"/>
      <c r="E995" s="74"/>
      <c r="F995" s="74"/>
    </row>
    <row r="996">
      <c r="A996" s="74"/>
      <c r="B996" s="74"/>
      <c r="C996" s="74"/>
      <c r="D996" s="74"/>
      <c r="E996" s="74"/>
      <c r="F996" s="74"/>
    </row>
    <row r="997">
      <c r="A997" s="74"/>
      <c r="B997" s="74"/>
      <c r="C997" s="74"/>
      <c r="D997" s="74"/>
      <c r="E997" s="74"/>
      <c r="F997" s="74"/>
    </row>
    <row r="998">
      <c r="A998" s="74"/>
      <c r="B998" s="74"/>
      <c r="C998" s="74"/>
      <c r="D998" s="74"/>
      <c r="E998" s="74"/>
      <c r="F998" s="74"/>
    </row>
    <row r="999">
      <c r="A999" s="74"/>
      <c r="B999" s="74"/>
      <c r="C999" s="74"/>
      <c r="D999" s="74"/>
      <c r="E999" s="74"/>
      <c r="F999" s="74"/>
    </row>
    <row r="1000">
      <c r="A1000" s="74"/>
      <c r="B1000" s="74"/>
      <c r="C1000" s="74"/>
      <c r="D1000" s="74"/>
      <c r="E1000" s="74"/>
      <c r="F1000" s="74"/>
    </row>
    <row r="1001">
      <c r="A1001" s="74"/>
      <c r="B1001" s="74"/>
      <c r="C1001" s="74"/>
      <c r="D1001" s="74"/>
      <c r="E1001" s="74"/>
      <c r="F1001" s="74"/>
    </row>
  </sheetData>
  <mergeCells count="29">
    <mergeCell ref="A1:F1"/>
    <mergeCell ref="B4:F4"/>
    <mergeCell ref="B5:B8"/>
    <mergeCell ref="C5:C8"/>
    <mergeCell ref="D5:D8"/>
    <mergeCell ref="E5:E8"/>
    <mergeCell ref="F5:F8"/>
    <mergeCell ref="B9:F9"/>
    <mergeCell ref="F10:F13"/>
    <mergeCell ref="B14:F14"/>
    <mergeCell ref="B15:B18"/>
    <mergeCell ref="C15:C18"/>
    <mergeCell ref="A19:A23"/>
    <mergeCell ref="B20:B23"/>
    <mergeCell ref="C20:C23"/>
    <mergeCell ref="D20:D23"/>
    <mergeCell ref="E20:E23"/>
    <mergeCell ref="F20:F23"/>
    <mergeCell ref="D15:D18"/>
    <mergeCell ref="E15:E18"/>
    <mergeCell ref="F15:F18"/>
    <mergeCell ref="B19:F19"/>
    <mergeCell ref="A4:A8"/>
    <mergeCell ref="A9:A13"/>
    <mergeCell ref="B10:B13"/>
    <mergeCell ref="C10:C13"/>
    <mergeCell ref="D10:D13"/>
    <mergeCell ref="E10:E13"/>
    <mergeCell ref="A14:A18"/>
  </mergeCells>
  <dataValidations>
    <dataValidation type="list" allowBlank="1" showErrorMessage="1" sqref="D5 D10 D15 D20">
      <formula1>"Baja,Media,Alta"</formula1>
    </dataValidation>
  </dataValidation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73.88"/>
    <col customWidth="1" min="3" max="3" width="19.25"/>
    <col customWidth="1" min="4" max="4" width="45.13"/>
    <col customWidth="1" min="5" max="5" width="39.0"/>
    <col customWidth="1" min="6" max="6" width="9.75"/>
    <col customWidth="1" min="7" max="7" width="13.13"/>
  </cols>
  <sheetData>
    <row r="1">
      <c r="A1" s="59" t="s">
        <v>58</v>
      </c>
      <c r="H1" s="85" t="s">
        <v>59</v>
      </c>
    </row>
    <row r="2">
      <c r="B2" s="61"/>
      <c r="F2" s="86" t="s">
        <v>25</v>
      </c>
    </row>
    <row r="3" ht="23.25" customHeight="1">
      <c r="A3" s="87" t="s">
        <v>60</v>
      </c>
      <c r="D3" s="88">
        <f t="array" ref="D3">INDEX('Información General'!K13:K27, MATCH(A3, 'Información General'!L13:L27, 0))</f>
        <v>729</v>
      </c>
      <c r="E3" s="89" t="str">
        <f>D3&amp;" - "&amp;A3</f>
        <v>729 - Modelación y Simulación 1</v>
      </c>
    </row>
    <row r="4">
      <c r="B4" s="61"/>
    </row>
    <row r="5">
      <c r="A5" s="90" t="s">
        <v>13</v>
      </c>
      <c r="B5" s="91" t="s">
        <v>26</v>
      </c>
      <c r="C5" s="90" t="s">
        <v>27</v>
      </c>
      <c r="D5" s="90" t="s">
        <v>28</v>
      </c>
      <c r="E5" s="90" t="s">
        <v>29</v>
      </c>
      <c r="F5" s="92" t="s">
        <v>30</v>
      </c>
      <c r="G5" s="92" t="s">
        <v>31</v>
      </c>
    </row>
    <row r="6">
      <c r="A6" s="71">
        <f>IFERROR(__xludf.DUMMYFUNCTION("QUERY(IMPORTRANGE(VLOOKUP(E3,MetaData!A:B,2,FALSE), ""Diseño Curricular!A4:G500""), )"),1.0)</f>
        <v>1</v>
      </c>
      <c r="B6" s="61" t="str">
        <f>IFERROR(__xludf.DUMMYFUNCTION("""COMPUTED_VALUE"""),"comprende  los conceptos fundamentales de modelación y simulación mediante el analisis de sistemas  para definir con precisión los elementos  que conforman un sistema discreto. ")</f>
        <v>comprende  los conceptos fundamentales de modelación y simulación mediante el analisis de sistemas  para definir con precisión los elementos  que conforman un sistema discreto. </v>
      </c>
      <c r="C6" s="71">
        <f>IFERROR(__xludf.DUMMYFUNCTION("""COMPUTED_VALUE"""),1.0)</f>
        <v>1</v>
      </c>
      <c r="D6" s="71" t="str">
        <f>IFERROR(__xludf.DUMMYFUNCTION("""COMPUTED_VALUE"""),"Introducción - Conceptos Básicos de Modelos y Simulación")</f>
        <v>Introducción - Conceptos Básicos de Modelos y Simulación</v>
      </c>
      <c r="E6" s="71" t="str">
        <f>IFERROR(__xludf.DUMMYFUNCTION("""COMPUTED_VALUE"""),"Definición de Modelos.")</f>
        <v>Definición de Modelos.</v>
      </c>
      <c r="F6" s="71" t="str">
        <f>IFERROR(__xludf.DUMMYFUNCTION("""COMPUTED_VALUE"""),"Julio")</f>
        <v>Julio</v>
      </c>
      <c r="G6" s="71">
        <f>IFERROR(__xludf.DUMMYFUNCTION("""COMPUTED_VALUE"""),1.0)</f>
        <v>1</v>
      </c>
    </row>
    <row r="7">
      <c r="A7" s="70">
        <f>IFERROR(__xludf.DUMMYFUNCTION("""COMPUTED_VALUE"""),2.0)</f>
        <v>2</v>
      </c>
      <c r="B7" s="61" t="str">
        <f>IFERROR(__xludf.DUMMYFUNCTION("""COMPUTED_VALUE"""),"comprende  los conceptos fundamentales de modelación y simulación mediante el analisis de sistemas  para definir con precisión los elementos  que conforman un sistema discreto. ")</f>
        <v>comprende  los conceptos fundamentales de modelación y simulación mediante el analisis de sistemas  para definir con precisión los elementos  que conforman un sistema discreto. </v>
      </c>
      <c r="C7" s="71">
        <f>IFERROR(__xludf.DUMMYFUNCTION("""COMPUTED_VALUE"""),1.0)</f>
        <v>1</v>
      </c>
      <c r="D7" s="71" t="str">
        <f>IFERROR(__xludf.DUMMYFUNCTION("""COMPUTED_VALUE"""),"Introducción - Conceptos Básicos de Modelos y Simulación")</f>
        <v>Introducción - Conceptos Básicos de Modelos y Simulación</v>
      </c>
      <c r="E7" s="71" t="str">
        <f>IFERROR(__xludf.DUMMYFUNCTION("""COMPUTED_VALUE"""),"Simulación de sistemas.")</f>
        <v>Simulación de sistemas.</v>
      </c>
      <c r="F7" s="71" t="str">
        <f>IFERROR(__xludf.DUMMYFUNCTION("""COMPUTED_VALUE"""),"Julio")</f>
        <v>Julio</v>
      </c>
      <c r="G7" s="71">
        <f>IFERROR(__xludf.DUMMYFUNCTION("""COMPUTED_VALUE"""),1.0)</f>
        <v>1</v>
      </c>
    </row>
    <row r="8">
      <c r="A8" s="71">
        <f>IFERROR(__xludf.DUMMYFUNCTION("""COMPUTED_VALUE"""),3.0)</f>
        <v>3</v>
      </c>
      <c r="B8" s="61" t="str">
        <f>IFERROR(__xludf.DUMMYFUNCTION("""COMPUTED_VALUE"""),"comprende  los conceptos fundamentales de modelación y simulación mediante el analisis de sistemas  para definir con precisión los elementos  que conforman un sistema discreto. ")</f>
        <v>comprende  los conceptos fundamentales de modelación y simulación mediante el analisis de sistemas  para definir con precisión los elementos  que conforman un sistema discreto. </v>
      </c>
      <c r="C8" s="71">
        <f>IFERROR(__xludf.DUMMYFUNCTION("""COMPUTED_VALUE"""),1.0)</f>
        <v>1</v>
      </c>
      <c r="D8" s="71" t="str">
        <f>IFERROR(__xludf.DUMMYFUNCTION("""COMPUTED_VALUE"""),"Introducción - Conceptos Básicos de Modelos y Simulación")</f>
        <v>Introducción - Conceptos Básicos de Modelos y Simulación</v>
      </c>
      <c r="E8" s="71" t="str">
        <f>IFERROR(__xludf.DUMMYFUNCTION("""COMPUTED_VALUE"""),"Variables en la simulación.")</f>
        <v>Variables en la simulación.</v>
      </c>
      <c r="F8" s="71" t="str">
        <f>IFERROR(__xludf.DUMMYFUNCTION("""COMPUTED_VALUE"""),"Julio")</f>
        <v>Julio</v>
      </c>
      <c r="G8" s="71">
        <f>IFERROR(__xludf.DUMMYFUNCTION("""COMPUTED_VALUE"""),1.0)</f>
        <v>1</v>
      </c>
    </row>
    <row r="9">
      <c r="A9" s="71">
        <f>IFERROR(__xludf.DUMMYFUNCTION("""COMPUTED_VALUE"""),4.0)</f>
        <v>4</v>
      </c>
      <c r="B9" s="61" t="str">
        <f>IFERROR(__xludf.DUMMYFUNCTION("""COMPUTED_VALUE"""),"comprende  los conceptos fundamentales de modelación y simulación mediante el analisis de sistemas  para definir con precisión los elementos  que conforman un sistema discreto. ")</f>
        <v>comprende  los conceptos fundamentales de modelación y simulación mediante el analisis de sistemas  para definir con precisión los elementos  que conforman un sistema discreto. </v>
      </c>
      <c r="C9" s="71">
        <f>IFERROR(__xludf.DUMMYFUNCTION("""COMPUTED_VALUE"""),1.0)</f>
        <v>1</v>
      </c>
      <c r="D9" s="71" t="str">
        <f>IFERROR(__xludf.DUMMYFUNCTION("""COMPUTED_VALUE"""),"Introducción - Conceptos Básicos de Modelos y Simulación")</f>
        <v>Introducción - Conceptos Básicos de Modelos y Simulación</v>
      </c>
      <c r="E9" s="71" t="str">
        <f>IFERROR(__xludf.DUMMYFUNCTION("""COMPUTED_VALUE"""),"Tipos de simulaciones.")</f>
        <v>Tipos de simulaciones.</v>
      </c>
      <c r="F9" s="71" t="str">
        <f>IFERROR(__xludf.DUMMYFUNCTION("""COMPUTED_VALUE"""),"Julio")</f>
        <v>Julio</v>
      </c>
      <c r="G9" s="71">
        <f>IFERROR(__xludf.DUMMYFUNCTION("""COMPUTED_VALUE"""),1.0)</f>
        <v>1</v>
      </c>
    </row>
    <row r="10">
      <c r="A10" s="71">
        <f>IFERROR(__xludf.DUMMYFUNCTION("""COMPUTED_VALUE"""),5.0)</f>
        <v>5</v>
      </c>
      <c r="B10" s="61" t="str">
        <f>IFERROR(__xludf.DUMMYFUNCTION("""COMPUTED_VALUE"""),"comprende  los conceptos fundamentales de modelación y simulación mediante el analisis de sistemas  para definir con precisión los elementos  que conforman un sistema discreto. ")</f>
        <v>comprende  los conceptos fundamentales de modelación y simulación mediante el analisis de sistemas  para definir con precisión los elementos  que conforman un sistema discreto. </v>
      </c>
      <c r="C10" s="71">
        <f>IFERROR(__xludf.DUMMYFUNCTION("""COMPUTED_VALUE"""),1.0)</f>
        <v>1</v>
      </c>
      <c r="D10" s="71" t="str">
        <f>IFERROR(__xludf.DUMMYFUNCTION("""COMPUTED_VALUE"""),"Introducción - Conceptos Básicos de Modelos y Simulación")</f>
        <v>Introducción - Conceptos Básicos de Modelos y Simulación</v>
      </c>
      <c r="E10" s="71" t="str">
        <f>IFERROR(__xludf.DUMMYFUNCTION("""COMPUTED_VALUE"""),"Variables independientes y dependientes.")</f>
        <v>Variables independientes y dependientes.</v>
      </c>
      <c r="F10" s="71" t="str">
        <f>IFERROR(__xludf.DUMMYFUNCTION("""COMPUTED_VALUE"""),"Julio")</f>
        <v>Julio</v>
      </c>
      <c r="G10" s="71">
        <f>IFERROR(__xludf.DUMMYFUNCTION("""COMPUTED_VALUE"""),1.0)</f>
        <v>1</v>
      </c>
    </row>
    <row r="11">
      <c r="A11" s="71">
        <f>IFERROR(__xludf.DUMMYFUNCTION("""COMPUTED_VALUE"""),6.0)</f>
        <v>6</v>
      </c>
      <c r="B11" s="61" t="str">
        <f>IFERROR(__xludf.DUMMYFUNCTION("""COMPUTED_VALUE"""),"comprende  los conceptos fundamentales de modelación y simulación mediante el analisis de sistemas  para definir con precisión los elementos  que conforman un sistema discreto. ")</f>
        <v>comprende  los conceptos fundamentales de modelación y simulación mediante el analisis de sistemas  para definir con precisión los elementos  que conforman un sistema discreto. </v>
      </c>
      <c r="C11" s="71">
        <f>IFERROR(__xludf.DUMMYFUNCTION("""COMPUTED_VALUE"""),1.0)</f>
        <v>1</v>
      </c>
      <c r="D11" s="71" t="str">
        <f>IFERROR(__xludf.DUMMYFUNCTION("""COMPUTED_VALUE"""),"Introducción - Conceptos Básicos de Modelos y Simulación")</f>
        <v>Introducción - Conceptos Básicos de Modelos y Simulación</v>
      </c>
      <c r="E11" s="71" t="str">
        <f>IFERROR(__xludf.DUMMYFUNCTION("""COMPUTED_VALUE"""),"Distribuciones estadísticas.")</f>
        <v>Distribuciones estadísticas.</v>
      </c>
      <c r="F11" s="71" t="str">
        <f>IFERROR(__xludf.DUMMYFUNCTION("""COMPUTED_VALUE"""),"Julio")</f>
        <v>Julio</v>
      </c>
      <c r="G11" s="71">
        <f>IFERROR(__xludf.DUMMYFUNCTION("""COMPUTED_VALUE"""),1.0)</f>
        <v>1</v>
      </c>
    </row>
    <row r="12">
      <c r="A12" s="71">
        <f>IFERROR(__xludf.DUMMYFUNCTION("""COMPUTED_VALUE"""),7.0)</f>
        <v>7</v>
      </c>
      <c r="B12" s="61" t="str">
        <f>IFERROR(__xludf.DUMMYFUNCTION("""COMPUTED_VALUE"""),"comprende  los conceptos fundamentales de modelación y simulación mediante el analisis de sistemas  para definir con precisión los elementos  que conforman un sistema discreto. ")</f>
        <v>comprende  los conceptos fundamentales de modelación y simulación mediante el analisis de sistemas  para definir con precisión los elementos  que conforman un sistema discreto. </v>
      </c>
      <c r="C12" s="71">
        <f>IFERROR(__xludf.DUMMYFUNCTION("""COMPUTED_VALUE"""),1.0)</f>
        <v>1</v>
      </c>
      <c r="D12" s="71" t="str">
        <f>IFERROR(__xludf.DUMMYFUNCTION("""COMPUTED_VALUE"""),"Introducción - Conceptos Básicos de Modelos y Simulación")</f>
        <v>Introducción - Conceptos Básicos de Modelos y Simulación</v>
      </c>
      <c r="E12" s="71" t="str">
        <f>IFERROR(__xludf.DUMMYFUNCTION("""COMPUTED_VALUE"""),"Ajuste de distribuciones a datos reales.")</f>
        <v>Ajuste de distribuciones a datos reales.</v>
      </c>
      <c r="F12" s="71" t="str">
        <f>IFERROR(__xludf.DUMMYFUNCTION("""COMPUTED_VALUE"""),"Julio")</f>
        <v>Julio</v>
      </c>
      <c r="G12" s="71">
        <f>IFERROR(__xludf.DUMMYFUNCTION("""COMPUTED_VALUE"""),1.0)</f>
        <v>1</v>
      </c>
    </row>
    <row r="13">
      <c r="A13" s="71">
        <f>IFERROR(__xludf.DUMMYFUNCTION("""COMPUTED_VALUE"""),8.0)</f>
        <v>8</v>
      </c>
      <c r="B13" s="61" t="str">
        <f>IFERROR(__xludf.DUMMYFUNCTION("""COMPUTED_VALUE"""),"Aplica herramientas de simulación, utilizando la plataforma Simio para modelar componentes , procesos, eventos y flujos de sistemas. ")</f>
        <v>Aplica herramientas de simulación, utilizando la plataforma Simio para modelar componentes , procesos, eventos y flujos de sistemas. </v>
      </c>
      <c r="C13" s="71">
        <f>IFERROR(__xludf.DUMMYFUNCTION("""COMPUTED_VALUE"""),1.0)</f>
        <v>1</v>
      </c>
      <c r="D13" s="71" t="str">
        <f>IFERROR(__xludf.DUMMYFUNCTION("""COMPUTED_VALUE"""),"Componentes Esenciales de SIMIO")</f>
        <v>Componentes Esenciales de SIMIO</v>
      </c>
      <c r="E13" s="71" t="str">
        <f>IFERROR(__xludf.DUMMYFUNCTION("""COMPUTED_VALUE"""),"Model Entity.")</f>
        <v>Model Entity.</v>
      </c>
      <c r="F13" s="71" t="str">
        <f>IFERROR(__xludf.DUMMYFUNCTION("""COMPUTED_VALUE"""),"Julio")</f>
        <v>Julio</v>
      </c>
      <c r="G13" s="71">
        <f>IFERROR(__xludf.DUMMYFUNCTION("""COMPUTED_VALUE"""),2.0)</f>
        <v>2</v>
      </c>
    </row>
    <row r="14">
      <c r="A14" s="71">
        <f>IFERROR(__xludf.DUMMYFUNCTION("""COMPUTED_VALUE"""),9.0)</f>
        <v>9</v>
      </c>
      <c r="B14" s="61" t="str">
        <f>IFERROR(__xludf.DUMMYFUNCTION("""COMPUTED_VALUE"""),"Aplica herramientas de simulación, utilizando la plataforma Simio para modelar componentes , procesos, eventos y flujos de sistemas. ")</f>
        <v>Aplica herramientas de simulación, utilizando la plataforma Simio para modelar componentes , procesos, eventos y flujos de sistemas. </v>
      </c>
      <c r="C14" s="71">
        <f>IFERROR(__xludf.DUMMYFUNCTION("""COMPUTED_VALUE"""),1.0)</f>
        <v>1</v>
      </c>
      <c r="D14" s="71" t="str">
        <f>IFERROR(__xludf.DUMMYFUNCTION("""COMPUTED_VALUE"""),"Componentes Esenciales de SIMIO")</f>
        <v>Componentes Esenciales de SIMIO</v>
      </c>
      <c r="E14" s="71" t="str">
        <f>IFERROR(__xludf.DUMMYFUNCTION("""COMPUTED_VALUE"""),"Source y Sink.")</f>
        <v>Source y Sink.</v>
      </c>
      <c r="F14" s="71" t="str">
        <f>IFERROR(__xludf.DUMMYFUNCTION("""COMPUTED_VALUE"""),"Julio")</f>
        <v>Julio</v>
      </c>
      <c r="G14" s="71">
        <f>IFERROR(__xludf.DUMMYFUNCTION("""COMPUTED_VALUE"""),2.0)</f>
        <v>2</v>
      </c>
    </row>
    <row r="15">
      <c r="A15" s="71">
        <f>IFERROR(__xludf.DUMMYFUNCTION("""COMPUTED_VALUE"""),10.0)</f>
        <v>10</v>
      </c>
      <c r="B15" s="61" t="str">
        <f>IFERROR(__xludf.DUMMYFUNCTION("""COMPUTED_VALUE"""),"Aplica herramientas de simulación, utilizando la plataforma Simio para modelar componentes , procesos, eventos y flujos de sistemas. ")</f>
        <v>Aplica herramientas de simulación, utilizando la plataforma Simio para modelar componentes , procesos, eventos y flujos de sistemas. </v>
      </c>
      <c r="C15" s="71">
        <f>IFERROR(__xludf.DUMMYFUNCTION("""COMPUTED_VALUE"""),1.0)</f>
        <v>1</v>
      </c>
      <c r="D15" s="71" t="str">
        <f>IFERROR(__xludf.DUMMYFUNCTION("""COMPUTED_VALUE"""),"Componentes Esenciales de SIMIO")</f>
        <v>Componentes Esenciales de SIMIO</v>
      </c>
      <c r="E15" s="71" t="str">
        <f>IFERROR(__xludf.DUMMYFUNCTION("""COMPUTED_VALUE"""),"Server y Path.")</f>
        <v>Server y Path.</v>
      </c>
      <c r="F15" s="71" t="str">
        <f>IFERROR(__xludf.DUMMYFUNCTION("""COMPUTED_VALUE"""),"Julio")</f>
        <v>Julio</v>
      </c>
      <c r="G15" s="71">
        <f>IFERROR(__xludf.DUMMYFUNCTION("""COMPUTED_VALUE"""),2.0)</f>
        <v>2</v>
      </c>
    </row>
    <row r="16">
      <c r="A16" s="71">
        <f>IFERROR(__xludf.DUMMYFUNCTION("""COMPUTED_VALUE"""),11.0)</f>
        <v>11</v>
      </c>
      <c r="B16" s="61" t="str">
        <f>IFERROR(__xludf.DUMMYFUNCTION("""COMPUTED_VALUE"""),"Aplica herramientas de simulación, utilizando la plataforma Simio para modelar componentes , procesos, eventos y flujos de sistemas. ")</f>
        <v>Aplica herramientas de simulación, utilizando la plataforma Simio para modelar componentes , procesos, eventos y flujos de sistemas. </v>
      </c>
      <c r="C16" s="71">
        <f>IFERROR(__xludf.DUMMYFUNCTION("""COMPUTED_VALUE"""),2.0)</f>
        <v>2</v>
      </c>
      <c r="D16" s="71" t="str">
        <f>IFERROR(__xludf.DUMMYFUNCTION("""COMPUTED_VALUE"""),"Continuación Componentes Esenciales de SIMIO")</f>
        <v>Continuación Componentes Esenciales de SIMIO</v>
      </c>
      <c r="E16" s="71" t="str">
        <f>IFERROR(__xludf.DUMMYFUNCTION("""COMPUTED_VALUE"""),"Definicion de estados (States)")</f>
        <v>Definicion de estados (States)</v>
      </c>
      <c r="F16" s="71" t="str">
        <f>IFERROR(__xludf.DUMMYFUNCTION("""COMPUTED_VALUE"""),"Julio")</f>
        <v>Julio</v>
      </c>
      <c r="G16" s="71">
        <f>IFERROR(__xludf.DUMMYFUNCTION("""COMPUTED_VALUE"""),2.0)</f>
        <v>2</v>
      </c>
    </row>
    <row r="17">
      <c r="A17" s="71">
        <f>IFERROR(__xludf.DUMMYFUNCTION("""COMPUTED_VALUE"""),12.0)</f>
        <v>12</v>
      </c>
      <c r="B17" s="61" t="str">
        <f>IFERROR(__xludf.DUMMYFUNCTION("""COMPUTED_VALUE"""),"Aplica herramientas de simulación, utilizando la plataforma Simio para modelar componentes , procesos, eventos y flujos de sistemas. ")</f>
        <v>Aplica herramientas de simulación, utilizando la plataforma Simio para modelar componentes , procesos, eventos y flujos de sistemas. </v>
      </c>
      <c r="C17" s="71">
        <f>IFERROR(__xludf.DUMMYFUNCTION("""COMPUTED_VALUE"""),2.0)</f>
        <v>2</v>
      </c>
      <c r="D17" s="71" t="str">
        <f>IFERROR(__xludf.DUMMYFUNCTION("""COMPUTED_VALUE"""),"Continuación Componentes Esenciales de SIMIO")</f>
        <v>Continuación Componentes Esenciales de SIMIO</v>
      </c>
      <c r="E17" s="71" t="str">
        <f>IFERROR(__xludf.DUMMYFUNCTION("""COMPUTED_VALUE"""),"Expresiones")</f>
        <v>Expresiones</v>
      </c>
      <c r="F17" s="71" t="str">
        <f>IFERROR(__xludf.DUMMYFUNCTION("""COMPUTED_VALUE"""),"Julio")</f>
        <v>Julio</v>
      </c>
      <c r="G17" s="71">
        <f>IFERROR(__xludf.DUMMYFUNCTION("""COMPUTED_VALUE"""),2.0)</f>
        <v>2</v>
      </c>
    </row>
    <row r="18">
      <c r="A18" s="71">
        <f>IFERROR(__xludf.DUMMYFUNCTION("""COMPUTED_VALUE"""),13.0)</f>
        <v>13</v>
      </c>
      <c r="B18" s="61" t="str">
        <f>IFERROR(__xludf.DUMMYFUNCTION("""COMPUTED_VALUE"""),"Aplica herramientas de simulación, utilizando la plataforma Simio para modelar componentes , procesos, eventos y flujos de sistemas. ")</f>
        <v>Aplica herramientas de simulación, utilizando la plataforma Simio para modelar componentes , procesos, eventos y flujos de sistemas. </v>
      </c>
      <c r="C18" s="71">
        <f>IFERROR(__xludf.DUMMYFUNCTION("""COMPUTED_VALUE"""),2.0)</f>
        <v>2</v>
      </c>
      <c r="D18" s="71" t="str">
        <f>IFERROR(__xludf.DUMMYFUNCTION("""COMPUTED_VALUE"""),"Continuación Componentes Esenciales de SIMIO")</f>
        <v>Continuación Componentes Esenciales de SIMIO</v>
      </c>
      <c r="E18" s="71" t="str">
        <f>IFERROR(__xludf.DUMMYFUNCTION("""COMPUTED_VALUE"""),"Funciones")</f>
        <v>Funciones</v>
      </c>
      <c r="F18" s="71" t="str">
        <f>IFERROR(__xludf.DUMMYFUNCTION("""COMPUTED_VALUE"""),"Julio")</f>
        <v>Julio</v>
      </c>
      <c r="G18" s="71">
        <f>IFERROR(__xludf.DUMMYFUNCTION("""COMPUTED_VALUE"""),3.0)</f>
        <v>3</v>
      </c>
    </row>
    <row r="19">
      <c r="A19" s="71">
        <f>IFERROR(__xludf.DUMMYFUNCTION("""COMPUTED_VALUE"""),14.0)</f>
        <v>14</v>
      </c>
      <c r="B19" s="61" t="str">
        <f>IFERROR(__xludf.DUMMYFUNCTION("""COMPUTED_VALUE"""),"Aplica herramientas de simulación, utilizando la plataforma Simio para modelar componentes , procesos, eventos y flujos de sistemas. ")</f>
        <v>Aplica herramientas de simulación, utilizando la plataforma Simio para modelar componentes , procesos, eventos y flujos de sistemas. </v>
      </c>
      <c r="C19" s="71">
        <f>IFERROR(__xludf.DUMMYFUNCTION("""COMPUTED_VALUE"""),2.0)</f>
        <v>2</v>
      </c>
      <c r="D19" s="71" t="str">
        <f>IFERROR(__xludf.DUMMYFUNCTION("""COMPUTED_VALUE"""),"Continuación Componentes Esenciales de SIMIO")</f>
        <v>Continuación Componentes Esenciales de SIMIO</v>
      </c>
      <c r="E19" s="71" t="str">
        <f>IFERROR(__xludf.DUMMYFUNCTION("""COMPUTED_VALUE"""),"Distribuciones probabilísticas principales.")</f>
        <v>Distribuciones probabilísticas principales.</v>
      </c>
      <c r="F19" s="71" t="str">
        <f>IFERROR(__xludf.DUMMYFUNCTION("""COMPUTED_VALUE"""),"Julio")</f>
        <v>Julio</v>
      </c>
      <c r="G19" s="71">
        <f>IFERROR(__xludf.DUMMYFUNCTION("""COMPUTED_VALUE"""),3.0)</f>
        <v>3</v>
      </c>
    </row>
    <row r="20">
      <c r="A20" s="71">
        <f>IFERROR(__xludf.DUMMYFUNCTION("""COMPUTED_VALUE"""),15.0)</f>
        <v>15</v>
      </c>
      <c r="B20" s="61" t="str">
        <f>IFERROR(__xludf.DUMMYFUNCTION("""COMPUTED_VALUE"""),"Analiza datos, procesos y resultados en sistemas simulados para detectar oportunidades de mejora, inconsistencias o errores ")</f>
        <v>Analiza datos, procesos y resultados en sistemas simulados para detectar oportunidades de mejora, inconsistencias o errores </v>
      </c>
      <c r="C20" s="71">
        <f>IFERROR(__xludf.DUMMYFUNCTION("""COMPUTED_VALUE"""),3.0)</f>
        <v>3</v>
      </c>
      <c r="D20" s="71" t="str">
        <f>IFERROR(__xludf.DUMMYFUNCTION("""COMPUTED_VALUE"""),"Gráficas y colas")</f>
        <v>Gráficas y colas</v>
      </c>
      <c r="E20" s="71" t="str">
        <f>IFERROR(__xludf.DUMMYFUNCTION("""COMPUTED_VALUE"""),"Status Label y Status Plot.")</f>
        <v>Status Label y Status Plot.</v>
      </c>
      <c r="F20" s="71" t="str">
        <f>IFERROR(__xludf.DUMMYFUNCTION("""COMPUTED_VALUE"""),"Agosto")</f>
        <v>Agosto</v>
      </c>
      <c r="G20" s="71">
        <f>IFERROR(__xludf.DUMMYFUNCTION("""COMPUTED_VALUE"""),3.0)</f>
        <v>3</v>
      </c>
    </row>
    <row r="21">
      <c r="A21" s="71">
        <f>IFERROR(__xludf.DUMMYFUNCTION("""COMPUTED_VALUE"""),16.0)</f>
        <v>16</v>
      </c>
      <c r="B21" s="61" t="str">
        <f>IFERROR(__xludf.DUMMYFUNCTION("""COMPUTED_VALUE"""),"Analiza datos, procesos y resultados en sistemas simulados para detectar oportunidades de mejora, inconsistencias o errores ")</f>
        <v>Analiza datos, procesos y resultados en sistemas simulados para detectar oportunidades de mejora, inconsistencias o errores </v>
      </c>
      <c r="C21" s="71">
        <f>IFERROR(__xludf.DUMMYFUNCTION("""COMPUTED_VALUE"""),3.0)</f>
        <v>3</v>
      </c>
      <c r="D21" s="71" t="str">
        <f>IFERROR(__xludf.DUMMYFUNCTION("""COMPUTED_VALUE"""),"Gráficas y colas")</f>
        <v>Gráficas y colas</v>
      </c>
      <c r="E21" s="71" t="str">
        <f>IFERROR(__xludf.DUMMYFUNCTION("""COMPUTED_VALUE"""),"Status Pie.")</f>
        <v>Status Pie.</v>
      </c>
      <c r="F21" s="71" t="str">
        <f>IFERROR(__xludf.DUMMYFUNCTION("""COMPUTED_VALUE"""),"Agosto")</f>
        <v>Agosto</v>
      </c>
      <c r="G21" s="71">
        <f>IFERROR(__xludf.DUMMYFUNCTION("""COMPUTED_VALUE"""),3.0)</f>
        <v>3</v>
      </c>
    </row>
    <row r="22">
      <c r="A22" s="71">
        <f>IFERROR(__xludf.DUMMYFUNCTION("""COMPUTED_VALUE"""),17.0)</f>
        <v>17</v>
      </c>
      <c r="B22" s="61" t="str">
        <f>IFERROR(__xludf.DUMMYFUNCTION("""COMPUTED_VALUE"""),"Analiza datos, procesos y resultados en sistemas simulados para detectar oportunidades de mejora, inconsistencias o errores ")</f>
        <v>Analiza datos, procesos y resultados en sistemas simulados para detectar oportunidades de mejora, inconsistencias o errores </v>
      </c>
      <c r="C22" s="71">
        <f>IFERROR(__xludf.DUMMYFUNCTION("""COMPUTED_VALUE"""),3.0)</f>
        <v>3</v>
      </c>
      <c r="D22" s="71" t="str">
        <f>IFERROR(__xludf.DUMMYFUNCTION("""COMPUTED_VALUE"""),"Gráficas y colas")</f>
        <v>Gráficas y colas</v>
      </c>
      <c r="E22" s="71" t="str">
        <f>IFERROR(__xludf.DUMMYFUNCTION("""COMPUTED_VALUE"""),"Circular y Linear Gauge.")</f>
        <v>Circular y Linear Gauge.</v>
      </c>
      <c r="F22" s="71" t="str">
        <f>IFERROR(__xludf.DUMMYFUNCTION("""COMPUTED_VALUE"""),"Agosto")</f>
        <v>Agosto</v>
      </c>
      <c r="G22" s="71">
        <f>IFERROR(__xludf.DUMMYFUNCTION("""COMPUTED_VALUE"""),4.0)</f>
        <v>4</v>
      </c>
    </row>
    <row r="23">
      <c r="A23" s="71">
        <f>IFERROR(__xludf.DUMMYFUNCTION("""COMPUTED_VALUE"""),18.0)</f>
        <v>18</v>
      </c>
      <c r="B23" s="61" t="str">
        <f>IFERROR(__xludf.DUMMYFUNCTION("""COMPUTED_VALUE"""),"Analiza datos, procesos y resultados en sistemas simulados para detectar oportunidades de mejora, inconsistencias o errores ")</f>
        <v>Analiza datos, procesos y resultados en sistemas simulados para detectar oportunidades de mejora, inconsistencias o errores </v>
      </c>
      <c r="C23" s="71">
        <f>IFERROR(__xludf.DUMMYFUNCTION("""COMPUTED_VALUE"""),3.0)</f>
        <v>3</v>
      </c>
      <c r="D23" s="71" t="str">
        <f>IFERROR(__xludf.DUMMYFUNCTION("""COMPUTED_VALUE"""),"Gráficas y colas")</f>
        <v>Gráficas y colas</v>
      </c>
      <c r="E23" s="71" t="str">
        <f>IFERROR(__xludf.DUMMYFUNCTION("""COMPUTED_VALUE"""),"Colas Unicas")</f>
        <v>Colas Unicas</v>
      </c>
      <c r="F23" s="71" t="str">
        <f>IFERROR(__xludf.DUMMYFUNCTION("""COMPUTED_VALUE"""),"Agosto")</f>
        <v>Agosto</v>
      </c>
      <c r="G23" s="71">
        <f>IFERROR(__xludf.DUMMYFUNCTION("""COMPUTED_VALUE"""),4.0)</f>
        <v>4</v>
      </c>
    </row>
    <row r="24">
      <c r="A24" s="71">
        <f>IFERROR(__xludf.DUMMYFUNCTION("""COMPUTED_VALUE"""),19.0)</f>
        <v>19</v>
      </c>
      <c r="B24" s="61" t="str">
        <f>IFERROR(__xludf.DUMMYFUNCTION("""COMPUTED_VALUE"""),"Analiza datos, procesos y resultados en sistemas simulados para detectar oportunidades de mejora, inconsistencias o errores ")</f>
        <v>Analiza datos, procesos y resultados en sistemas simulados para detectar oportunidades de mejora, inconsistencias o errores </v>
      </c>
      <c r="C24" s="71">
        <f>IFERROR(__xludf.DUMMYFUNCTION("""COMPUTED_VALUE"""),3.0)</f>
        <v>3</v>
      </c>
      <c r="D24" s="71" t="str">
        <f>IFERROR(__xludf.DUMMYFUNCTION("""COMPUTED_VALUE"""),"Introducción a procesos y tablas")</f>
        <v>Introducción a procesos y tablas</v>
      </c>
      <c r="E24" s="71" t="str">
        <f>IFERROR(__xludf.DUMMYFUNCTION("""COMPUTED_VALUE"""),"Definicion de proceso.")</f>
        <v>Definicion de proceso.</v>
      </c>
      <c r="F24" s="71" t="str">
        <f>IFERROR(__xludf.DUMMYFUNCTION("""COMPUTED_VALUE"""),"Agosto")</f>
        <v>Agosto</v>
      </c>
      <c r="G24" s="71">
        <f>IFERROR(__xludf.DUMMYFUNCTION("""COMPUTED_VALUE"""),4.0)</f>
        <v>4</v>
      </c>
    </row>
    <row r="25">
      <c r="A25" s="71">
        <f>IFERROR(__xludf.DUMMYFUNCTION("""COMPUTED_VALUE"""),20.0)</f>
        <v>20</v>
      </c>
      <c r="B25" s="61" t="str">
        <f>IFERROR(__xludf.DUMMYFUNCTION("""COMPUTED_VALUE"""),"Analiza datos, procesos y resultados en sistemas simulados para detectar oportunidades de mejora, inconsistencias o errores ")</f>
        <v>Analiza datos, procesos y resultados en sistemas simulados para detectar oportunidades de mejora, inconsistencias o errores </v>
      </c>
      <c r="C25" s="71">
        <f>IFERROR(__xludf.DUMMYFUNCTION("""COMPUTED_VALUE"""),3.0)</f>
        <v>3</v>
      </c>
      <c r="D25" s="71" t="str">
        <f>IFERROR(__xludf.DUMMYFUNCTION("""COMPUTED_VALUE"""),"Introducción a procesos y tablas")</f>
        <v>Introducción a procesos y tablas</v>
      </c>
      <c r="E25" s="71" t="str">
        <f>IFERROR(__xludf.DUMMYFUNCTION("""COMPUTED_VALUE"""),"Steps en SIMIO.")</f>
        <v>Steps en SIMIO.</v>
      </c>
      <c r="F25" s="71" t="str">
        <f>IFERROR(__xludf.DUMMYFUNCTION("""COMPUTED_VALUE"""),"Agosto")</f>
        <v>Agosto</v>
      </c>
      <c r="G25" s="71">
        <f>IFERROR(__xludf.DUMMYFUNCTION("""COMPUTED_VALUE"""),4.0)</f>
        <v>4</v>
      </c>
    </row>
    <row r="26">
      <c r="A26" s="71">
        <f>IFERROR(__xludf.DUMMYFUNCTION("""COMPUTED_VALUE"""),21.0)</f>
        <v>21</v>
      </c>
      <c r="B26" s="61" t="str">
        <f>IFERROR(__xludf.DUMMYFUNCTION("""COMPUTED_VALUE"""),"Analiza datos, procesos y resultados en sistemas simulados para detectar oportunidades de mejora, inconsistencias o errores ")</f>
        <v>Analiza datos, procesos y resultados en sistemas simulados para detectar oportunidades de mejora, inconsistencias o errores </v>
      </c>
      <c r="C26" s="71">
        <f>IFERROR(__xludf.DUMMYFUNCTION("""COMPUTED_VALUE"""),3.0)</f>
        <v>3</v>
      </c>
      <c r="D26" s="71" t="str">
        <f>IFERROR(__xludf.DUMMYFUNCTION("""COMPUTED_VALUE"""),"Introducción a procesos y tablas")</f>
        <v>Introducción a procesos y tablas</v>
      </c>
      <c r="E26" s="71" t="str">
        <f>IFERROR(__xludf.DUMMYFUNCTION("""COMPUTED_VALUE"""),"Creación de tablas")</f>
        <v>Creación de tablas</v>
      </c>
      <c r="F26" s="71" t="str">
        <f>IFERROR(__xludf.DUMMYFUNCTION("""COMPUTED_VALUE"""),"Agosto")</f>
        <v>Agosto</v>
      </c>
      <c r="G26" s="71">
        <f>IFERROR(__xludf.DUMMYFUNCTION("""COMPUTED_VALUE"""),4.0)</f>
        <v>4</v>
      </c>
    </row>
    <row r="27">
      <c r="A27" s="71">
        <f>IFERROR(__xludf.DUMMYFUNCTION("""COMPUTED_VALUE"""),22.0)</f>
        <v>22</v>
      </c>
      <c r="B27" s="61" t="str">
        <f>IFERROR(__xludf.DUMMYFUNCTION("""COMPUTED_VALUE"""),"Analiza datos, procesos y resultados en sistemas simulados para detectar oportunidades de mejora, inconsistencias o errores ")</f>
        <v>Analiza datos, procesos y resultados en sistemas simulados para detectar oportunidades de mejora, inconsistencias o errores </v>
      </c>
      <c r="C27" s="71">
        <f>IFERROR(__xludf.DUMMYFUNCTION("""COMPUTED_VALUE"""),3.0)</f>
        <v>3</v>
      </c>
      <c r="D27" s="71" t="str">
        <f>IFERROR(__xludf.DUMMYFUNCTION("""COMPUTED_VALUE"""),"Introducción a procesos y tablas")</f>
        <v>Introducción a procesos y tablas</v>
      </c>
      <c r="E27" s="71" t="str">
        <f>IFERROR(__xludf.DUMMYFUNCTION("""COMPUTED_VALUE"""),"Uso de tablas numericas")</f>
        <v>Uso de tablas numericas</v>
      </c>
      <c r="F27" s="71" t="str">
        <f>IFERROR(__xludf.DUMMYFUNCTION("""COMPUTED_VALUE"""),"Agosto")</f>
        <v>Agosto</v>
      </c>
      <c r="G27" s="71">
        <f>IFERROR(__xludf.DUMMYFUNCTION("""COMPUTED_VALUE"""),5.0)</f>
        <v>5</v>
      </c>
    </row>
    <row r="28">
      <c r="A28" s="71">
        <f>IFERROR(__xludf.DUMMYFUNCTION("""COMPUTED_VALUE"""),23.0)</f>
        <v>23</v>
      </c>
      <c r="B28" s="61" t="str">
        <f>IFERROR(__xludf.DUMMYFUNCTION("""COMPUTED_VALUE"""),"Crea modelos de simulación de sistemas complejos integrando procesos, recursos, tablas, listas, calendarios de trabajo y flujos materiales para representar el comportamiento dinámico de una operación real bajo diferentes escenarios ")</f>
        <v>Crea modelos de simulación de sistemas complejos integrando procesos, recursos, tablas, listas, calendarios de trabajo y flujos materiales para representar el comportamiento dinámico de una operación real bajo diferentes escenarios </v>
      </c>
      <c r="C28" s="71">
        <f>IFERROR(__xludf.DUMMYFUNCTION("""COMPUTED_VALUE"""),3.0)</f>
        <v>3</v>
      </c>
      <c r="D28" s="71" t="str">
        <f>IFERROR(__xludf.DUMMYFUNCTION("""COMPUTED_VALUE"""),"Creación y gestión de procesos, tablas y componentes asociados")</f>
        <v>Creación y gestión de procesos, tablas y componentes asociados</v>
      </c>
      <c r="E28" s="71" t="str">
        <f>IFERROR(__xludf.DUMMYFUNCTION("""COMPUTED_VALUE"""),"Procesos, flujo de procesos y steps básicos.")</f>
        <v>Procesos, flujo de procesos y steps básicos.</v>
      </c>
      <c r="F28" s="71" t="str">
        <f>IFERROR(__xludf.DUMMYFUNCTION("""COMPUTED_VALUE"""),"Agosto")</f>
        <v>Agosto</v>
      </c>
      <c r="G28" s="71">
        <f>IFERROR(__xludf.DUMMYFUNCTION("""COMPUTED_VALUE"""),5.0)</f>
        <v>5</v>
      </c>
    </row>
    <row r="29">
      <c r="A29" s="71">
        <f>IFERROR(__xludf.DUMMYFUNCTION("""COMPUTED_VALUE"""),24.0)</f>
        <v>24</v>
      </c>
      <c r="B29" s="61" t="str">
        <f>IFERROR(__xludf.DUMMYFUNCTION("""COMPUTED_VALUE"""),"Crea modelos de simulación de sistemas complejos integrando procesos, recursos, tablas, listas, calendarios de trabajo y flujos materiales para representar el comportamiento dinámico de una operación real bajo diferentes escenarios ")</f>
        <v>Crea modelos de simulación de sistemas complejos integrando procesos, recursos, tablas, listas, calendarios de trabajo y flujos materiales para representar el comportamiento dinámico de una operación real bajo diferentes escenarios </v>
      </c>
      <c r="C29" s="71">
        <f>IFERROR(__xludf.DUMMYFUNCTION("""COMPUTED_VALUE"""),3.0)</f>
        <v>3</v>
      </c>
      <c r="D29" s="71" t="str">
        <f>IFERROR(__xludf.DUMMYFUNCTION("""COMPUTED_VALUE"""),"Creación y gestión de procesos, tablas y componentes asociados")</f>
        <v>Creación y gestión de procesos, tablas y componentes asociados</v>
      </c>
      <c r="E29" s="71" t="str">
        <f>IFERROR(__xludf.DUMMYFUNCTION("""COMPUTED_VALUE"""),"Assign y Decide.")</f>
        <v>Assign y Decide.</v>
      </c>
      <c r="F29" s="71" t="str">
        <f>IFERROR(__xludf.DUMMYFUNCTION("""COMPUTED_VALUE"""),"Agosto")</f>
        <v>Agosto</v>
      </c>
      <c r="G29" s="71">
        <f>IFERROR(__xludf.DUMMYFUNCTION("""COMPUTED_VALUE"""),5.0)</f>
        <v>5</v>
      </c>
    </row>
    <row r="30">
      <c r="A30" s="71">
        <f>IFERROR(__xludf.DUMMYFUNCTION("""COMPUTED_VALUE"""),25.0)</f>
        <v>25</v>
      </c>
      <c r="B30" s="61" t="str">
        <f>IFERROR(__xludf.DUMMYFUNCTION("""COMPUTED_VALUE"""),"Crea modelos de simulación de sistemas complejos integrando procesos, recursos, tablas, listas, calendarios de trabajo y flujos materiales para representar el comportamiento dinámico de una operación real bajo diferentes escenarios ")</f>
        <v>Crea modelos de simulación de sistemas complejos integrando procesos, recursos, tablas, listas, calendarios de trabajo y flujos materiales para representar el comportamiento dinámico de una operación real bajo diferentes escenarios </v>
      </c>
      <c r="C30" s="71">
        <f>IFERROR(__xludf.DUMMYFUNCTION("""COMPUTED_VALUE"""),3.0)</f>
        <v>3</v>
      </c>
      <c r="D30" s="71" t="str">
        <f>IFERROR(__xludf.DUMMYFUNCTION("""COMPUTED_VALUE"""),"Creación y gestión de procesos, tablas y componentes asociados")</f>
        <v>Creación y gestión de procesos, tablas y componentes asociados</v>
      </c>
      <c r="E30" s="71" t="str">
        <f>IFERROR(__xludf.DUMMYFUNCTION("""COMPUTED_VALUE"""),"Delay y Execute.")</f>
        <v>Delay y Execute.</v>
      </c>
      <c r="F30" s="71" t="str">
        <f>IFERROR(__xludf.DUMMYFUNCTION("""COMPUTED_VALUE"""),"Agosto")</f>
        <v>Agosto</v>
      </c>
      <c r="G30" s="71">
        <f>IFERROR(__xludf.DUMMYFUNCTION("""COMPUTED_VALUE"""),5.0)</f>
        <v>5</v>
      </c>
    </row>
    <row r="31">
      <c r="A31" s="71">
        <f>IFERROR(__xludf.DUMMYFUNCTION("""COMPUTED_VALUE"""),26.0)</f>
        <v>26</v>
      </c>
      <c r="B31" s="61" t="str">
        <f>IFERROR(__xludf.DUMMYFUNCTION("""COMPUTED_VALUE"""),"Crea modelos de simulación de sistemas complejos integrando procesos, recursos, tablas, listas, calendarios de trabajo y flujos materiales para representar el comportamiento dinámico de una operación real bajo diferentes escenarios ")</f>
        <v>Crea modelos de simulación de sistemas complejos integrando procesos, recursos, tablas, listas, calendarios de trabajo y flujos materiales para representar el comportamiento dinámico de una operación real bajo diferentes escenarios </v>
      </c>
      <c r="C31" s="71">
        <f>IFERROR(__xludf.DUMMYFUNCTION("""COMPUTED_VALUE"""),3.0)</f>
        <v>3</v>
      </c>
      <c r="D31" s="71" t="str">
        <f>IFERROR(__xludf.DUMMYFUNCTION("""COMPUTED_VALUE"""),"Creación y gestión de procesos, tablas y componentes asociados")</f>
        <v>Creación y gestión de procesos, tablas y componentes asociados</v>
      </c>
      <c r="E31" s="71" t="str">
        <f>IFERROR(__xludf.DUMMYFUNCTION("""COMPUTED_VALUE"""),"Fire.")</f>
        <v>Fire.</v>
      </c>
      <c r="F31" s="71" t="str">
        <f>IFERROR(__xludf.DUMMYFUNCTION("""COMPUTED_VALUE"""),"Agosto")</f>
        <v>Agosto</v>
      </c>
      <c r="G31" s="71">
        <f>IFERROR(__xludf.DUMMYFUNCTION("""COMPUTED_VALUE"""),6.0)</f>
        <v>6</v>
      </c>
    </row>
    <row r="32">
      <c r="A32" s="71">
        <f>IFERROR(__xludf.DUMMYFUNCTION("""COMPUTED_VALUE"""),27.0)</f>
        <v>27</v>
      </c>
      <c r="B32" s="61" t="str">
        <f>IFERROR(__xludf.DUMMYFUNCTION("""COMPUTED_VALUE"""),"Crea modelos de simulación de sistemas complejos integrando procesos, recursos, tablas, listas, calendarios de trabajo y flujos materiales para representar el comportamiento dinámico de una operación real bajo diferentes escenarios ")</f>
        <v>Crea modelos de simulación de sistemas complejos integrando procesos, recursos, tablas, listas, calendarios de trabajo y flujos materiales para representar el comportamiento dinámico de una operación real bajo diferentes escenarios </v>
      </c>
      <c r="C32" s="71">
        <f>IFERROR(__xludf.DUMMYFUNCTION("""COMPUTED_VALUE"""),3.0)</f>
        <v>3</v>
      </c>
      <c r="D32" s="71" t="str">
        <f>IFERROR(__xludf.DUMMYFUNCTION("""COMPUTED_VALUE"""),"Creación y gestión de procesos, tablas y componentes asociados")</f>
        <v>Creación y gestión de procesos, tablas y componentes asociados</v>
      </c>
      <c r="E32" s="71" t="str">
        <f>IFERROR(__xludf.DUMMYFUNCTION("""COMPUTED_VALUE"""),"TransferNode")</f>
        <v>TransferNode</v>
      </c>
      <c r="F32" s="71" t="str">
        <f>IFERROR(__xludf.DUMMYFUNCTION("""COMPUTED_VALUE"""),"Agosto")</f>
        <v>Agosto</v>
      </c>
      <c r="G32" s="71">
        <f>IFERROR(__xludf.DUMMYFUNCTION("""COMPUTED_VALUE"""),6.0)</f>
        <v>6</v>
      </c>
    </row>
    <row r="33">
      <c r="A33" s="71">
        <f>IFERROR(__xludf.DUMMYFUNCTION("""COMPUTED_VALUE"""),28.0)</f>
        <v>28</v>
      </c>
      <c r="B33" s="61" t="str">
        <f>IFERROR(__xludf.DUMMYFUNCTION("""COMPUTED_VALUE"""),"Crea modelos de simulación de sistemas complejos integrando procesos, recursos, tablas, listas, calendarios de trabajo y flujos materiales para representar el comportamiento dinámico de una operación real bajo diferentes escenarios ")</f>
        <v>Crea modelos de simulación de sistemas complejos integrando procesos, recursos, tablas, listas, calendarios de trabajo y flujos materiales para representar el comportamiento dinámico de una operación real bajo diferentes escenarios </v>
      </c>
      <c r="C33" s="71">
        <f>IFERROR(__xludf.DUMMYFUNCTION("""COMPUTED_VALUE"""),3.0)</f>
        <v>3</v>
      </c>
      <c r="D33" s="71" t="str">
        <f>IFERROR(__xludf.DUMMYFUNCTION("""COMPUTED_VALUE"""),"Creación y gestión de procesos, tablas y componentes asociados")</f>
        <v>Creación y gestión de procesos, tablas y componentes asociados</v>
      </c>
      <c r="E33" s="71" t="str">
        <f>IFERROR(__xludf.DUMMYFUNCTION("""COMPUTED_VALUE"""),"Combiner")</f>
        <v>Combiner</v>
      </c>
      <c r="F33" s="71" t="str">
        <f>IFERROR(__xludf.DUMMYFUNCTION("""COMPUTED_VALUE"""),"Agosto")</f>
        <v>Agosto</v>
      </c>
      <c r="G33" s="71">
        <f>IFERROR(__xludf.DUMMYFUNCTION("""COMPUTED_VALUE"""),6.0)</f>
        <v>6</v>
      </c>
    </row>
    <row r="34">
      <c r="A34" s="71">
        <f>IFERROR(__xludf.DUMMYFUNCTION("""COMPUTED_VALUE"""),29.0)</f>
        <v>29</v>
      </c>
      <c r="B34" s="61" t="str">
        <f>IFERROR(__xludf.DUMMYFUNCTION("""COMPUTED_VALUE"""),"Crea modelos de simulación de sistemas complejos integrando procesos, recursos, tablas, listas, calendarios de trabajo y flujos materiales para representar el comportamiento dinámico de una operación real bajo diferentes escenarios ")</f>
        <v>Crea modelos de simulación de sistemas complejos integrando procesos, recursos, tablas, listas, calendarios de trabajo y flujos materiales para representar el comportamiento dinámico de una operación real bajo diferentes escenarios </v>
      </c>
      <c r="C34" s="71">
        <f>IFERROR(__xludf.DUMMYFUNCTION("""COMPUTED_VALUE"""),4.0)</f>
        <v>4</v>
      </c>
      <c r="D34" s="71" t="str">
        <f>IFERROR(__xludf.DUMMYFUNCTION("""COMPUTED_VALUE"""),"Separadores y Unbatch en SIMIO")</f>
        <v>Separadores y Unbatch en SIMIO</v>
      </c>
      <c r="E34" s="71" t="str">
        <f>IFERROR(__xludf.DUMMYFUNCTION("""COMPUTED_VALUE"""),"Definicion de separadores")</f>
        <v>Definicion de separadores</v>
      </c>
      <c r="F34" s="71" t="str">
        <f>IFERROR(__xludf.DUMMYFUNCTION("""COMPUTED_VALUE"""),"Agosto")</f>
        <v>Agosto</v>
      </c>
      <c r="G34" s="71">
        <f>IFERROR(__xludf.DUMMYFUNCTION("""COMPUTED_VALUE"""),6.0)</f>
        <v>6</v>
      </c>
    </row>
    <row r="35">
      <c r="A35" s="71">
        <f>IFERROR(__xludf.DUMMYFUNCTION("""COMPUTED_VALUE"""),30.0)</f>
        <v>30</v>
      </c>
      <c r="B35" s="61" t="str">
        <f>IFERROR(__xludf.DUMMYFUNCTION("""COMPUTED_VALUE"""),"Crea modelos de simulación de sistemas complejos integrando procesos, recursos, tablas, listas, calendarios de trabajo y flujos materiales para representar el comportamiento dinámico de una operación real bajo diferentes escenarios ")</f>
        <v>Crea modelos de simulación de sistemas complejos integrando procesos, recursos, tablas, listas, calendarios de trabajo y flujos materiales para representar el comportamiento dinámico de una operación real bajo diferentes escenarios </v>
      </c>
      <c r="C35" s="71">
        <f>IFERROR(__xludf.DUMMYFUNCTION("""COMPUTED_VALUE"""),4.0)</f>
        <v>4</v>
      </c>
      <c r="D35" s="71" t="str">
        <f>IFERROR(__xludf.DUMMYFUNCTION("""COMPUTED_VALUE"""),"Separadores y Unbatch en SIMIO")</f>
        <v>Separadores y Unbatch en SIMIO</v>
      </c>
      <c r="E35" s="71" t="str">
        <f>IFERROR(__xludf.DUMMYFUNCTION("""COMPUTED_VALUE"""),"Uso de separadores en serie")</f>
        <v>Uso de separadores en serie</v>
      </c>
      <c r="F35" s="71" t="str">
        <f>IFERROR(__xludf.DUMMYFUNCTION("""COMPUTED_VALUE"""),"Agosto")</f>
        <v>Agosto</v>
      </c>
      <c r="G35" s="71">
        <f>IFERROR(__xludf.DUMMYFUNCTION("""COMPUTED_VALUE"""),6.0)</f>
        <v>6</v>
      </c>
    </row>
    <row r="36">
      <c r="A36" s="71">
        <f>IFERROR(__xludf.DUMMYFUNCTION("""COMPUTED_VALUE"""),31.0)</f>
        <v>31</v>
      </c>
      <c r="B36" s="61" t="str">
        <f>IFERROR(__xludf.DUMMYFUNCTION("""COMPUTED_VALUE"""),"Crea modelos de simulación de sistemas complejos integrando procesos, recursos, tablas, listas, calendarios de trabajo y flujos materiales para representar el comportamiento dinámico de una operación real bajo diferentes escenarios ")</f>
        <v>Crea modelos de simulación de sistemas complejos integrando procesos, recursos, tablas, listas, calendarios de trabajo y flujos materiales para representar el comportamiento dinámico de una operación real bajo diferentes escenarios </v>
      </c>
      <c r="C36" s="71">
        <f>IFERROR(__xludf.DUMMYFUNCTION("""COMPUTED_VALUE"""),4.0)</f>
        <v>4</v>
      </c>
      <c r="D36" s="71" t="str">
        <f>IFERROR(__xludf.DUMMYFUNCTION("""COMPUTED_VALUE"""),"Separadores y Unbatch en SIMIO")</f>
        <v>Separadores y Unbatch en SIMIO</v>
      </c>
      <c r="E36" s="71" t="str">
        <f>IFERROR(__xludf.DUMMYFUNCTION("""COMPUTED_VALUE"""),"Proceso de unbatch usando un separador")</f>
        <v>Proceso de unbatch usando un separador</v>
      </c>
      <c r="F36" s="71" t="str">
        <f>IFERROR(__xludf.DUMMYFUNCTION("""COMPUTED_VALUE"""),"Agosto")</f>
        <v>Agosto</v>
      </c>
      <c r="G36" s="71">
        <f>IFERROR(__xludf.DUMMYFUNCTION("""COMPUTED_VALUE"""),6.0)</f>
        <v>6</v>
      </c>
    </row>
    <row r="37">
      <c r="A37" s="71">
        <f>IFERROR(__xludf.DUMMYFUNCTION("""COMPUTED_VALUE"""),32.0)</f>
        <v>32</v>
      </c>
      <c r="B37" s="61" t="str">
        <f>IFERROR(__xludf.DUMMYFUNCTION("""COMPUTED_VALUE"""),"Crea modelos de simulación de sistemas complejos integrando procesos, recursos, tablas, listas, calendarios de trabajo y flujos materiales para representar el comportamiento dinámico de una operación real bajo diferentes escenarios ")</f>
        <v>Crea modelos de simulación de sistemas complejos integrando procesos, recursos, tablas, listas, calendarios de trabajo y flujos materiales para representar el comportamiento dinámico de una operación real bajo diferentes escenarios </v>
      </c>
      <c r="C37" s="71">
        <f>IFERROR(__xludf.DUMMYFUNCTION("""COMPUTED_VALUE"""),4.0)</f>
        <v>4</v>
      </c>
      <c r="D37" s="71" t="str">
        <f>IFERROR(__xludf.DUMMYFUNCTION("""COMPUTED_VALUE"""),"Separadores y Unbatch en SIMIO")</f>
        <v>Separadores y Unbatch en SIMIO</v>
      </c>
      <c r="E37" s="71" t="str">
        <f>IFERROR(__xludf.DUMMYFUNCTION("""COMPUTED_VALUE"""),"Creacion, copias y unbatch de un separador.")</f>
        <v>Creacion, copias y unbatch de un separador.</v>
      </c>
      <c r="F37" s="71" t="str">
        <f>IFERROR(__xludf.DUMMYFUNCTION("""COMPUTED_VALUE"""),"Agosto")</f>
        <v>Agosto</v>
      </c>
      <c r="G37" s="71">
        <f>IFERROR(__xludf.DUMMYFUNCTION("""COMPUTED_VALUE"""),6.0)</f>
        <v>6</v>
      </c>
    </row>
    <row r="38">
      <c r="A38" s="71">
        <f>IFERROR(__xludf.DUMMYFUNCTION("""COMPUTED_VALUE"""),33.0)</f>
        <v>33</v>
      </c>
      <c r="B38" s="61" t="str">
        <f>IFERROR(__xludf.DUMMYFUNCTION("""COMPUTED_VALUE"""),"Aplica herramientas de simulación, utilizando la plataforma Simio para modelar componentes , procesos, eventos y flujos de sistemas. ")</f>
        <v>Aplica herramientas de simulación, utilizando la plataforma Simio para modelar componentes , procesos, eventos y flujos de sistemas. </v>
      </c>
      <c r="C38" s="71">
        <f>IFERROR(__xludf.DUMMYFUNCTION("""COMPUTED_VALUE"""),4.0)</f>
        <v>4</v>
      </c>
      <c r="D38" s="71" t="str">
        <f>IFERROR(__xludf.DUMMYFUNCTION("""COMPUTED_VALUE"""),"Uso de listas y tablas de llegas variables")</f>
        <v>Uso de listas y tablas de llegas variables</v>
      </c>
      <c r="E38" s="71" t="str">
        <f>IFERROR(__xludf.DUMMYFUNCTION("""COMPUTED_VALUE"""),"Defijnicion de listas.")</f>
        <v>Defijnicion de listas.</v>
      </c>
      <c r="F38" s="71" t="str">
        <f>IFERROR(__xludf.DUMMYFUNCTION("""COMPUTED_VALUE"""),"Agosto")</f>
        <v>Agosto</v>
      </c>
      <c r="G38" s="71">
        <f>IFERROR(__xludf.DUMMYFUNCTION("""COMPUTED_VALUE"""),7.0)</f>
        <v>7</v>
      </c>
    </row>
    <row r="39">
      <c r="A39" s="71">
        <f>IFERROR(__xludf.DUMMYFUNCTION("""COMPUTED_VALUE"""),34.0)</f>
        <v>34</v>
      </c>
      <c r="B39" s="61" t="str">
        <f>IFERROR(__xludf.DUMMYFUNCTION("""COMPUTED_VALUE"""),"Aplica herramientas de simulación, utilizando la plataforma Simio para modelar componentes , procesos, eventos y flujos de sistemas. ")</f>
        <v>Aplica herramientas de simulación, utilizando la plataforma Simio para modelar componentes , procesos, eventos y flujos de sistemas. </v>
      </c>
      <c r="C39" s="71">
        <f>IFERROR(__xludf.DUMMYFUNCTION("""COMPUTED_VALUE"""),4.0)</f>
        <v>4</v>
      </c>
      <c r="D39" s="71" t="str">
        <f>IFERROR(__xludf.DUMMYFUNCTION("""COMPUTED_VALUE"""),"Uso de listas y tablas de llegas variables")</f>
        <v>Uso de listas y tablas de llegas variables</v>
      </c>
      <c r="E39" s="71" t="str">
        <f>IFERROR(__xludf.DUMMYFUNCTION("""COMPUTED_VALUE"""),"Listas de nodos")</f>
        <v>Listas de nodos</v>
      </c>
      <c r="F39" s="71" t="str">
        <f>IFERROR(__xludf.DUMMYFUNCTION("""COMPUTED_VALUE"""),"Agosto")</f>
        <v>Agosto</v>
      </c>
      <c r="G39" s="71">
        <f>IFERROR(__xludf.DUMMYFUNCTION("""COMPUTED_VALUE"""),7.0)</f>
        <v>7</v>
      </c>
    </row>
    <row r="40">
      <c r="A40" s="71">
        <f>IFERROR(__xludf.DUMMYFUNCTION("""COMPUTED_VALUE"""),35.0)</f>
        <v>35</v>
      </c>
      <c r="B40" s="61" t="str">
        <f>IFERROR(__xludf.DUMMYFUNCTION("""COMPUTED_VALUE"""),"Aplica herramientas de simulación, utilizando la plataforma Simio para modelar componentes , procesos, eventos y flujos de sistemas. ")</f>
        <v>Aplica herramientas de simulación, utilizando la plataforma Simio para modelar componentes , procesos, eventos y flujos de sistemas. </v>
      </c>
      <c r="C40" s="71">
        <f>IFERROR(__xludf.DUMMYFUNCTION("""COMPUTED_VALUE"""),4.0)</f>
        <v>4</v>
      </c>
      <c r="D40" s="71" t="str">
        <f>IFERROR(__xludf.DUMMYFUNCTION("""COMPUTED_VALUE"""),"Uso de listas y tablas de llegas variables")</f>
        <v>Uso de listas y tablas de llegas variables</v>
      </c>
      <c r="E40" s="71" t="str">
        <f>IFERROR(__xludf.DUMMYFUNCTION("""COMPUTED_VALUE"""),"Rate tables")</f>
        <v>Rate tables</v>
      </c>
      <c r="F40" s="71" t="str">
        <f>IFERROR(__xludf.DUMMYFUNCTION("""COMPUTED_VALUE"""),"Agosto")</f>
        <v>Agosto</v>
      </c>
      <c r="G40" s="71">
        <f>IFERROR(__xludf.DUMMYFUNCTION("""COMPUTED_VALUE"""),7.0)</f>
        <v>7</v>
      </c>
    </row>
    <row r="41">
      <c r="A41" s="71">
        <f>IFERROR(__xludf.DUMMYFUNCTION("""COMPUTED_VALUE"""),36.0)</f>
        <v>36</v>
      </c>
      <c r="B41" s="61" t="str">
        <f>IFERROR(__xludf.DUMMYFUNCTION("""COMPUTED_VALUE"""),"Aplica herramientas de simulación, utilizando la plataforma Simio para modelar componentes , procesos, eventos y flujos de sistemas. ")</f>
        <v>Aplica herramientas de simulación, utilizando la plataforma Simio para modelar componentes , procesos, eventos y flujos de sistemas. </v>
      </c>
      <c r="C41" s="71">
        <f>IFERROR(__xludf.DUMMYFUNCTION("""COMPUTED_VALUE"""),4.0)</f>
        <v>4</v>
      </c>
      <c r="D41" s="71" t="str">
        <f>IFERROR(__xludf.DUMMYFUNCTION("""COMPUTED_VALUE"""),"Eventos y WorkSchedules")</f>
        <v>Eventos y WorkSchedules</v>
      </c>
      <c r="E41" s="71" t="str">
        <f>IFERROR(__xludf.DUMMYFUNCTION("""COMPUTED_VALUE"""),"Definicion de eventos en SIMIO.")</f>
        <v>Definicion de eventos en SIMIO.</v>
      </c>
      <c r="F41" s="71" t="str">
        <f>IFERROR(__xludf.DUMMYFUNCTION("""COMPUTED_VALUE"""),"Septiembre")</f>
        <v>Septiembre</v>
      </c>
      <c r="G41" s="71">
        <f>IFERROR(__xludf.DUMMYFUNCTION("""COMPUTED_VALUE"""),7.0)</f>
        <v>7</v>
      </c>
    </row>
    <row r="42">
      <c r="A42" s="71">
        <f>IFERROR(__xludf.DUMMYFUNCTION("""COMPUTED_VALUE"""),37.0)</f>
        <v>37</v>
      </c>
      <c r="B42" s="61" t="str">
        <f>IFERROR(__xludf.DUMMYFUNCTION("""COMPUTED_VALUE"""),"Aplica herramientas de simulación, utilizando la plataforma Simio para modelar componentes , procesos, eventos y flujos de sistemas. ")</f>
        <v>Aplica herramientas de simulación, utilizando la plataforma Simio para modelar componentes , procesos, eventos y flujos de sistemas. </v>
      </c>
      <c r="C42" s="71">
        <f>IFERROR(__xludf.DUMMYFUNCTION("""COMPUTED_VALUE"""),4.0)</f>
        <v>4</v>
      </c>
      <c r="D42" s="71" t="str">
        <f>IFERROR(__xludf.DUMMYFUNCTION("""COMPUTED_VALUE"""),"Eventos y WorkSchedules")</f>
        <v>Eventos y WorkSchedules</v>
      </c>
      <c r="E42" s="71" t="str">
        <f>IFERROR(__xludf.DUMMYFUNCTION("""COMPUTED_VALUE"""),"Eventos por defecto en SIMIO.")</f>
        <v>Eventos por defecto en SIMIO.</v>
      </c>
      <c r="F42" s="71" t="str">
        <f>IFERROR(__xludf.DUMMYFUNCTION("""COMPUTED_VALUE"""),"Septiembre")</f>
        <v>Septiembre</v>
      </c>
      <c r="G42" s="71">
        <f>IFERROR(__xludf.DUMMYFUNCTION("""COMPUTED_VALUE"""),7.0)</f>
        <v>7</v>
      </c>
    </row>
    <row r="43">
      <c r="A43" s="71">
        <f>IFERROR(__xludf.DUMMYFUNCTION("""COMPUTED_VALUE"""),38.0)</f>
        <v>38</v>
      </c>
      <c r="B43" s="61" t="str">
        <f>IFERROR(__xludf.DUMMYFUNCTION("""COMPUTED_VALUE"""),"Aplica herramientas de simulación, utilizando la plataforma Simio para modelar componentes , procesos, eventos y flujos de sistemas. ")</f>
        <v>Aplica herramientas de simulación, utilizando la plataforma Simio para modelar componentes , procesos, eventos y flujos de sistemas. </v>
      </c>
      <c r="C43" s="71">
        <f>IFERROR(__xludf.DUMMYFUNCTION("""COMPUTED_VALUE"""),4.0)</f>
        <v>4</v>
      </c>
      <c r="D43" s="71" t="str">
        <f>IFERROR(__xludf.DUMMYFUNCTION("""COMPUTED_VALUE"""),"Eventos y WorkSchedules")</f>
        <v>Eventos y WorkSchedules</v>
      </c>
      <c r="E43" s="71" t="str">
        <f>IFERROR(__xludf.DUMMYFUNCTION("""COMPUTED_VALUE"""),"Asignacion de eventos")</f>
        <v>Asignacion de eventos</v>
      </c>
      <c r="F43" s="71" t="str">
        <f>IFERROR(__xludf.DUMMYFUNCTION("""COMPUTED_VALUE"""),"Septiembre")</f>
        <v>Septiembre</v>
      </c>
      <c r="G43" s="71">
        <f>IFERROR(__xludf.DUMMYFUNCTION("""COMPUTED_VALUE"""),7.0)</f>
        <v>7</v>
      </c>
    </row>
    <row r="44">
      <c r="A44" s="71">
        <f>IFERROR(__xludf.DUMMYFUNCTION("""COMPUTED_VALUE"""),39.0)</f>
        <v>39</v>
      </c>
      <c r="B44" s="61" t="str">
        <f>IFERROR(__xludf.DUMMYFUNCTION("""COMPUTED_VALUE"""),"Aplica herramientas de simulación, utilizando la plataforma Simio para modelar componentes , procesos, eventos y flujos de sistemas. ")</f>
        <v>Aplica herramientas de simulación, utilizando la plataforma Simio para modelar componentes , procesos, eventos y flujos de sistemas. </v>
      </c>
      <c r="C44" s="71">
        <f>IFERROR(__xludf.DUMMYFUNCTION("""COMPUTED_VALUE"""),4.0)</f>
        <v>4</v>
      </c>
      <c r="D44" s="71" t="str">
        <f>IFERROR(__xludf.DUMMYFUNCTION("""COMPUTED_VALUE"""),"Eventos y WorkSchedules")</f>
        <v>Eventos y WorkSchedules</v>
      </c>
      <c r="E44" s="71" t="str">
        <f>IFERROR(__xludf.DUMMYFUNCTION("""COMPUTED_VALUE"""),"Definición de WorkSchedules")</f>
        <v>Definición de WorkSchedules</v>
      </c>
      <c r="F44" s="71" t="str">
        <f>IFERROR(__xludf.DUMMYFUNCTION("""COMPUTED_VALUE"""),"Septiembre")</f>
        <v>Septiembre</v>
      </c>
      <c r="G44" s="71">
        <f>IFERROR(__xludf.DUMMYFUNCTION("""COMPUTED_VALUE"""),8.0)</f>
        <v>8</v>
      </c>
    </row>
    <row r="45">
      <c r="A45" s="71">
        <f>IFERROR(__xludf.DUMMYFUNCTION("""COMPUTED_VALUE"""),40.0)</f>
        <v>40</v>
      </c>
      <c r="B45" s="61" t="str">
        <f>IFERROR(__xludf.DUMMYFUNCTION("""COMPUTED_VALUE"""),"Aplica herramientas de simulación, utilizando la plataforma Simio para modelar componentes , procesos, eventos y flujos de sistemas. ")</f>
        <v>Aplica herramientas de simulación, utilizando la plataforma Simio para modelar componentes , procesos, eventos y flujos de sistemas. </v>
      </c>
      <c r="C45" s="71">
        <f>IFERROR(__xludf.DUMMYFUNCTION("""COMPUTED_VALUE"""),5.0)</f>
        <v>5</v>
      </c>
      <c r="D45" s="71" t="str">
        <f>IFERROR(__xludf.DUMMYFUNCTION("""COMPUTED_VALUE"""),"Eventos y WorkSchedules")</f>
        <v>Eventos y WorkSchedules</v>
      </c>
      <c r="E45" s="71" t="str">
        <f>IFERROR(__xludf.DUMMYFUNCTION("""COMPUTED_VALUE"""),"Configuracion de un WorkSchedule")</f>
        <v>Configuracion de un WorkSchedule</v>
      </c>
      <c r="F45" s="71" t="str">
        <f>IFERROR(__xludf.DUMMYFUNCTION("""COMPUTED_VALUE"""),"Septiembre")</f>
        <v>Septiembre</v>
      </c>
      <c r="G45" s="71">
        <f>IFERROR(__xludf.DUMMYFUNCTION("""COMPUTED_VALUE"""),8.0)</f>
        <v>8</v>
      </c>
    </row>
    <row r="46">
      <c r="A46" s="71">
        <f>IFERROR(__xludf.DUMMYFUNCTION("""COMPUTED_VALUE"""),41.0)</f>
        <v>41</v>
      </c>
      <c r="B46" s="61" t="str">
        <f>IFERROR(__xludf.DUMMYFUNCTION("""COMPUTED_VALUE"""),"Aplica herramientas de simulación, utilizando la plataforma Simio para modelar componentes , procesos, eventos y flujos de sistemas. ")</f>
        <v>Aplica herramientas de simulación, utilizando la plataforma Simio para modelar componentes , procesos, eventos y flujos de sistemas. </v>
      </c>
      <c r="C46" s="71">
        <f>IFERROR(__xludf.DUMMYFUNCTION("""COMPUTED_VALUE"""),5.0)</f>
        <v>5</v>
      </c>
      <c r="D46" s="71" t="str">
        <f>IFERROR(__xludf.DUMMYFUNCTION("""COMPUTED_VALUE"""),"Conveyors")</f>
        <v>Conveyors</v>
      </c>
      <c r="E46" s="71" t="str">
        <f>IFERROR(__xludf.DUMMYFUNCTION("""COMPUTED_VALUE"""),"Definicion de conveyor")</f>
        <v>Definicion de conveyor</v>
      </c>
      <c r="F46" s="71" t="str">
        <f>IFERROR(__xludf.DUMMYFUNCTION("""COMPUTED_VALUE"""),"Septiembre")</f>
        <v>Septiembre</v>
      </c>
      <c r="G46" s="71">
        <f>IFERROR(__xludf.DUMMYFUNCTION("""COMPUTED_VALUE"""),8.0)</f>
        <v>8</v>
      </c>
    </row>
    <row r="47">
      <c r="A47" s="71">
        <f>IFERROR(__xludf.DUMMYFUNCTION("""COMPUTED_VALUE"""),42.0)</f>
        <v>42</v>
      </c>
      <c r="B47" s="61" t="str">
        <f>IFERROR(__xludf.DUMMYFUNCTION("""COMPUTED_VALUE"""),"Aplica herramientas de simulación, utilizando la plataforma Simio para modelar componentes , procesos, eventos y flujos de sistemas. ")</f>
        <v>Aplica herramientas de simulación, utilizando la plataforma Simio para modelar componentes , procesos, eventos y flujos de sistemas. </v>
      </c>
      <c r="C47" s="71">
        <f>IFERROR(__xludf.DUMMYFUNCTION("""COMPUTED_VALUE"""),5.0)</f>
        <v>5</v>
      </c>
      <c r="D47" s="71" t="str">
        <f>IFERROR(__xludf.DUMMYFUNCTION("""COMPUTED_VALUE"""),"Conveyors")</f>
        <v>Conveyors</v>
      </c>
      <c r="E47" s="71" t="str">
        <f>IFERROR(__xludf.DUMMYFUNCTION("""COMPUTED_VALUE"""),"Propiedades del conveyor")</f>
        <v>Propiedades del conveyor</v>
      </c>
      <c r="F47" s="71" t="str">
        <f>IFERROR(__xludf.DUMMYFUNCTION("""COMPUTED_VALUE"""),"Septiembre")</f>
        <v>Septiembre</v>
      </c>
      <c r="G47" s="71">
        <f>IFERROR(__xludf.DUMMYFUNCTION("""COMPUTED_VALUE"""),8.0)</f>
        <v>8</v>
      </c>
    </row>
    <row r="48">
      <c r="A48" s="71">
        <f>IFERROR(__xludf.DUMMYFUNCTION("""COMPUTED_VALUE"""),43.0)</f>
        <v>43</v>
      </c>
      <c r="B48" s="61" t="str">
        <f>IFERROR(__xludf.DUMMYFUNCTION("""COMPUTED_VALUE"""),"Aplica herramientas de simulación, utilizando la plataforma Simio para modelar componentes , procesos, eventos y flujos de sistemas. ")</f>
        <v>Aplica herramientas de simulación, utilizando la plataforma Simio para modelar componentes , procesos, eventos y flujos de sistemas. </v>
      </c>
      <c r="C48" s="71">
        <f>IFERROR(__xludf.DUMMYFUNCTION("""COMPUTED_VALUE"""),5.0)</f>
        <v>5</v>
      </c>
      <c r="D48" s="71" t="str">
        <f>IFERROR(__xludf.DUMMYFUNCTION("""COMPUTED_VALUE"""),"Conveyors")</f>
        <v>Conveyors</v>
      </c>
      <c r="E48" s="71" t="str">
        <f>IFERROR(__xludf.DUMMYFUNCTION("""COMPUTED_VALUE"""),"Representacion grafica de conveyor")</f>
        <v>Representacion grafica de conveyor</v>
      </c>
      <c r="F48" s="71" t="str">
        <f>IFERROR(__xludf.DUMMYFUNCTION("""COMPUTED_VALUE"""),"Septiembre")</f>
        <v>Septiembre</v>
      </c>
      <c r="G48" s="71">
        <f>IFERROR(__xludf.DUMMYFUNCTION("""COMPUTED_VALUE"""),8.0)</f>
        <v>8</v>
      </c>
    </row>
    <row r="49">
      <c r="A49" s="71">
        <f>IFERROR(__xludf.DUMMYFUNCTION("""COMPUTED_VALUE"""),44.0)</f>
        <v>44</v>
      </c>
      <c r="B49" s="61" t="str">
        <f>IFERROR(__xludf.DUMMYFUNCTION("""COMPUTED_VALUE"""),"Evalúa escenarios alternativos de modelación mediante el uso de funciones estadísticas, gráficas de desempeño y análisis de resultados financieros en Simio para sustentar deciciones de optimiazacion ")</f>
        <v>Evalúa escenarios alternativos de modelación mediante el uso de funciones estadísticas, gráficas de desempeño y análisis de resultados financieros en Simio para sustentar deciciones de optimiazacion </v>
      </c>
      <c r="C49" s="71">
        <f>IFERROR(__xludf.DUMMYFUNCTION("""COMPUTED_VALUE"""),5.0)</f>
        <v>5</v>
      </c>
      <c r="D49" s="71" t="str">
        <f>IFERROR(__xludf.DUMMYFUNCTION("""COMPUTED_VALUE"""),"Finanzas")</f>
        <v>Finanzas</v>
      </c>
      <c r="E49" s="71" t="str">
        <f>IFERROR(__xludf.DUMMYFUNCTION("""COMPUTED_VALUE"""),"Propiedades de finanzas en componentes esenciales, Idle Cost, Usage Cost y Capital Cost")</f>
        <v>Propiedades de finanzas en componentes esenciales, Idle Cost, Usage Cost y Capital Cost</v>
      </c>
      <c r="F49" s="71" t="str">
        <f>IFERROR(__xludf.DUMMYFUNCTION("""COMPUTED_VALUE"""),"Septiembre")</f>
        <v>Septiembre</v>
      </c>
      <c r="G49" s="71">
        <f>IFERROR(__xludf.DUMMYFUNCTION("""COMPUTED_VALUE"""),8.0)</f>
        <v>8</v>
      </c>
    </row>
    <row r="50">
      <c r="A50" s="71">
        <f>IFERROR(__xludf.DUMMYFUNCTION("""COMPUTED_VALUE"""),45.0)</f>
        <v>45</v>
      </c>
      <c r="B50" s="61" t="str">
        <f>IFERROR(__xludf.DUMMYFUNCTION("""COMPUTED_VALUE"""),"Evalúa escenarios alternativos de modelación mediante el uso de funciones estadísticas, gráficas de desempeño y análisis de resultados financieros en Simio para sustentar deciciones de optimiazacion ")</f>
        <v>Evalúa escenarios alternativos de modelación mediante el uso de funciones estadísticas, gráficas de desempeño y análisis de resultados financieros en Simio para sustentar deciciones de optimiazacion </v>
      </c>
      <c r="C50" s="71">
        <f>IFERROR(__xludf.DUMMYFUNCTION("""COMPUTED_VALUE"""),5.0)</f>
        <v>5</v>
      </c>
      <c r="D50" s="71" t="str">
        <f>IFERROR(__xludf.DUMMYFUNCTION("""COMPUTED_VALUE"""),"Finanzas")</f>
        <v>Finanzas</v>
      </c>
      <c r="E50" s="71" t="str">
        <f>IFERROR(__xludf.DUMMYFUNCTION("""COMPUTED_VALUE"""),"Cost Center")</f>
        <v>Cost Center</v>
      </c>
      <c r="F50" s="71" t="str">
        <f>IFERROR(__xludf.DUMMYFUNCTION("""COMPUTED_VALUE"""),"Septiembre")</f>
        <v>Septiembre</v>
      </c>
      <c r="G50" s="71">
        <f>IFERROR(__xludf.DUMMYFUNCTION("""COMPUTED_VALUE"""),8.0)</f>
        <v>8</v>
      </c>
    </row>
    <row r="51">
      <c r="A51" s="71">
        <f>IFERROR(__xludf.DUMMYFUNCTION("""COMPUTED_VALUE"""),46.0)</f>
        <v>46</v>
      </c>
      <c r="B51" s="61" t="str">
        <f>IFERROR(__xludf.DUMMYFUNCTION("""COMPUTED_VALUE"""),"Evalúa escenarios alternativos de modelación mediante el uso de funciones estadísticas, gráficas de desempeño y análisis de resultados financieros en Simio para sustentar deciciones de optimiazacion ")</f>
        <v>Evalúa escenarios alternativos de modelación mediante el uso de funciones estadísticas, gráficas de desempeño y análisis de resultados financieros en Simio para sustentar deciciones de optimiazacion </v>
      </c>
      <c r="C51" s="71">
        <f>IFERROR(__xludf.DUMMYFUNCTION("""COMPUTED_VALUE"""),5.0)</f>
        <v>5</v>
      </c>
      <c r="D51" s="71" t="str">
        <f>IFERROR(__xludf.DUMMYFUNCTION("""COMPUTED_VALUE"""),"Finanzas")</f>
        <v>Finanzas</v>
      </c>
      <c r="E51" s="71" t="str">
        <f>IFERROR(__xludf.DUMMYFUNCTION("""COMPUTED_VALUE"""),"Uso de variables para manejo de costos")</f>
        <v>Uso de variables para manejo de costos</v>
      </c>
      <c r="F51" s="71" t="str">
        <f>IFERROR(__xludf.DUMMYFUNCTION("""COMPUTED_VALUE"""),"Septiembre")</f>
        <v>Septiembre</v>
      </c>
      <c r="G51" s="71">
        <f>IFERROR(__xludf.DUMMYFUNCTION("""COMPUTED_VALUE"""),9.0)</f>
        <v>9</v>
      </c>
    </row>
    <row r="52">
      <c r="A52" s="71">
        <f>IFERROR(__xludf.DUMMYFUNCTION("""COMPUTED_VALUE"""),47.0)</f>
        <v>47</v>
      </c>
      <c r="B52" s="61" t="str">
        <f>IFERROR(__xludf.DUMMYFUNCTION("""COMPUTED_VALUE"""),"Evalúa escenarios alternativos de modelación mediante el uso de funciones estadísticas, gráficas de desempeño y análisis de resultados financieros en Simio para sustentar deciciones de optimiazacion ")</f>
        <v>Evalúa escenarios alternativos de modelación mediante el uso de funciones estadísticas, gráficas de desempeño y análisis de resultados financieros en Simio para sustentar deciciones de optimiazacion </v>
      </c>
      <c r="C52" s="71">
        <f>IFERROR(__xludf.DUMMYFUNCTION("""COMPUTED_VALUE"""),5.0)</f>
        <v>5</v>
      </c>
      <c r="D52" s="71" t="str">
        <f>IFERROR(__xludf.DUMMYFUNCTION("""COMPUTED_VALUE"""),"Finanzas")</f>
        <v>Finanzas</v>
      </c>
      <c r="E52" s="71" t="str">
        <f>IFERROR(__xludf.DUMMYFUNCTION("""COMPUTED_VALUE"""),"Modelado de costos.")</f>
        <v>Modelado de costos.</v>
      </c>
      <c r="F52" s="71" t="str">
        <f>IFERROR(__xludf.DUMMYFUNCTION("""COMPUTED_VALUE"""),"Septiembre")</f>
        <v>Septiembre</v>
      </c>
      <c r="G52" s="71">
        <f>IFERROR(__xludf.DUMMYFUNCTION("""COMPUTED_VALUE"""),9.0)</f>
        <v>9</v>
      </c>
    </row>
    <row r="53">
      <c r="A53" s="71">
        <f>IFERROR(__xludf.DUMMYFUNCTION("""COMPUTED_VALUE"""),48.0)</f>
        <v>48</v>
      </c>
      <c r="B53" s="61" t="str">
        <f>IFERROR(__xludf.DUMMYFUNCTION("""COMPUTED_VALUE"""),"Evalúa escenarios alternativos de modelación mediante el uso de funciones estadísticas, gráficas de desempeño y análisis de resultados financieros en Simio para sustentar deciciones de optimiazacion ")</f>
        <v>Evalúa escenarios alternativos de modelación mediante el uso de funciones estadísticas, gráficas de desempeño y análisis de resultados financieros en Simio para sustentar deciciones de optimiazacion </v>
      </c>
      <c r="C53" s="71">
        <f>IFERROR(__xludf.DUMMYFUNCTION("""COMPUTED_VALUE"""),5.0)</f>
        <v>5</v>
      </c>
      <c r="D53" s="71" t="str">
        <f>IFERROR(__xludf.DUMMYFUNCTION("""COMPUTED_VALUE"""),"Finanzas")</f>
        <v>Finanzas</v>
      </c>
      <c r="E53" s="71" t="str">
        <f>IFERROR(__xludf.DUMMYFUNCTION("""COMPUTED_VALUE"""),"Simulación de flujos financieros.")</f>
        <v>Simulación de flujos financieros.</v>
      </c>
      <c r="F53" s="71" t="str">
        <f>IFERROR(__xludf.DUMMYFUNCTION("""COMPUTED_VALUE"""),"Septiembre")</f>
        <v>Septiembre</v>
      </c>
      <c r="G53" s="71">
        <f>IFERROR(__xludf.DUMMYFUNCTION("""COMPUTED_VALUE"""),9.0)</f>
        <v>9</v>
      </c>
    </row>
    <row r="54">
      <c r="A54" s="71">
        <f>IFERROR(__xludf.DUMMYFUNCTION("""COMPUTED_VALUE"""),49.0)</f>
        <v>49</v>
      </c>
      <c r="B54" s="61" t="str">
        <f>IFERROR(__xludf.DUMMYFUNCTION("""COMPUTED_VALUE"""),"Evalúa escenarios alternativos de modelación mediante el uso de funciones estadísticas, gráficas de desempeño y análisis de resultados financieros en Simio para sustentar deciciones de optimiazacion ")</f>
        <v>Evalúa escenarios alternativos de modelación mediante el uso de funciones estadísticas, gráficas de desempeño y análisis de resultados financieros en Simio para sustentar deciciones de optimiazacion </v>
      </c>
      <c r="C54" s="71">
        <f>IFERROR(__xludf.DUMMYFUNCTION("""COMPUTED_VALUE"""),5.0)</f>
        <v>5</v>
      </c>
      <c r="D54" s="71" t="str">
        <f>IFERROR(__xludf.DUMMYFUNCTION("""COMPUTED_VALUE"""),"Finanzas")</f>
        <v>Finanzas</v>
      </c>
      <c r="E54" s="71" t="str">
        <f>IFERROR(__xludf.DUMMYFUNCTION("""COMPUTED_VALUE"""),"Análisis de resultados financieros.")</f>
        <v>Análisis de resultados financieros.</v>
      </c>
      <c r="F54" s="71" t="str">
        <f>IFERROR(__xludf.DUMMYFUNCTION("""COMPUTED_VALUE"""),"Septiembre")</f>
        <v>Septiembre</v>
      </c>
      <c r="G54" s="71">
        <f>IFERROR(__xludf.DUMMYFUNCTION("""COMPUTED_VALUE"""),9.0)</f>
        <v>9</v>
      </c>
    </row>
    <row r="55">
      <c r="A55" s="71">
        <f>IFERROR(__xludf.DUMMYFUNCTION("""COMPUTED_VALUE"""),50.0)</f>
        <v>50</v>
      </c>
      <c r="B55" s="61" t="str">
        <f>IFERROR(__xludf.DUMMYFUNCTION("""COMPUTED_VALUE"""),"Crea modelos de simulación de sistemas complejos integrando procesos, recursos, tablas, listas, calendarios de trabajo y flujos materiales para representar el comportamiento dinámico de una operación real bajo diferentes escenarios ")</f>
        <v>Crea modelos de simulación de sistemas complejos integrando procesos, recursos, tablas, listas, calendarios de trabajo y flujos materiales para representar el comportamiento dinámico de una operación real bajo diferentes escenarios </v>
      </c>
      <c r="C55" s="71">
        <f>IFERROR(__xludf.DUMMYFUNCTION("""COMPUTED_VALUE"""),5.0)</f>
        <v>5</v>
      </c>
      <c r="D55" s="71" t="str">
        <f>IFERROR(__xludf.DUMMYFUNCTION("""COMPUTED_VALUE"""),"Vehiculos")</f>
        <v>Vehiculos</v>
      </c>
      <c r="E55" s="71" t="str">
        <f>IFERROR(__xludf.DUMMYFUNCTION("""COMPUTED_VALUE"""),"Manejo de vehiculos")</f>
        <v>Manejo de vehiculos</v>
      </c>
      <c r="F55" s="71" t="str">
        <f>IFERROR(__xludf.DUMMYFUNCTION("""COMPUTED_VALUE"""),"Septiembre")</f>
        <v>Septiembre</v>
      </c>
      <c r="G55" s="71">
        <f>IFERROR(__xludf.DUMMYFUNCTION("""COMPUTED_VALUE"""),9.0)</f>
        <v>9</v>
      </c>
    </row>
    <row r="56">
      <c r="A56" s="71">
        <f>IFERROR(__xludf.DUMMYFUNCTION("""COMPUTED_VALUE"""),51.0)</f>
        <v>51</v>
      </c>
      <c r="B56" s="61" t="str">
        <f>IFERROR(__xludf.DUMMYFUNCTION("""COMPUTED_VALUE"""),"Crea modelos de simulación de sistemas complejos integrando procesos, recursos, tablas, listas, calendarios de trabajo y flujos materiales para representar el comportamiento dinámico de una operación real bajo diferentes escenarios ")</f>
        <v>Crea modelos de simulación de sistemas complejos integrando procesos, recursos, tablas, listas, calendarios de trabajo y flujos materiales para representar el comportamiento dinámico de una operación real bajo diferentes escenarios </v>
      </c>
      <c r="C56" s="71">
        <f>IFERROR(__xludf.DUMMYFUNCTION("""COMPUTED_VALUE"""),5.0)</f>
        <v>5</v>
      </c>
      <c r="D56" s="71" t="str">
        <f>IFERROR(__xludf.DUMMYFUNCTION("""COMPUTED_VALUE"""),"Vehiculos")</f>
        <v>Vehiculos</v>
      </c>
      <c r="E56" s="71" t="str">
        <f>IFERROR(__xludf.DUMMYFUNCTION("""COMPUTED_VALUE"""),"Tablas de secuencias")</f>
        <v>Tablas de secuencias</v>
      </c>
      <c r="F56" s="71" t="str">
        <f>IFERROR(__xludf.DUMMYFUNCTION("""COMPUTED_VALUE"""),"Septiembre")</f>
        <v>Septiembre</v>
      </c>
      <c r="G56" s="71">
        <f>IFERROR(__xludf.DUMMYFUNCTION("""COMPUTED_VALUE"""),9.0)</f>
        <v>9</v>
      </c>
    </row>
    <row r="57">
      <c r="A57" s="71">
        <f>IFERROR(__xludf.DUMMYFUNCTION("""COMPUTED_VALUE"""),52.0)</f>
        <v>52</v>
      </c>
      <c r="B57" s="61" t="str">
        <f>IFERROR(__xludf.DUMMYFUNCTION("""COMPUTED_VALUE"""),"Crea modelos de simulación de sistemas complejos integrando procesos, recursos, tablas, listas, calendarios de trabajo y flujos materiales para representar el comportamiento dinámico de una operación real bajo diferentes escenarios ")</f>
        <v>Crea modelos de simulación de sistemas complejos integrando procesos, recursos, tablas, listas, calendarios de trabajo y flujos materiales para representar el comportamiento dinámico de una operación real bajo diferentes escenarios </v>
      </c>
      <c r="C57" s="71">
        <f>IFERROR(__xludf.DUMMYFUNCTION("""COMPUTED_VALUE"""),5.0)</f>
        <v>5</v>
      </c>
      <c r="D57" s="71" t="str">
        <f>IFERROR(__xludf.DUMMYFUNCTION("""COMPUTED_VALUE"""),"Modelado 3D")</f>
        <v>Modelado 3D</v>
      </c>
      <c r="E57" s="71" t="str">
        <f>IFERROR(__xludf.DUMMYFUNCTION("""COMPUTED_VALUE"""),"Creación de modelos 3D.")</f>
        <v>Creación de modelos 3D.</v>
      </c>
      <c r="F57" s="71" t="str">
        <f>IFERROR(__xludf.DUMMYFUNCTION("""COMPUTED_VALUE"""),"Septiembre")</f>
        <v>Septiembre</v>
      </c>
      <c r="G57" s="71">
        <f>IFERROR(__xludf.DUMMYFUNCTION("""COMPUTED_VALUE"""),9.0)</f>
        <v>9</v>
      </c>
    </row>
    <row r="58">
      <c r="A58" s="71">
        <f>IFERROR(__xludf.DUMMYFUNCTION("""COMPUTED_VALUE"""),53.0)</f>
        <v>53</v>
      </c>
      <c r="B58" s="61" t="str">
        <f>IFERROR(__xludf.DUMMYFUNCTION("""COMPUTED_VALUE"""),"Crea modelos de simulación de sistemas complejos integrando procesos, recursos, tablas, listas, calendarios de trabajo y flujos materiales para representar el comportamiento dinámico de una operación real bajo diferentes escenarios ")</f>
        <v>Crea modelos de simulación de sistemas complejos integrando procesos, recursos, tablas, listas, calendarios de trabajo y flujos materiales para representar el comportamiento dinámico de una operación real bajo diferentes escenarios </v>
      </c>
      <c r="C58" s="71">
        <f>IFERROR(__xludf.DUMMYFUNCTION("""COMPUTED_VALUE"""),5.0)</f>
        <v>5</v>
      </c>
      <c r="D58" s="71" t="str">
        <f>IFERROR(__xludf.DUMMYFUNCTION("""COMPUTED_VALUE"""),"Modelado 3D")</f>
        <v>Modelado 3D</v>
      </c>
      <c r="E58" s="71" t="str">
        <f>IFERROR(__xludf.DUMMYFUNCTION("""COMPUTED_VALUE"""),"Visualización de sistemas en 3D.")</f>
        <v>Visualización de sistemas en 3D.</v>
      </c>
      <c r="F58" s="71" t="str">
        <f>IFERROR(__xludf.DUMMYFUNCTION("""COMPUTED_VALUE"""),"Septiembre")</f>
        <v>Septiembre</v>
      </c>
      <c r="G58" s="71">
        <f>IFERROR(__xludf.DUMMYFUNCTION("""COMPUTED_VALUE"""),9.0)</f>
        <v>9</v>
      </c>
    </row>
    <row r="59">
      <c r="A59" s="71">
        <f>IFERROR(__xludf.DUMMYFUNCTION("""COMPUTED_VALUE"""),54.0)</f>
        <v>54</v>
      </c>
      <c r="B59" s="61" t="str">
        <f>IFERROR(__xludf.DUMMYFUNCTION("""COMPUTED_VALUE"""),"Crea modelos de simulación de sistemas complejos integrando procesos, recursos, tablas, listas, calendarios de trabajo y flujos materiales para representar el comportamiento dinámico de una operación real bajo diferentes escenarios ")</f>
        <v>Crea modelos de simulación de sistemas complejos integrando procesos, recursos, tablas, listas, calendarios de trabajo y flujos materiales para representar el comportamiento dinámico de una operación real bajo diferentes escenarios </v>
      </c>
      <c r="C59" s="71">
        <f>IFERROR(__xludf.DUMMYFUNCTION("""COMPUTED_VALUE"""),5.0)</f>
        <v>5</v>
      </c>
      <c r="D59" s="71" t="str">
        <f>IFERROR(__xludf.DUMMYFUNCTION("""COMPUTED_VALUE"""),"Modelado 3D")</f>
        <v>Modelado 3D</v>
      </c>
      <c r="E59" s="71" t="str">
        <f>IFERROR(__xludf.DUMMYFUNCTION("""COMPUTED_VALUE"""),"Guardar y gestiojnar vistas del modelo.")</f>
        <v>Guardar y gestiojnar vistas del modelo.</v>
      </c>
      <c r="F59" s="71" t="str">
        <f>IFERROR(__xludf.DUMMYFUNCTION("""COMPUTED_VALUE"""),"Septiembre")</f>
        <v>Septiembre</v>
      </c>
      <c r="G59" s="71">
        <f>IFERROR(__xludf.DUMMYFUNCTION("""COMPUTED_VALUE"""),9.0)</f>
        <v>9</v>
      </c>
    </row>
    <row r="60">
      <c r="A60" s="71">
        <f>IFERROR(__xludf.DUMMYFUNCTION("""COMPUTED_VALUE"""),55.0)</f>
        <v>55</v>
      </c>
      <c r="B60" s="61" t="str">
        <f>IFERROR(__xludf.DUMMYFUNCTION("""COMPUTED_VALUE"""),"Crea modelos de simulación de sistemas complejos integrando procesos, recursos, tablas, listas, calendarios de trabajo y flujos materiales para representar el comportamiento dinámico de una operación real bajo diferentes escenarios ")</f>
        <v>Crea modelos de simulación de sistemas complejos integrando procesos, recursos, tablas, listas, calendarios de trabajo y flujos materiales para representar el comportamiento dinámico de una operación real bajo diferentes escenarios </v>
      </c>
      <c r="C60" s="71">
        <f>IFERROR(__xludf.DUMMYFUNCTION("""COMPUTED_VALUE"""),6.0)</f>
        <v>6</v>
      </c>
      <c r="D60" s="71" t="str">
        <f>IFERROR(__xludf.DUMMYFUNCTION("""COMPUTED_VALUE"""),"Flow Library en Simio")</f>
        <v>Flow Library en Simio</v>
      </c>
      <c r="E60" s="71" t="str">
        <f>IFERROR(__xludf.DUMMYFUNCTION("""COMPUTED_VALUE"""),"Flow Source y FlowSink.")</f>
        <v>Flow Source y FlowSink.</v>
      </c>
      <c r="F60" s="71" t="str">
        <f>IFERROR(__xludf.DUMMYFUNCTION("""COMPUTED_VALUE"""),"Septiembre")</f>
        <v>Septiembre</v>
      </c>
      <c r="G60" s="71">
        <f>IFERROR(__xludf.DUMMYFUNCTION("""COMPUTED_VALUE"""),9.0)</f>
        <v>9</v>
      </c>
    </row>
    <row r="61">
      <c r="A61" s="71">
        <f>IFERROR(__xludf.DUMMYFUNCTION("""COMPUTED_VALUE"""),56.0)</f>
        <v>56</v>
      </c>
      <c r="B61" s="61" t="str">
        <f>IFERROR(__xludf.DUMMYFUNCTION("""COMPUTED_VALUE"""),"Crea modelos de simulación de sistemas complejos integrando procesos, recursos, tablas, listas, calendarios de trabajo y flujos materiales para representar el comportamiento dinámico de una operación real bajo diferentes escenarios ")</f>
        <v>Crea modelos de simulación de sistemas complejos integrando procesos, recursos, tablas, listas, calendarios de trabajo y flujos materiales para representar el comportamiento dinámico de una operación real bajo diferentes escenarios </v>
      </c>
      <c r="C61" s="71">
        <f>IFERROR(__xludf.DUMMYFUNCTION("""COMPUTED_VALUE"""),6.0)</f>
        <v>6</v>
      </c>
      <c r="D61" s="71" t="str">
        <f>IFERROR(__xludf.DUMMYFUNCTION("""COMPUTED_VALUE"""),"Flow Library en Simio")</f>
        <v>Flow Library en Simio</v>
      </c>
      <c r="E61" s="71" t="str">
        <f>IFERROR(__xludf.DUMMYFUNCTION("""COMPUTED_VALUE"""),"FlowConnector.")</f>
        <v>FlowConnector.</v>
      </c>
      <c r="F61" s="71" t="str">
        <f>IFERROR(__xludf.DUMMYFUNCTION("""COMPUTED_VALUE"""),"Septiembre")</f>
        <v>Septiembre</v>
      </c>
      <c r="G61" s="71">
        <f>IFERROR(__xludf.DUMMYFUNCTION("""COMPUTED_VALUE"""),10.0)</f>
        <v>10</v>
      </c>
    </row>
    <row r="62">
      <c r="A62" s="71">
        <f>IFERROR(__xludf.DUMMYFUNCTION("""COMPUTED_VALUE"""),57.0)</f>
        <v>57</v>
      </c>
      <c r="B62" s="61" t="str">
        <f>IFERROR(__xludf.DUMMYFUNCTION("""COMPUTED_VALUE"""),"Crea modelos de simulación de sistemas complejos integrando procesos, recursos, tablas, listas, calendarios de trabajo y flujos materiales para representar el comportamiento dinámico de una operación real bajo diferentes escenarios ")</f>
        <v>Crea modelos de simulación de sistemas complejos integrando procesos, recursos, tablas, listas, calendarios de trabajo y flujos materiales para representar el comportamiento dinámico de una operación real bajo diferentes escenarios </v>
      </c>
      <c r="C62" s="71">
        <f>IFERROR(__xludf.DUMMYFUNCTION("""COMPUTED_VALUE"""),6.0)</f>
        <v>6</v>
      </c>
      <c r="D62" s="71" t="str">
        <f>IFERROR(__xludf.DUMMYFUNCTION("""COMPUTED_VALUE"""),"Flow Library en Simio")</f>
        <v>Flow Library en Simio</v>
      </c>
      <c r="E62" s="71" t="str">
        <f>IFERROR(__xludf.DUMMYFUNCTION("""COMPUTED_VALUE"""),"Pipe y FlowNode.")</f>
        <v>Pipe y FlowNode.</v>
      </c>
      <c r="F62" s="71" t="str">
        <f>IFERROR(__xludf.DUMMYFUNCTION("""COMPUTED_VALUE"""),"Septiembre")</f>
        <v>Septiembre</v>
      </c>
      <c r="G62" s="71">
        <f>IFERROR(__xludf.DUMMYFUNCTION("""COMPUTED_VALUE"""),10.0)</f>
        <v>10</v>
      </c>
    </row>
    <row r="63">
      <c r="A63" s="71">
        <f>IFERROR(__xludf.DUMMYFUNCTION("""COMPUTED_VALUE"""),58.0)</f>
        <v>58</v>
      </c>
      <c r="B63" s="61" t="str">
        <f>IFERROR(__xludf.DUMMYFUNCTION("""COMPUTED_VALUE"""),"Crea modelos de simulación de sistemas complejos integrando procesos, recursos, tablas, listas, calendarios de trabajo y flujos materiales para representar el comportamiento dinámico de una operación real bajo diferentes escenarios ")</f>
        <v>Crea modelos de simulación de sistemas complejos integrando procesos, recursos, tablas, listas, calendarios de trabajo y flujos materiales para representar el comportamiento dinámico de una operación real bajo diferentes escenarios </v>
      </c>
      <c r="C63" s="71">
        <f>IFERROR(__xludf.DUMMYFUNCTION("""COMPUTED_VALUE"""),6.0)</f>
        <v>6</v>
      </c>
      <c r="D63" s="71" t="str">
        <f>IFERROR(__xludf.DUMMYFUNCTION("""COMPUTED_VALUE"""),"Flow Library en Simio")</f>
        <v>Flow Library en Simio</v>
      </c>
      <c r="E63" s="71" t="str">
        <f>IFERROR(__xludf.DUMMYFUNCTION("""COMPUTED_VALUE"""),"Tank y ContainerEntity.")</f>
        <v>Tank y ContainerEntity.</v>
      </c>
      <c r="F63" s="71" t="str">
        <f>IFERROR(__xludf.DUMMYFUNCTION("""COMPUTED_VALUE"""),"Octubre")</f>
        <v>Octubre</v>
      </c>
      <c r="G63" s="71">
        <f>IFERROR(__xludf.DUMMYFUNCTION("""COMPUTED_VALUE"""),10.0)</f>
        <v>10</v>
      </c>
    </row>
    <row r="64">
      <c r="A64" s="71">
        <f>IFERROR(__xludf.DUMMYFUNCTION("""COMPUTED_VALUE"""),59.0)</f>
        <v>59</v>
      </c>
      <c r="B64" s="61" t="str">
        <f>IFERROR(__xludf.DUMMYFUNCTION("""COMPUTED_VALUE"""),"Crea modelos de simulación de sistemas complejos integrando procesos, recursos, tablas, listas, calendarios de trabajo y flujos materiales para representar el comportamiento dinámico de una operación real bajo diferentes escenarios ")</f>
        <v>Crea modelos de simulación de sistemas complejos integrando procesos, recursos, tablas, listas, calendarios de trabajo y flujos materiales para representar el comportamiento dinámico de una operación real bajo diferentes escenarios </v>
      </c>
      <c r="C64" s="71">
        <f>IFERROR(__xludf.DUMMYFUNCTION("""COMPUTED_VALUE"""),6.0)</f>
        <v>6</v>
      </c>
      <c r="D64" s="71" t="str">
        <f>IFERROR(__xludf.DUMMYFUNCTION("""COMPUTED_VALUE"""),"Flow Library en Simio")</f>
        <v>Flow Library en Simio</v>
      </c>
      <c r="E64" s="71" t="str">
        <f>IFERROR(__xludf.DUMMYFUNCTION("""COMPUTED_VALUE"""),"Filler y Empiter.")</f>
        <v>Filler y Empiter.</v>
      </c>
      <c r="F64" s="71" t="str">
        <f>IFERROR(__xludf.DUMMYFUNCTION("""COMPUTED_VALUE"""),"Octubre")</f>
        <v>Octubre</v>
      </c>
      <c r="G64" s="71">
        <f>IFERROR(__xludf.DUMMYFUNCTION("""COMPUTED_VALUE"""),10.0)</f>
        <v>10</v>
      </c>
    </row>
    <row r="65">
      <c r="A65" s="71">
        <f>IFERROR(__xludf.DUMMYFUNCTION("""COMPUTED_VALUE"""),60.0)</f>
        <v>60</v>
      </c>
      <c r="B65" s="61" t="str">
        <f>IFERROR(__xludf.DUMMYFUNCTION("""COMPUTED_VALUE"""),"Crea modelos de simulación de sistemas complejos integrando procesos, recursos, tablas, listas, calendarios de trabajo y flujos materiales para representar el comportamiento dinámico de una operación real bajo diferentes escenarios ")</f>
        <v>Crea modelos de simulación de sistemas complejos integrando procesos, recursos, tablas, listas, calendarios de trabajo y flujos materiales para representar el comportamiento dinámico de una operación real bajo diferentes escenarios </v>
      </c>
      <c r="C65" s="71">
        <f>IFERROR(__xludf.DUMMYFUNCTION("""COMPUTED_VALUE"""),6.0)</f>
        <v>6</v>
      </c>
      <c r="D65" s="71" t="str">
        <f>IFERROR(__xludf.DUMMYFUNCTION("""COMPUTED_VALUE"""),"Flow Library en Simio")</f>
        <v>Flow Library en Simio</v>
      </c>
      <c r="E65" s="71" t="str">
        <f>IFERROR(__xludf.DUMMYFUNCTION("""COMPUTED_VALUE"""),"ItemToFlowConverter y FlowToltemConverter.")</f>
        <v>ItemToFlowConverter y FlowToltemConverter.</v>
      </c>
      <c r="F65" s="71" t="str">
        <f>IFERROR(__xludf.DUMMYFUNCTION("""COMPUTED_VALUE"""),"Octubre")</f>
        <v>Octubre</v>
      </c>
      <c r="G65" s="71">
        <f>IFERROR(__xludf.DUMMYFUNCTION("""COMPUTED_VALUE"""),10.0)</f>
        <v>10</v>
      </c>
    </row>
    <row r="66">
      <c r="A66" s="71">
        <f>IFERROR(__xludf.DUMMYFUNCTION("""COMPUTED_VALUE"""),61.0)</f>
        <v>61</v>
      </c>
      <c r="B66" s="61" t="str">
        <f>IFERROR(__xludf.DUMMYFUNCTION("""COMPUTED_VALUE"""),"Evalúa escenarios alternativos de modelación mediante el uso de funciones estadísticas, gráficas de desempeño y análisis de resultados financieros en Simio para sustentar deciciones de optimiazacion ")</f>
        <v>Evalúa escenarios alternativos de modelación mediante el uso de funciones estadísticas, gráficas de desempeño y análisis de resultados financieros en Simio para sustentar deciciones de optimiazacion </v>
      </c>
      <c r="C66" s="71">
        <f>IFERROR(__xludf.DUMMYFUNCTION("""COMPUTED_VALUE"""),6.0)</f>
        <v>6</v>
      </c>
      <c r="D66" s="71" t="str">
        <f>IFERROR(__xludf.DUMMYFUNCTION("""COMPUTED_VALUE"""),"Flow Library en Simio")</f>
        <v>Flow Library en Simio</v>
      </c>
      <c r="E66" s="71" t="str">
        <f>IFERROR(__xludf.DUMMYFUNCTION("""COMPUTED_VALUE"""),"Revisión de proyectos.")</f>
        <v>Revisión de proyectos.</v>
      </c>
      <c r="F66" s="71" t="str">
        <f>IFERROR(__xludf.DUMMYFUNCTION("""COMPUTED_VALUE"""),"Octubre")</f>
        <v>Octubre</v>
      </c>
      <c r="G66" s="71">
        <f>IFERROR(__xludf.DUMMYFUNCTION("""COMPUTED_VALUE"""),11.0)</f>
        <v>11</v>
      </c>
    </row>
    <row r="67">
      <c r="A67" s="71">
        <f>IFERROR(__xludf.DUMMYFUNCTION("""COMPUTED_VALUE"""),62.0)</f>
        <v>62</v>
      </c>
      <c r="B67" s="61" t="str">
        <f>IFERROR(__xludf.DUMMYFUNCTION("""COMPUTED_VALUE"""),"Integra bases de datos externas, librerías especializadas y modelado tridimensional para mejorar la representación y gestión de modelos en Simio ")</f>
        <v>Integra bases de datos externas, librerías especializadas y modelado tridimensional para mejorar la representación y gestión de modelos en Simio </v>
      </c>
      <c r="C67" s="71">
        <f>IFERROR(__xludf.DUMMYFUNCTION("""COMPUTED_VALUE"""),6.0)</f>
        <v>6</v>
      </c>
      <c r="D67" s="71" t="str">
        <f>IFERROR(__xludf.DUMMYFUNCTION("""COMPUTED_VALUE"""),"DBConnect y Analisis de resultados en SIMIO")</f>
        <v>DBConnect y Analisis de resultados en SIMIO</v>
      </c>
      <c r="E67" s="71" t="str">
        <f>IFERROR(__xludf.DUMMYFUNCTION("""COMPUTED_VALUE"""),"Importar datos de excel con DBConnect")</f>
        <v>Importar datos de excel con DBConnect</v>
      </c>
      <c r="F67" s="71" t="str">
        <f>IFERROR(__xludf.DUMMYFUNCTION("""COMPUTED_VALUE"""),"Octubre")</f>
        <v>Octubre</v>
      </c>
      <c r="G67" s="71">
        <f>IFERROR(__xludf.DUMMYFUNCTION("""COMPUTED_VALUE"""),11.0)</f>
        <v>11</v>
      </c>
    </row>
    <row r="68">
      <c r="A68" s="71">
        <f>IFERROR(__xludf.DUMMYFUNCTION("""COMPUTED_VALUE"""),63.0)</f>
        <v>63</v>
      </c>
      <c r="B68" s="61" t="str">
        <f>IFERROR(__xludf.DUMMYFUNCTION("""COMPUTED_VALUE"""),"Evalúa escenarios alternativos de modelación mediante el uso de funciones estadísticas, gráficas de desempeño y análisis de resultados financieros en Simio para sustentar deciciones de optimiazacion ")</f>
        <v>Evalúa escenarios alternativos de modelación mediante el uso de funciones estadísticas, gráficas de desempeño y análisis de resultados financieros en Simio para sustentar deciciones de optimiazacion </v>
      </c>
      <c r="C68" s="71">
        <f>IFERROR(__xludf.DUMMYFUNCTION("""COMPUTED_VALUE"""),6.0)</f>
        <v>6</v>
      </c>
      <c r="D68" s="71" t="str">
        <f>IFERROR(__xludf.DUMMYFUNCTION("""COMPUTED_VALUE"""),"DBConnect y Analisis de resultados en SIMIO")</f>
        <v>DBConnect y Analisis de resultados en SIMIO</v>
      </c>
      <c r="E68" s="71" t="str">
        <f>IFERROR(__xludf.DUMMYFUNCTION("""COMPUTED_VALUE"""),"Seccion resultados en SIMIO")</f>
        <v>Seccion resultados en SIMIO</v>
      </c>
      <c r="F68" s="71" t="str">
        <f>IFERROR(__xludf.DUMMYFUNCTION("""COMPUTED_VALUE"""),"Octubre")</f>
        <v>Octubre</v>
      </c>
      <c r="G68" s="71">
        <f>IFERROR(__xludf.DUMMYFUNCTION("""COMPUTED_VALUE"""),11.0)</f>
        <v>11</v>
      </c>
    </row>
    <row r="69">
      <c r="A69" s="71">
        <f>IFERROR(__xludf.DUMMYFUNCTION("""COMPUTED_VALUE"""),64.0)</f>
        <v>64</v>
      </c>
      <c r="B69" s="61" t="str">
        <f>IFERROR(__xludf.DUMMYFUNCTION("""COMPUTED_VALUE"""),"Documenta los modelos creados aplicando estrategias de comunicación técnica y gestión de información para facilitar la toma de decisiones por parte de equipos interdisciplinarios en contextos académicos o profesionales ")</f>
        <v>Documenta los modelos creados aplicando estrategias de comunicación técnica y gestión de información para facilitar la toma de decisiones por parte de equipos interdisciplinarios en contextos académicos o profesionales </v>
      </c>
      <c r="C69" s="71">
        <f>IFERROR(__xludf.DUMMYFUNCTION("""COMPUTED_VALUE"""),6.0)</f>
        <v>6</v>
      </c>
      <c r="D69" s="71" t="str">
        <f>IFERROR(__xludf.DUMMYFUNCTION("""COMPUTED_VALUE"""),"DBConnect y Analisis de resultados en SIMIO")</f>
        <v>DBConnect y Analisis de resultados en SIMIO</v>
      </c>
      <c r="E69" s="71" t="str">
        <f>IFERROR(__xludf.DUMMYFUNCTION("""COMPUTED_VALUE"""),"Documentacion de SIMIO")</f>
        <v>Documentacion de SIMIO</v>
      </c>
      <c r="F69" s="71" t="str">
        <f>IFERROR(__xludf.DUMMYFUNCTION("""COMPUTED_VALUE"""),"Noviembre")</f>
        <v>Noviembre</v>
      </c>
      <c r="G69" s="71">
        <f>IFERROR(__xludf.DUMMYFUNCTION("""COMPUTED_VALUE"""),11.0)</f>
        <v>11</v>
      </c>
    </row>
    <row r="70">
      <c r="A70" s="71"/>
      <c r="B70" s="61"/>
      <c r="C70" s="71"/>
      <c r="D70" s="71"/>
      <c r="E70" s="71"/>
      <c r="F70" s="71"/>
      <c r="G70" s="71"/>
    </row>
    <row r="71">
      <c r="A71" s="71"/>
      <c r="B71" s="61"/>
      <c r="C71" s="71"/>
      <c r="D71" s="71"/>
      <c r="E71" s="71"/>
      <c r="F71" s="71"/>
      <c r="G71" s="71"/>
    </row>
    <row r="72">
      <c r="A72" s="71"/>
      <c r="B72" s="61"/>
      <c r="C72" s="71"/>
      <c r="D72" s="71"/>
      <c r="E72" s="71"/>
      <c r="F72" s="71"/>
      <c r="G72" s="71"/>
    </row>
    <row r="73">
      <c r="A73" s="71"/>
      <c r="B73" s="61"/>
      <c r="C73" s="71"/>
      <c r="D73" s="71"/>
      <c r="E73" s="71"/>
      <c r="F73" s="71"/>
      <c r="G73" s="71"/>
    </row>
    <row r="74">
      <c r="A74" s="71"/>
      <c r="B74" s="61"/>
      <c r="C74" s="71"/>
      <c r="D74" s="71"/>
      <c r="E74" s="71"/>
      <c r="F74" s="71"/>
      <c r="G74" s="71"/>
    </row>
    <row r="75">
      <c r="A75" s="71"/>
      <c r="B75" s="61"/>
      <c r="C75" s="71"/>
      <c r="D75" s="71"/>
      <c r="E75" s="71"/>
      <c r="F75" s="71"/>
      <c r="G75" s="71"/>
    </row>
    <row r="76">
      <c r="A76" s="71"/>
      <c r="B76" s="61"/>
      <c r="C76" s="71"/>
      <c r="D76" s="71"/>
      <c r="E76" s="71"/>
      <c r="F76" s="71"/>
      <c r="G76" s="71"/>
    </row>
    <row r="77">
      <c r="A77" s="71"/>
      <c r="B77" s="61"/>
      <c r="C77" s="71"/>
      <c r="D77" s="71"/>
      <c r="E77" s="71"/>
      <c r="F77" s="71"/>
      <c r="G77" s="71"/>
    </row>
    <row r="78">
      <c r="A78" s="71"/>
      <c r="B78" s="61"/>
      <c r="C78" s="71"/>
      <c r="D78" s="71"/>
      <c r="E78" s="71"/>
      <c r="F78" s="71"/>
      <c r="G78" s="71"/>
    </row>
    <row r="79">
      <c r="A79" s="71"/>
      <c r="B79" s="61"/>
      <c r="C79" s="71"/>
      <c r="D79" s="71"/>
      <c r="E79" s="71"/>
      <c r="F79" s="71"/>
      <c r="G79" s="71"/>
    </row>
    <row r="80">
      <c r="A80" s="71"/>
      <c r="B80" s="61"/>
      <c r="C80" s="71"/>
      <c r="D80" s="71"/>
      <c r="E80" s="71"/>
      <c r="F80" s="71"/>
      <c r="G80" s="71"/>
    </row>
    <row r="81">
      <c r="A81" s="71"/>
      <c r="B81" s="61"/>
      <c r="C81" s="71"/>
      <c r="D81" s="71"/>
      <c r="E81" s="71"/>
      <c r="F81" s="71"/>
      <c r="G81" s="71"/>
    </row>
    <row r="82">
      <c r="A82" s="71"/>
      <c r="B82" s="61"/>
      <c r="C82" s="71"/>
      <c r="D82" s="71"/>
      <c r="E82" s="71"/>
      <c r="F82" s="71"/>
      <c r="G82" s="71"/>
    </row>
    <row r="83">
      <c r="A83" s="71"/>
      <c r="B83" s="61"/>
      <c r="C83" s="71"/>
      <c r="D83" s="71"/>
      <c r="E83" s="71"/>
      <c r="F83" s="71"/>
      <c r="G83" s="71"/>
    </row>
    <row r="84">
      <c r="A84" s="71"/>
      <c r="B84" s="61"/>
      <c r="C84" s="71"/>
      <c r="D84" s="71"/>
      <c r="E84" s="71"/>
      <c r="F84" s="71"/>
      <c r="G84" s="71"/>
    </row>
    <row r="85">
      <c r="A85" s="71"/>
      <c r="B85" s="61"/>
      <c r="C85" s="71"/>
      <c r="D85" s="71"/>
      <c r="E85" s="71"/>
      <c r="F85" s="71"/>
      <c r="G85" s="71"/>
    </row>
    <row r="86">
      <c r="A86" s="71"/>
      <c r="B86" s="61"/>
      <c r="C86" s="71"/>
      <c r="D86" s="71"/>
      <c r="E86" s="71"/>
      <c r="F86" s="71"/>
      <c r="G86" s="71"/>
    </row>
    <row r="87">
      <c r="A87" s="71"/>
      <c r="B87" s="61"/>
      <c r="C87" s="71"/>
      <c r="D87" s="71"/>
      <c r="E87" s="71"/>
      <c r="F87" s="71"/>
      <c r="G87" s="71"/>
    </row>
    <row r="88">
      <c r="A88" s="71"/>
      <c r="B88" s="61"/>
      <c r="C88" s="71"/>
      <c r="D88" s="71"/>
      <c r="E88" s="71"/>
      <c r="F88" s="71"/>
      <c r="G88" s="71"/>
    </row>
    <row r="89">
      <c r="A89" s="71"/>
      <c r="B89" s="61"/>
      <c r="C89" s="71"/>
      <c r="D89" s="71"/>
      <c r="E89" s="71"/>
      <c r="F89" s="71"/>
      <c r="G89" s="71"/>
    </row>
    <row r="90">
      <c r="A90" s="71"/>
      <c r="B90" s="61"/>
      <c r="C90" s="71"/>
      <c r="D90" s="71"/>
      <c r="E90" s="71"/>
      <c r="F90" s="71"/>
      <c r="G90" s="71"/>
    </row>
    <row r="91">
      <c r="A91" s="71"/>
      <c r="B91" s="61"/>
      <c r="C91" s="71"/>
      <c r="D91" s="71"/>
      <c r="E91" s="71"/>
      <c r="F91" s="71"/>
      <c r="G91" s="71"/>
    </row>
    <row r="92">
      <c r="A92" s="71"/>
      <c r="B92" s="61"/>
      <c r="C92" s="71"/>
      <c r="D92" s="71"/>
      <c r="E92" s="71"/>
      <c r="F92" s="71"/>
      <c r="G92" s="71"/>
    </row>
    <row r="93">
      <c r="A93" s="71"/>
      <c r="B93" s="61"/>
      <c r="C93" s="71"/>
      <c r="D93" s="71"/>
      <c r="E93" s="71"/>
      <c r="F93" s="71"/>
      <c r="G93" s="71"/>
    </row>
    <row r="94">
      <c r="A94" s="71"/>
      <c r="B94" s="61"/>
      <c r="C94" s="71"/>
      <c r="D94" s="71"/>
      <c r="E94" s="71"/>
      <c r="F94" s="71"/>
      <c r="G94" s="71"/>
    </row>
    <row r="95">
      <c r="A95" s="71"/>
      <c r="B95" s="61"/>
      <c r="C95" s="71"/>
      <c r="D95" s="71"/>
      <c r="E95" s="71"/>
      <c r="F95" s="71"/>
      <c r="G95" s="71"/>
    </row>
    <row r="96">
      <c r="A96" s="71"/>
      <c r="B96" s="61"/>
      <c r="C96" s="71"/>
      <c r="D96" s="71"/>
      <c r="E96" s="71"/>
      <c r="F96" s="71"/>
      <c r="G96" s="71"/>
    </row>
    <row r="97">
      <c r="A97" s="71"/>
      <c r="B97" s="61"/>
      <c r="C97" s="71"/>
      <c r="D97" s="71"/>
      <c r="E97" s="71"/>
      <c r="F97" s="71"/>
      <c r="G97" s="71"/>
    </row>
    <row r="98">
      <c r="A98" s="71"/>
      <c r="B98" s="61"/>
      <c r="C98" s="71"/>
      <c r="D98" s="71"/>
      <c r="E98" s="71"/>
      <c r="F98" s="71"/>
      <c r="G98" s="71"/>
    </row>
    <row r="99">
      <c r="A99" s="71"/>
      <c r="B99" s="61"/>
      <c r="C99" s="71"/>
      <c r="D99" s="71"/>
      <c r="E99" s="71"/>
      <c r="F99" s="71"/>
      <c r="G99" s="71"/>
    </row>
    <row r="100">
      <c r="A100" s="71"/>
      <c r="B100" s="61"/>
      <c r="C100" s="71"/>
      <c r="D100" s="71"/>
      <c r="E100" s="71"/>
      <c r="F100" s="71"/>
      <c r="G100" s="71"/>
    </row>
    <row r="101">
      <c r="A101" s="71"/>
      <c r="B101" s="61"/>
      <c r="C101" s="71"/>
      <c r="D101" s="71"/>
      <c r="E101" s="71"/>
      <c r="F101" s="71"/>
      <c r="G101" s="71"/>
    </row>
    <row r="102">
      <c r="A102" s="71"/>
      <c r="B102" s="61"/>
      <c r="C102" s="71"/>
      <c r="D102" s="71"/>
      <c r="E102" s="71"/>
      <c r="F102" s="71"/>
      <c r="G102" s="71"/>
    </row>
    <row r="103">
      <c r="A103" s="71"/>
      <c r="B103" s="61"/>
      <c r="C103" s="71"/>
      <c r="D103" s="71"/>
      <c r="E103" s="71"/>
      <c r="F103" s="71"/>
      <c r="G103" s="71"/>
    </row>
    <row r="104">
      <c r="A104" s="71"/>
      <c r="B104" s="61"/>
      <c r="C104" s="71"/>
      <c r="D104" s="71"/>
      <c r="E104" s="71"/>
      <c r="F104" s="71"/>
      <c r="G104" s="71"/>
    </row>
    <row r="105">
      <c r="A105" s="71"/>
      <c r="B105" s="61"/>
      <c r="C105" s="71"/>
      <c r="D105" s="71"/>
      <c r="E105" s="71"/>
      <c r="F105" s="71"/>
      <c r="G105" s="71"/>
    </row>
    <row r="106">
      <c r="A106" s="71"/>
      <c r="B106" s="61"/>
      <c r="C106" s="71"/>
      <c r="D106" s="71"/>
      <c r="E106" s="71"/>
      <c r="F106" s="71"/>
      <c r="G106" s="71"/>
    </row>
    <row r="107">
      <c r="A107" s="71"/>
      <c r="B107" s="61"/>
      <c r="C107" s="71"/>
      <c r="D107" s="71"/>
      <c r="E107" s="71"/>
      <c r="F107" s="71"/>
      <c r="G107" s="71"/>
    </row>
    <row r="108">
      <c r="A108" s="71"/>
      <c r="B108" s="61"/>
      <c r="C108" s="71"/>
      <c r="D108" s="71"/>
      <c r="E108" s="71"/>
      <c r="F108" s="71"/>
      <c r="G108" s="71"/>
    </row>
    <row r="109">
      <c r="A109" s="71"/>
      <c r="B109" s="61"/>
      <c r="C109" s="71"/>
      <c r="D109" s="71"/>
      <c r="E109" s="71"/>
      <c r="F109" s="71"/>
      <c r="G109" s="71"/>
    </row>
    <row r="110">
      <c r="A110" s="71"/>
      <c r="B110" s="61"/>
      <c r="C110" s="71"/>
      <c r="D110" s="71"/>
      <c r="E110" s="71"/>
      <c r="F110" s="71"/>
      <c r="G110" s="71"/>
    </row>
    <row r="111">
      <c r="A111" s="71"/>
      <c r="B111" s="61"/>
      <c r="C111" s="71"/>
      <c r="D111" s="71"/>
      <c r="E111" s="71"/>
      <c r="F111" s="71"/>
      <c r="G111" s="71"/>
    </row>
    <row r="112">
      <c r="A112" s="71"/>
      <c r="B112" s="61"/>
      <c r="C112" s="71"/>
      <c r="D112" s="71"/>
      <c r="E112" s="71"/>
      <c r="F112" s="71"/>
      <c r="G112" s="71"/>
    </row>
    <row r="113">
      <c r="A113" s="71"/>
      <c r="B113" s="61"/>
      <c r="C113" s="71"/>
      <c r="D113" s="71"/>
      <c r="E113" s="71"/>
      <c r="F113" s="71"/>
      <c r="G113" s="71"/>
    </row>
    <row r="114">
      <c r="A114" s="71"/>
      <c r="B114" s="61"/>
      <c r="C114" s="71"/>
      <c r="D114" s="71"/>
      <c r="E114" s="71"/>
      <c r="F114" s="71"/>
      <c r="G114" s="71"/>
    </row>
    <row r="115">
      <c r="A115" s="71"/>
      <c r="B115" s="61"/>
      <c r="C115" s="71"/>
      <c r="D115" s="71"/>
      <c r="E115" s="71"/>
      <c r="F115" s="71"/>
      <c r="G115" s="71"/>
    </row>
    <row r="116">
      <c r="A116" s="71"/>
      <c r="B116" s="61"/>
      <c r="C116" s="71"/>
      <c r="D116" s="71"/>
      <c r="E116" s="71"/>
      <c r="F116" s="71"/>
      <c r="G116" s="71"/>
    </row>
    <row r="117">
      <c r="A117" s="71"/>
      <c r="B117" s="61"/>
      <c r="C117" s="71"/>
      <c r="D117" s="71"/>
      <c r="E117" s="71"/>
      <c r="F117" s="71"/>
      <c r="G117" s="71"/>
    </row>
    <row r="118">
      <c r="A118" s="71"/>
      <c r="B118" s="61"/>
      <c r="C118" s="71"/>
      <c r="D118" s="71"/>
      <c r="E118" s="71"/>
      <c r="F118" s="71"/>
      <c r="G118" s="71"/>
    </row>
    <row r="119">
      <c r="A119" s="71"/>
      <c r="B119" s="61"/>
      <c r="C119" s="71"/>
      <c r="D119" s="71"/>
      <c r="E119" s="71"/>
      <c r="F119" s="71"/>
      <c r="G119" s="71"/>
    </row>
    <row r="120">
      <c r="A120" s="71"/>
      <c r="B120" s="61"/>
      <c r="C120" s="71"/>
      <c r="D120" s="71"/>
      <c r="E120" s="71"/>
      <c r="F120" s="71"/>
      <c r="G120" s="71"/>
    </row>
    <row r="121">
      <c r="A121" s="71"/>
      <c r="B121" s="61"/>
      <c r="C121" s="71"/>
      <c r="D121" s="71"/>
      <c r="E121" s="71"/>
      <c r="F121" s="71"/>
      <c r="G121" s="71"/>
    </row>
    <row r="122">
      <c r="A122" s="71"/>
      <c r="B122" s="61"/>
      <c r="C122" s="71"/>
      <c r="D122" s="71"/>
      <c r="E122" s="71"/>
      <c r="F122" s="71"/>
      <c r="G122" s="71"/>
    </row>
    <row r="123">
      <c r="A123" s="71"/>
      <c r="B123" s="61"/>
      <c r="C123" s="71"/>
      <c r="D123" s="71"/>
      <c r="E123" s="71"/>
      <c r="F123" s="71"/>
      <c r="G123" s="71"/>
    </row>
    <row r="124">
      <c r="A124" s="71"/>
      <c r="B124" s="61"/>
      <c r="C124" s="71"/>
      <c r="D124" s="71"/>
      <c r="E124" s="71"/>
      <c r="F124" s="71"/>
      <c r="G124" s="71"/>
    </row>
    <row r="125">
      <c r="A125" s="71"/>
      <c r="B125" s="61"/>
      <c r="C125" s="71"/>
      <c r="D125" s="71"/>
      <c r="E125" s="71"/>
      <c r="F125" s="71"/>
      <c r="G125" s="71"/>
    </row>
    <row r="126">
      <c r="A126" s="71"/>
      <c r="B126" s="61"/>
      <c r="C126" s="71"/>
      <c r="D126" s="71"/>
      <c r="E126" s="71"/>
      <c r="F126" s="71"/>
      <c r="G126" s="71"/>
    </row>
    <row r="127">
      <c r="A127" s="71"/>
      <c r="B127" s="61"/>
      <c r="C127" s="71"/>
      <c r="D127" s="71"/>
      <c r="E127" s="71"/>
      <c r="F127" s="71"/>
      <c r="G127" s="71"/>
    </row>
    <row r="128">
      <c r="A128" s="71"/>
      <c r="B128" s="61"/>
      <c r="C128" s="71"/>
      <c r="D128" s="71"/>
      <c r="E128" s="71"/>
      <c r="F128" s="71"/>
      <c r="G128" s="71"/>
    </row>
    <row r="129">
      <c r="A129" s="71"/>
      <c r="B129" s="61"/>
      <c r="C129" s="71"/>
      <c r="D129" s="71"/>
      <c r="E129" s="71"/>
      <c r="F129" s="71"/>
      <c r="G129" s="71"/>
    </row>
    <row r="130">
      <c r="A130" s="71"/>
      <c r="B130" s="61"/>
      <c r="C130" s="71"/>
      <c r="D130" s="71"/>
      <c r="E130" s="71"/>
      <c r="F130" s="71"/>
      <c r="G130" s="71"/>
    </row>
    <row r="131">
      <c r="A131" s="71"/>
      <c r="B131" s="61"/>
      <c r="C131" s="71"/>
      <c r="D131" s="71"/>
      <c r="E131" s="71"/>
      <c r="F131" s="71"/>
      <c r="G131" s="71"/>
    </row>
    <row r="132">
      <c r="A132" s="71"/>
      <c r="B132" s="61"/>
      <c r="C132" s="71"/>
      <c r="D132" s="71"/>
      <c r="E132" s="71"/>
      <c r="F132" s="71"/>
      <c r="G132" s="71"/>
    </row>
    <row r="133">
      <c r="A133" s="71"/>
      <c r="B133" s="61"/>
      <c r="C133" s="71"/>
      <c r="D133" s="71"/>
      <c r="E133" s="71"/>
      <c r="F133" s="71"/>
      <c r="G133" s="71"/>
    </row>
    <row r="134">
      <c r="A134" s="71"/>
      <c r="B134" s="61"/>
      <c r="C134" s="71"/>
      <c r="D134" s="71"/>
      <c r="E134" s="71"/>
      <c r="F134" s="71"/>
      <c r="G134" s="71"/>
    </row>
    <row r="135">
      <c r="A135" s="71"/>
      <c r="B135" s="61"/>
      <c r="C135" s="71"/>
      <c r="D135" s="71"/>
      <c r="E135" s="71"/>
      <c r="F135" s="71"/>
      <c r="G135" s="71"/>
    </row>
    <row r="136">
      <c r="A136" s="71"/>
      <c r="B136" s="61"/>
      <c r="C136" s="71"/>
      <c r="D136" s="71"/>
      <c r="E136" s="71"/>
      <c r="F136" s="71"/>
      <c r="G136" s="71"/>
    </row>
    <row r="137">
      <c r="A137" s="71"/>
      <c r="B137" s="61"/>
      <c r="C137" s="71"/>
      <c r="D137" s="71"/>
      <c r="E137" s="71"/>
      <c r="F137" s="71"/>
      <c r="G137" s="71"/>
    </row>
    <row r="138">
      <c r="A138" s="71"/>
      <c r="B138" s="61"/>
      <c r="C138" s="71"/>
      <c r="D138" s="71"/>
      <c r="E138" s="71"/>
      <c r="F138" s="71"/>
      <c r="G138" s="71"/>
    </row>
    <row r="139">
      <c r="A139" s="71"/>
      <c r="B139" s="61"/>
      <c r="C139" s="71"/>
      <c r="D139" s="71"/>
      <c r="E139" s="71"/>
      <c r="F139" s="71"/>
      <c r="G139" s="71"/>
    </row>
    <row r="140">
      <c r="A140" s="71"/>
      <c r="B140" s="61"/>
      <c r="C140" s="71"/>
      <c r="D140" s="71"/>
      <c r="E140" s="71"/>
      <c r="F140" s="71"/>
      <c r="G140" s="71"/>
    </row>
    <row r="141">
      <c r="A141" s="71"/>
      <c r="B141" s="61"/>
      <c r="C141" s="71"/>
      <c r="D141" s="71"/>
      <c r="E141" s="71"/>
      <c r="F141" s="71"/>
      <c r="G141" s="71"/>
    </row>
    <row r="142">
      <c r="A142" s="71"/>
      <c r="B142" s="61"/>
      <c r="C142" s="71"/>
      <c r="D142" s="71"/>
      <c r="E142" s="71"/>
      <c r="F142" s="71"/>
      <c r="G142" s="71"/>
    </row>
    <row r="143">
      <c r="A143" s="71"/>
      <c r="B143" s="61"/>
      <c r="C143" s="71"/>
      <c r="D143" s="71"/>
      <c r="E143" s="71"/>
      <c r="F143" s="71"/>
      <c r="G143" s="71"/>
    </row>
    <row r="144">
      <c r="A144" s="71"/>
      <c r="B144" s="61"/>
      <c r="C144" s="71"/>
      <c r="D144" s="71"/>
      <c r="E144" s="71"/>
      <c r="F144" s="71"/>
      <c r="G144" s="71"/>
    </row>
    <row r="145">
      <c r="A145" s="71"/>
      <c r="B145" s="61"/>
      <c r="C145" s="71"/>
      <c r="D145" s="71"/>
      <c r="E145" s="71"/>
      <c r="F145" s="71"/>
      <c r="G145" s="71"/>
    </row>
    <row r="146">
      <c r="A146" s="71"/>
      <c r="B146" s="61"/>
      <c r="C146" s="71"/>
      <c r="D146" s="71"/>
      <c r="E146" s="71"/>
      <c r="F146" s="71"/>
      <c r="G146" s="71"/>
    </row>
    <row r="147">
      <c r="A147" s="71"/>
      <c r="B147" s="61"/>
      <c r="C147" s="71"/>
      <c r="D147" s="71"/>
      <c r="E147" s="71"/>
      <c r="F147" s="71"/>
      <c r="G147" s="71"/>
    </row>
    <row r="148">
      <c r="A148" s="71"/>
      <c r="B148" s="61"/>
      <c r="C148" s="71"/>
      <c r="D148" s="71"/>
      <c r="E148" s="71"/>
      <c r="F148" s="71"/>
      <c r="G148" s="71"/>
    </row>
    <row r="149">
      <c r="A149" s="71"/>
      <c r="B149" s="61"/>
      <c r="C149" s="71"/>
      <c r="D149" s="71"/>
      <c r="E149" s="71"/>
      <c r="F149" s="71"/>
      <c r="G149" s="71"/>
    </row>
    <row r="150">
      <c r="A150" s="71"/>
      <c r="B150" s="61"/>
      <c r="C150" s="71"/>
      <c r="D150" s="71"/>
      <c r="E150" s="71"/>
      <c r="F150" s="71"/>
      <c r="G150" s="71"/>
    </row>
    <row r="151">
      <c r="A151" s="71"/>
      <c r="B151" s="61"/>
      <c r="C151" s="71"/>
      <c r="D151" s="71"/>
      <c r="E151" s="71"/>
      <c r="F151" s="71"/>
      <c r="G151" s="71"/>
    </row>
    <row r="152">
      <c r="A152" s="71"/>
      <c r="B152" s="61"/>
      <c r="C152" s="71"/>
      <c r="D152" s="71"/>
      <c r="E152" s="71"/>
      <c r="F152" s="71"/>
      <c r="G152" s="71"/>
    </row>
    <row r="153">
      <c r="A153" s="71"/>
      <c r="B153" s="61"/>
      <c r="C153" s="71"/>
      <c r="D153" s="71"/>
      <c r="E153" s="71"/>
      <c r="F153" s="71"/>
      <c r="G153" s="71"/>
    </row>
    <row r="154">
      <c r="A154" s="71"/>
      <c r="B154" s="61"/>
      <c r="C154" s="71"/>
      <c r="D154" s="71"/>
      <c r="E154" s="71"/>
      <c r="F154" s="71"/>
      <c r="G154" s="71"/>
    </row>
    <row r="155">
      <c r="A155" s="71"/>
      <c r="B155" s="61"/>
      <c r="C155" s="71"/>
      <c r="D155" s="71"/>
      <c r="E155" s="71"/>
      <c r="F155" s="71"/>
      <c r="G155" s="71"/>
    </row>
    <row r="156">
      <c r="A156" s="71"/>
      <c r="B156" s="61"/>
      <c r="C156" s="71"/>
      <c r="D156" s="71"/>
      <c r="E156" s="71"/>
      <c r="F156" s="71"/>
      <c r="G156" s="71"/>
    </row>
    <row r="157">
      <c r="A157" s="71"/>
      <c r="B157" s="61"/>
      <c r="C157" s="71"/>
      <c r="D157" s="71"/>
      <c r="E157" s="71"/>
      <c r="F157" s="71"/>
      <c r="G157" s="71"/>
    </row>
    <row r="158">
      <c r="A158" s="71"/>
      <c r="B158" s="61"/>
      <c r="C158" s="71"/>
      <c r="D158" s="71"/>
      <c r="E158" s="71"/>
      <c r="F158" s="71"/>
      <c r="G158" s="71"/>
    </row>
    <row r="159">
      <c r="A159" s="71"/>
      <c r="B159" s="61"/>
      <c r="C159" s="71"/>
      <c r="D159" s="71"/>
      <c r="E159" s="71"/>
      <c r="F159" s="71"/>
      <c r="G159" s="71"/>
    </row>
    <row r="160">
      <c r="A160" s="71"/>
      <c r="B160" s="61"/>
      <c r="C160" s="71"/>
      <c r="D160" s="71"/>
      <c r="E160" s="71"/>
      <c r="F160" s="71"/>
      <c r="G160" s="71"/>
    </row>
    <row r="161">
      <c r="A161" s="71"/>
      <c r="B161" s="61"/>
      <c r="C161" s="71"/>
      <c r="D161" s="71"/>
      <c r="E161" s="71"/>
      <c r="F161" s="71"/>
      <c r="G161" s="71"/>
    </row>
    <row r="162">
      <c r="A162" s="71"/>
      <c r="B162" s="61"/>
      <c r="C162" s="71"/>
      <c r="D162" s="71"/>
      <c r="E162" s="71"/>
      <c r="F162" s="71"/>
      <c r="G162" s="71"/>
    </row>
    <row r="163">
      <c r="A163" s="71"/>
      <c r="B163" s="61"/>
      <c r="C163" s="71"/>
      <c r="D163" s="71"/>
      <c r="E163" s="71"/>
      <c r="F163" s="71"/>
      <c r="G163" s="71"/>
    </row>
    <row r="164">
      <c r="A164" s="71"/>
      <c r="B164" s="61"/>
      <c r="C164" s="71"/>
      <c r="D164" s="71"/>
      <c r="E164" s="71"/>
      <c r="F164" s="71"/>
      <c r="G164" s="71"/>
    </row>
    <row r="165">
      <c r="A165" s="71"/>
      <c r="B165" s="61"/>
      <c r="C165" s="71"/>
      <c r="D165" s="71"/>
      <c r="E165" s="71"/>
      <c r="F165" s="71"/>
      <c r="G165" s="71"/>
    </row>
    <row r="166">
      <c r="A166" s="71"/>
      <c r="B166" s="61"/>
      <c r="C166" s="71"/>
      <c r="D166" s="71"/>
      <c r="E166" s="71"/>
      <c r="F166" s="71"/>
      <c r="G166" s="71"/>
    </row>
    <row r="167">
      <c r="A167" s="71"/>
      <c r="B167" s="61"/>
      <c r="C167" s="71"/>
      <c r="D167" s="71"/>
      <c r="E167" s="71"/>
      <c r="F167" s="71"/>
      <c r="G167" s="71"/>
    </row>
    <row r="168">
      <c r="A168" s="71"/>
      <c r="B168" s="61"/>
      <c r="C168" s="71"/>
      <c r="D168" s="71"/>
      <c r="E168" s="71"/>
      <c r="F168" s="71"/>
      <c r="G168" s="71"/>
    </row>
    <row r="169">
      <c r="A169" s="71"/>
      <c r="B169" s="61"/>
      <c r="C169" s="71"/>
      <c r="D169" s="71"/>
      <c r="E169" s="71"/>
      <c r="F169" s="71"/>
      <c r="G169" s="71"/>
    </row>
    <row r="170">
      <c r="A170" s="71"/>
      <c r="B170" s="61"/>
      <c r="C170" s="71"/>
      <c r="D170" s="71"/>
      <c r="E170" s="71"/>
      <c r="F170" s="71"/>
      <c r="G170" s="71"/>
    </row>
    <row r="171">
      <c r="A171" s="71"/>
      <c r="B171" s="61"/>
      <c r="C171" s="71"/>
      <c r="D171" s="71"/>
      <c r="E171" s="71"/>
      <c r="F171" s="71"/>
      <c r="G171" s="71"/>
    </row>
    <row r="172">
      <c r="A172" s="71"/>
      <c r="B172" s="61"/>
      <c r="C172" s="71"/>
      <c r="D172" s="71"/>
      <c r="E172" s="71"/>
      <c r="F172" s="71"/>
      <c r="G172" s="71"/>
    </row>
    <row r="173">
      <c r="A173" s="71"/>
      <c r="B173" s="61"/>
      <c r="C173" s="71"/>
      <c r="D173" s="71"/>
      <c r="E173" s="71"/>
      <c r="F173" s="71"/>
      <c r="G173" s="71"/>
    </row>
    <row r="174">
      <c r="A174" s="71"/>
      <c r="B174" s="61"/>
      <c r="C174" s="71"/>
      <c r="D174" s="71"/>
      <c r="E174" s="71"/>
      <c r="F174" s="71"/>
      <c r="G174" s="71"/>
    </row>
    <row r="175">
      <c r="A175" s="71"/>
      <c r="B175" s="61"/>
      <c r="C175" s="71"/>
      <c r="D175" s="71"/>
      <c r="E175" s="71"/>
      <c r="F175" s="71"/>
      <c r="G175" s="71"/>
    </row>
    <row r="176">
      <c r="A176" s="71"/>
      <c r="B176" s="61"/>
      <c r="C176" s="71"/>
      <c r="D176" s="71"/>
      <c r="E176" s="71"/>
      <c r="F176" s="71"/>
      <c r="G176" s="71"/>
    </row>
    <row r="177">
      <c r="A177" s="71"/>
      <c r="B177" s="61"/>
      <c r="C177" s="71"/>
      <c r="D177" s="71"/>
      <c r="E177" s="71"/>
      <c r="F177" s="71"/>
      <c r="G177" s="71"/>
    </row>
    <row r="178">
      <c r="A178" s="71"/>
      <c r="B178" s="61"/>
      <c r="C178" s="71"/>
      <c r="D178" s="71"/>
      <c r="E178" s="71"/>
      <c r="F178" s="71"/>
      <c r="G178" s="71"/>
    </row>
    <row r="179">
      <c r="A179" s="71"/>
      <c r="B179" s="61"/>
      <c r="C179" s="71"/>
      <c r="D179" s="71"/>
      <c r="E179" s="71"/>
      <c r="F179" s="71"/>
      <c r="G179" s="71"/>
    </row>
    <row r="180">
      <c r="A180" s="71"/>
      <c r="B180" s="61"/>
      <c r="C180" s="71"/>
      <c r="D180" s="71"/>
      <c r="E180" s="71"/>
      <c r="F180" s="71"/>
      <c r="G180" s="71"/>
    </row>
    <row r="181">
      <c r="A181" s="71"/>
      <c r="B181" s="61"/>
      <c r="C181" s="71"/>
      <c r="D181" s="71"/>
      <c r="E181" s="71"/>
      <c r="F181" s="71"/>
      <c r="G181" s="71"/>
    </row>
    <row r="182">
      <c r="A182" s="71"/>
      <c r="B182" s="61"/>
      <c r="C182" s="71"/>
      <c r="D182" s="71"/>
      <c r="E182" s="71"/>
      <c r="F182" s="71"/>
      <c r="G182" s="71"/>
    </row>
    <row r="183">
      <c r="A183" s="71"/>
      <c r="B183" s="61"/>
      <c r="C183" s="71"/>
      <c r="D183" s="71"/>
      <c r="E183" s="71"/>
      <c r="F183" s="71"/>
      <c r="G183" s="71"/>
    </row>
    <row r="184">
      <c r="A184" s="71"/>
      <c r="B184" s="61"/>
      <c r="C184" s="71"/>
      <c r="D184" s="71"/>
      <c r="E184" s="71"/>
      <c r="F184" s="71"/>
      <c r="G184" s="71"/>
    </row>
    <row r="185">
      <c r="A185" s="71"/>
      <c r="B185" s="61"/>
      <c r="C185" s="71"/>
      <c r="D185" s="71"/>
      <c r="E185" s="71"/>
      <c r="F185" s="71"/>
      <c r="G185" s="71"/>
    </row>
    <row r="186">
      <c r="A186" s="71"/>
      <c r="B186" s="61"/>
      <c r="C186" s="71"/>
      <c r="D186" s="71"/>
      <c r="E186" s="71"/>
      <c r="F186" s="71"/>
      <c r="G186" s="71"/>
    </row>
    <row r="187">
      <c r="A187" s="71"/>
      <c r="B187" s="61"/>
      <c r="C187" s="71"/>
      <c r="D187" s="71"/>
      <c r="E187" s="71"/>
      <c r="F187" s="71"/>
      <c r="G187" s="71"/>
    </row>
    <row r="188">
      <c r="A188" s="71"/>
      <c r="B188" s="61"/>
      <c r="C188" s="71"/>
      <c r="D188" s="71"/>
      <c r="E188" s="71"/>
      <c r="F188" s="71"/>
      <c r="G188" s="71"/>
    </row>
    <row r="189">
      <c r="A189" s="71"/>
      <c r="B189" s="61"/>
      <c r="C189" s="71"/>
      <c r="D189" s="71"/>
      <c r="E189" s="71"/>
      <c r="F189" s="71"/>
      <c r="G189" s="71"/>
    </row>
    <row r="190">
      <c r="A190" s="71"/>
      <c r="B190" s="61"/>
      <c r="C190" s="71"/>
      <c r="D190" s="71"/>
      <c r="E190" s="71"/>
      <c r="F190" s="71"/>
      <c r="G190" s="71"/>
    </row>
    <row r="191">
      <c r="A191" s="71"/>
      <c r="B191" s="61"/>
      <c r="C191" s="71"/>
      <c r="D191" s="71"/>
      <c r="E191" s="71"/>
      <c r="F191" s="71"/>
      <c r="G191" s="71"/>
    </row>
    <row r="192">
      <c r="A192" s="71"/>
      <c r="B192" s="61"/>
      <c r="C192" s="71"/>
      <c r="D192" s="71"/>
      <c r="E192" s="71"/>
      <c r="F192" s="71"/>
      <c r="G192" s="71"/>
    </row>
    <row r="193">
      <c r="A193" s="71"/>
      <c r="B193" s="61"/>
      <c r="C193" s="71"/>
      <c r="D193" s="71"/>
      <c r="E193" s="71"/>
      <c r="F193" s="71"/>
      <c r="G193" s="71"/>
    </row>
    <row r="194">
      <c r="A194" s="71"/>
      <c r="B194" s="61"/>
      <c r="C194" s="71"/>
      <c r="D194" s="71"/>
      <c r="E194" s="71"/>
      <c r="F194" s="71"/>
      <c r="G194" s="71"/>
    </row>
    <row r="195">
      <c r="A195" s="71"/>
      <c r="B195" s="61"/>
      <c r="C195" s="71"/>
      <c r="D195" s="71"/>
      <c r="E195" s="71"/>
      <c r="F195" s="71"/>
      <c r="G195" s="71"/>
    </row>
    <row r="196">
      <c r="A196" s="71"/>
      <c r="B196" s="61"/>
      <c r="C196" s="71"/>
      <c r="D196" s="71"/>
      <c r="E196" s="71"/>
      <c r="F196" s="71"/>
      <c r="G196" s="71"/>
    </row>
    <row r="197">
      <c r="A197" s="71"/>
      <c r="B197" s="61"/>
      <c r="C197" s="71"/>
      <c r="D197" s="71"/>
      <c r="E197" s="71"/>
      <c r="F197" s="71"/>
      <c r="G197" s="71"/>
    </row>
    <row r="198">
      <c r="A198" s="71"/>
      <c r="B198" s="61"/>
      <c r="C198" s="71"/>
      <c r="D198" s="71"/>
      <c r="E198" s="71"/>
      <c r="F198" s="71"/>
      <c r="G198" s="71"/>
    </row>
    <row r="199">
      <c r="A199" s="71"/>
      <c r="B199" s="61"/>
      <c r="C199" s="71"/>
      <c r="D199" s="71"/>
      <c r="E199" s="71"/>
      <c r="F199" s="71"/>
      <c r="G199" s="71"/>
    </row>
    <row r="200">
      <c r="A200" s="71"/>
      <c r="B200" s="61"/>
      <c r="C200" s="71"/>
      <c r="D200" s="71"/>
      <c r="E200" s="71"/>
      <c r="F200" s="71"/>
      <c r="G200" s="71"/>
    </row>
    <row r="201">
      <c r="A201" s="71"/>
      <c r="B201" s="61"/>
      <c r="C201" s="71"/>
      <c r="D201" s="71"/>
      <c r="E201" s="71"/>
      <c r="F201" s="71"/>
      <c r="G201" s="71"/>
    </row>
    <row r="202">
      <c r="A202" s="71"/>
      <c r="B202" s="61"/>
      <c r="C202" s="71"/>
      <c r="D202" s="71"/>
      <c r="E202" s="71"/>
      <c r="F202" s="71"/>
      <c r="G202" s="71"/>
    </row>
    <row r="203">
      <c r="A203" s="71"/>
      <c r="B203" s="61"/>
      <c r="C203" s="71"/>
      <c r="D203" s="71"/>
      <c r="E203" s="71"/>
      <c r="F203" s="71"/>
      <c r="G203" s="71"/>
    </row>
    <row r="204">
      <c r="A204" s="71"/>
      <c r="B204" s="61"/>
      <c r="C204" s="71"/>
      <c r="D204" s="71"/>
      <c r="E204" s="71"/>
      <c r="F204" s="71"/>
      <c r="G204" s="71"/>
    </row>
    <row r="205">
      <c r="A205" s="71"/>
      <c r="B205" s="61"/>
      <c r="C205" s="71"/>
      <c r="D205" s="71"/>
      <c r="E205" s="71"/>
      <c r="F205" s="71"/>
      <c r="G205" s="71"/>
    </row>
    <row r="206">
      <c r="A206" s="71"/>
      <c r="B206" s="61"/>
      <c r="C206" s="71"/>
      <c r="D206" s="71"/>
      <c r="E206" s="71"/>
      <c r="F206" s="71"/>
      <c r="G206" s="71"/>
    </row>
    <row r="207">
      <c r="A207" s="71"/>
      <c r="B207" s="61"/>
      <c r="C207" s="71"/>
      <c r="D207" s="71"/>
      <c r="E207" s="71"/>
      <c r="F207" s="71"/>
      <c r="G207" s="71"/>
    </row>
    <row r="208">
      <c r="A208" s="71"/>
      <c r="B208" s="61"/>
      <c r="C208" s="71"/>
      <c r="D208" s="71"/>
      <c r="E208" s="71"/>
      <c r="F208" s="71"/>
      <c r="G208" s="71"/>
    </row>
    <row r="209">
      <c r="A209" s="71"/>
      <c r="B209" s="61"/>
      <c r="C209" s="71"/>
      <c r="D209" s="71"/>
      <c r="E209" s="71"/>
      <c r="F209" s="71"/>
      <c r="G209" s="71"/>
    </row>
    <row r="210">
      <c r="A210" s="71"/>
      <c r="B210" s="61"/>
      <c r="C210" s="71"/>
      <c r="D210" s="71"/>
      <c r="E210" s="71"/>
      <c r="F210" s="71"/>
      <c r="G210" s="71"/>
    </row>
    <row r="211">
      <c r="A211" s="71"/>
      <c r="B211" s="61"/>
      <c r="C211" s="71"/>
      <c r="D211" s="71"/>
      <c r="E211" s="71"/>
      <c r="F211" s="71"/>
      <c r="G211" s="71"/>
    </row>
    <row r="212">
      <c r="A212" s="71"/>
      <c r="B212" s="61"/>
      <c r="C212" s="71"/>
      <c r="D212" s="71"/>
      <c r="E212" s="71"/>
      <c r="F212" s="71"/>
      <c r="G212" s="71"/>
    </row>
    <row r="213">
      <c r="A213" s="71"/>
      <c r="B213" s="61"/>
      <c r="C213" s="71"/>
      <c r="D213" s="71"/>
      <c r="E213" s="71"/>
      <c r="F213" s="71"/>
      <c r="G213" s="71"/>
    </row>
    <row r="214">
      <c r="A214" s="71"/>
      <c r="B214" s="61"/>
      <c r="C214" s="71"/>
      <c r="D214" s="71"/>
      <c r="E214" s="71"/>
      <c r="F214" s="71"/>
      <c r="G214" s="71"/>
    </row>
    <row r="215">
      <c r="A215" s="71"/>
      <c r="B215" s="61"/>
      <c r="C215" s="71"/>
      <c r="D215" s="71"/>
      <c r="E215" s="71"/>
      <c r="F215" s="71"/>
      <c r="G215" s="71"/>
    </row>
    <row r="216">
      <c r="A216" s="71"/>
      <c r="B216" s="61"/>
      <c r="C216" s="71"/>
      <c r="D216" s="71"/>
      <c r="E216" s="71"/>
      <c r="F216" s="71"/>
      <c r="G216" s="71"/>
    </row>
    <row r="217">
      <c r="A217" s="71"/>
      <c r="B217" s="61"/>
      <c r="C217" s="71"/>
      <c r="D217" s="71"/>
      <c r="E217" s="71"/>
      <c r="F217" s="71"/>
      <c r="G217" s="71"/>
    </row>
    <row r="218">
      <c r="A218" s="71"/>
      <c r="B218" s="61"/>
      <c r="C218" s="71"/>
      <c r="D218" s="71"/>
      <c r="E218" s="71"/>
      <c r="F218" s="71"/>
      <c r="G218" s="71"/>
    </row>
    <row r="219">
      <c r="A219" s="71"/>
      <c r="B219" s="61"/>
      <c r="C219" s="71"/>
      <c r="D219" s="71"/>
      <c r="E219" s="71"/>
      <c r="F219" s="71"/>
      <c r="G219" s="71"/>
    </row>
    <row r="220">
      <c r="A220" s="71"/>
      <c r="B220" s="61"/>
      <c r="C220" s="71"/>
      <c r="D220" s="71"/>
      <c r="E220" s="71"/>
      <c r="F220" s="71"/>
      <c r="G220" s="71"/>
    </row>
    <row r="221">
      <c r="A221" s="71"/>
      <c r="B221" s="61"/>
      <c r="C221" s="71"/>
      <c r="D221" s="71"/>
      <c r="E221" s="71"/>
      <c r="F221" s="71"/>
      <c r="G221" s="71"/>
    </row>
    <row r="222">
      <c r="A222" s="71"/>
      <c r="B222" s="61"/>
      <c r="C222" s="71"/>
      <c r="D222" s="71"/>
      <c r="E222" s="71"/>
      <c r="F222" s="71"/>
      <c r="G222" s="71"/>
    </row>
    <row r="223">
      <c r="A223" s="71"/>
      <c r="B223" s="61"/>
      <c r="C223" s="71"/>
      <c r="D223" s="71"/>
      <c r="E223" s="71"/>
      <c r="F223" s="71"/>
      <c r="G223" s="71"/>
    </row>
    <row r="224">
      <c r="A224" s="71"/>
      <c r="B224" s="61"/>
      <c r="C224" s="71"/>
      <c r="D224" s="71"/>
      <c r="E224" s="71"/>
      <c r="F224" s="71"/>
      <c r="G224" s="71"/>
    </row>
    <row r="225">
      <c r="A225" s="71"/>
      <c r="B225" s="61"/>
      <c r="C225" s="71"/>
      <c r="D225" s="71"/>
      <c r="E225" s="71"/>
      <c r="F225" s="71"/>
      <c r="G225" s="71"/>
    </row>
    <row r="226">
      <c r="A226" s="71"/>
      <c r="B226" s="61"/>
      <c r="C226" s="71"/>
      <c r="D226" s="71"/>
      <c r="E226" s="71"/>
      <c r="F226" s="71"/>
      <c r="G226" s="71"/>
    </row>
    <row r="227">
      <c r="A227" s="71"/>
      <c r="B227" s="61"/>
      <c r="C227" s="71"/>
      <c r="D227" s="71"/>
      <c r="E227" s="71"/>
      <c r="F227" s="71"/>
      <c r="G227" s="71"/>
    </row>
    <row r="228">
      <c r="A228" s="71"/>
      <c r="B228" s="61"/>
      <c r="C228" s="71"/>
      <c r="D228" s="71"/>
      <c r="E228" s="71"/>
      <c r="F228" s="71"/>
      <c r="G228" s="71"/>
    </row>
    <row r="229">
      <c r="A229" s="71"/>
      <c r="B229" s="61"/>
      <c r="C229" s="71"/>
      <c r="D229" s="71"/>
      <c r="E229" s="71"/>
      <c r="F229" s="71"/>
      <c r="G229" s="71"/>
    </row>
    <row r="230">
      <c r="A230" s="71"/>
      <c r="B230" s="61"/>
      <c r="C230" s="71"/>
      <c r="D230" s="71"/>
      <c r="E230" s="71"/>
      <c r="F230" s="71"/>
      <c r="G230" s="71"/>
    </row>
    <row r="231">
      <c r="A231" s="71"/>
      <c r="B231" s="61"/>
      <c r="C231" s="71"/>
      <c r="D231" s="71"/>
      <c r="E231" s="71"/>
      <c r="F231" s="71"/>
      <c r="G231" s="71"/>
    </row>
    <row r="232">
      <c r="A232" s="71"/>
      <c r="B232" s="61"/>
      <c r="C232" s="71"/>
      <c r="D232" s="71"/>
      <c r="E232" s="71"/>
      <c r="F232" s="71"/>
      <c r="G232" s="71"/>
    </row>
    <row r="233">
      <c r="A233" s="71"/>
      <c r="B233" s="61"/>
      <c r="C233" s="71"/>
      <c r="D233" s="71"/>
      <c r="E233" s="71"/>
      <c r="F233" s="71"/>
      <c r="G233" s="71"/>
    </row>
    <row r="234">
      <c r="A234" s="71"/>
      <c r="B234" s="61"/>
      <c r="C234" s="71"/>
      <c r="D234" s="71"/>
      <c r="E234" s="71"/>
      <c r="F234" s="71"/>
      <c r="G234" s="71"/>
    </row>
    <row r="235">
      <c r="A235" s="71"/>
      <c r="B235" s="61"/>
      <c r="C235" s="71"/>
      <c r="D235" s="71"/>
      <c r="E235" s="71"/>
      <c r="F235" s="71"/>
      <c r="G235" s="71"/>
    </row>
    <row r="236">
      <c r="A236" s="71"/>
      <c r="B236" s="61"/>
      <c r="C236" s="71"/>
      <c r="D236" s="71"/>
      <c r="E236" s="71"/>
      <c r="F236" s="71"/>
      <c r="G236" s="71"/>
    </row>
    <row r="237">
      <c r="A237" s="71"/>
      <c r="B237" s="61"/>
      <c r="C237" s="71"/>
      <c r="D237" s="71"/>
      <c r="E237" s="71"/>
      <c r="F237" s="71"/>
      <c r="G237" s="71"/>
    </row>
    <row r="238">
      <c r="A238" s="71"/>
      <c r="B238" s="61"/>
      <c r="C238" s="71"/>
      <c r="D238" s="71"/>
      <c r="E238" s="71"/>
      <c r="F238" s="71"/>
      <c r="G238" s="71"/>
    </row>
    <row r="239">
      <c r="A239" s="71"/>
      <c r="B239" s="61"/>
      <c r="C239" s="71"/>
      <c r="D239" s="71"/>
      <c r="E239" s="71"/>
      <c r="F239" s="71"/>
      <c r="G239" s="71"/>
    </row>
    <row r="240">
      <c r="A240" s="71"/>
      <c r="B240" s="61"/>
      <c r="C240" s="71"/>
      <c r="D240" s="71"/>
      <c r="E240" s="71"/>
      <c r="F240" s="71"/>
      <c r="G240" s="71"/>
    </row>
    <row r="241">
      <c r="A241" s="71"/>
      <c r="B241" s="61"/>
      <c r="C241" s="71"/>
      <c r="D241" s="71"/>
      <c r="E241" s="71"/>
      <c r="F241" s="71"/>
      <c r="G241" s="71"/>
    </row>
    <row r="242">
      <c r="A242" s="71"/>
      <c r="B242" s="61"/>
      <c r="C242" s="71"/>
      <c r="D242" s="71"/>
      <c r="E242" s="71"/>
      <c r="F242" s="71"/>
      <c r="G242" s="71"/>
    </row>
    <row r="243">
      <c r="A243" s="71"/>
      <c r="B243" s="61"/>
      <c r="C243" s="71"/>
      <c r="D243" s="71"/>
      <c r="E243" s="71"/>
      <c r="F243" s="71"/>
      <c r="G243" s="71"/>
    </row>
    <row r="244">
      <c r="A244" s="71"/>
      <c r="B244" s="61"/>
      <c r="C244" s="71"/>
      <c r="D244" s="71"/>
      <c r="E244" s="71"/>
      <c r="F244" s="71"/>
      <c r="G244" s="71"/>
    </row>
    <row r="245">
      <c r="A245" s="71"/>
      <c r="B245" s="61"/>
      <c r="C245" s="71"/>
      <c r="D245" s="71"/>
      <c r="E245" s="71"/>
      <c r="F245" s="71"/>
      <c r="G245" s="71"/>
    </row>
    <row r="246">
      <c r="A246" s="71"/>
      <c r="B246" s="61"/>
      <c r="C246" s="71"/>
      <c r="D246" s="71"/>
      <c r="E246" s="71"/>
      <c r="F246" s="71"/>
      <c r="G246" s="71"/>
    </row>
    <row r="247">
      <c r="A247" s="71"/>
      <c r="B247" s="61"/>
      <c r="C247" s="71"/>
      <c r="D247" s="71"/>
      <c r="E247" s="71"/>
      <c r="F247" s="71"/>
      <c r="G247" s="71"/>
    </row>
    <row r="248">
      <c r="A248" s="71"/>
      <c r="B248" s="61"/>
      <c r="C248" s="71"/>
      <c r="D248" s="71"/>
      <c r="E248" s="71"/>
      <c r="F248" s="71"/>
      <c r="G248" s="71"/>
    </row>
    <row r="249">
      <c r="A249" s="71"/>
      <c r="B249" s="61"/>
      <c r="C249" s="71"/>
      <c r="D249" s="71"/>
      <c r="E249" s="71"/>
      <c r="F249" s="71"/>
      <c r="G249" s="71"/>
    </row>
    <row r="250">
      <c r="A250" s="71"/>
      <c r="B250" s="61"/>
      <c r="C250" s="71"/>
      <c r="D250" s="71"/>
      <c r="E250" s="71"/>
      <c r="F250" s="71"/>
      <c r="G250" s="71"/>
    </row>
    <row r="251">
      <c r="A251" s="71"/>
      <c r="B251" s="61"/>
      <c r="C251" s="71"/>
      <c r="D251" s="71"/>
      <c r="E251" s="71"/>
      <c r="F251" s="71"/>
      <c r="G251" s="71"/>
    </row>
    <row r="252">
      <c r="A252" s="71"/>
      <c r="B252" s="61"/>
      <c r="C252" s="71"/>
      <c r="D252" s="71"/>
      <c r="E252" s="71"/>
      <c r="F252" s="71"/>
      <c r="G252" s="71"/>
    </row>
    <row r="253">
      <c r="A253" s="71"/>
      <c r="B253" s="61"/>
      <c r="C253" s="71"/>
      <c r="D253" s="71"/>
      <c r="E253" s="71"/>
      <c r="F253" s="71"/>
      <c r="G253" s="71"/>
    </row>
    <row r="254">
      <c r="A254" s="71"/>
      <c r="B254" s="61"/>
      <c r="C254" s="71"/>
      <c r="D254" s="71"/>
      <c r="E254" s="71"/>
      <c r="F254" s="71"/>
      <c r="G254" s="71"/>
    </row>
    <row r="255">
      <c r="A255" s="71"/>
      <c r="B255" s="61"/>
      <c r="C255" s="71"/>
      <c r="D255" s="71"/>
      <c r="E255" s="71"/>
      <c r="F255" s="71"/>
      <c r="G255" s="71"/>
    </row>
    <row r="256">
      <c r="A256" s="71"/>
      <c r="B256" s="61"/>
      <c r="C256" s="71"/>
      <c r="D256" s="71"/>
      <c r="E256" s="71"/>
      <c r="F256" s="71"/>
      <c r="G256" s="71"/>
    </row>
    <row r="257">
      <c r="A257" s="71"/>
      <c r="B257" s="61"/>
      <c r="C257" s="71"/>
      <c r="D257" s="71"/>
      <c r="E257" s="71"/>
      <c r="F257" s="71"/>
      <c r="G257" s="71"/>
    </row>
    <row r="258">
      <c r="A258" s="71"/>
      <c r="B258" s="61"/>
      <c r="C258" s="71"/>
      <c r="D258" s="71"/>
      <c r="E258" s="71"/>
      <c r="F258" s="71"/>
      <c r="G258" s="71"/>
    </row>
    <row r="259">
      <c r="A259" s="71"/>
      <c r="B259" s="61"/>
      <c r="C259" s="71"/>
      <c r="D259" s="71"/>
      <c r="E259" s="71"/>
      <c r="F259" s="71"/>
      <c r="G259" s="71"/>
    </row>
    <row r="260">
      <c r="A260" s="71"/>
      <c r="B260" s="61"/>
      <c r="C260" s="71"/>
      <c r="D260" s="71"/>
      <c r="E260" s="71"/>
      <c r="F260" s="71"/>
      <c r="G260" s="71"/>
    </row>
    <row r="261">
      <c r="A261" s="71"/>
      <c r="B261" s="61"/>
      <c r="C261" s="71"/>
      <c r="D261" s="71"/>
      <c r="E261" s="71"/>
      <c r="F261" s="71"/>
      <c r="G261" s="71"/>
    </row>
    <row r="262">
      <c r="A262" s="71"/>
      <c r="B262" s="61"/>
      <c r="C262" s="71"/>
      <c r="D262" s="71"/>
      <c r="E262" s="71"/>
      <c r="F262" s="71"/>
      <c r="G262" s="71"/>
    </row>
    <row r="263">
      <c r="A263" s="71"/>
      <c r="B263" s="61"/>
      <c r="C263" s="71"/>
      <c r="D263" s="71"/>
      <c r="E263" s="71"/>
      <c r="F263" s="71"/>
      <c r="G263" s="71"/>
    </row>
    <row r="264">
      <c r="A264" s="71"/>
      <c r="B264" s="61"/>
      <c r="C264" s="71"/>
      <c r="D264" s="71"/>
      <c r="E264" s="71"/>
      <c r="F264" s="71"/>
      <c r="G264" s="71"/>
    </row>
    <row r="265">
      <c r="A265" s="71"/>
      <c r="B265" s="61"/>
      <c r="C265" s="71"/>
      <c r="D265" s="71"/>
      <c r="E265" s="71"/>
      <c r="F265" s="71"/>
      <c r="G265" s="71"/>
    </row>
    <row r="266">
      <c r="A266" s="71"/>
      <c r="B266" s="61"/>
      <c r="C266" s="71"/>
      <c r="D266" s="71"/>
      <c r="E266" s="71"/>
      <c r="F266" s="71"/>
      <c r="G266" s="71"/>
    </row>
    <row r="267">
      <c r="A267" s="71"/>
      <c r="B267" s="61"/>
      <c r="C267" s="71"/>
      <c r="D267" s="71"/>
      <c r="E267" s="71"/>
      <c r="F267" s="71"/>
      <c r="G267" s="71"/>
    </row>
    <row r="268">
      <c r="A268" s="71"/>
      <c r="B268" s="61"/>
      <c r="C268" s="71"/>
      <c r="D268" s="71"/>
      <c r="E268" s="71"/>
      <c r="F268" s="71"/>
      <c r="G268" s="71"/>
    </row>
    <row r="269">
      <c r="A269" s="71"/>
      <c r="B269" s="61"/>
      <c r="C269" s="71"/>
      <c r="D269" s="71"/>
      <c r="E269" s="71"/>
      <c r="F269" s="71"/>
      <c r="G269" s="71"/>
    </row>
    <row r="270">
      <c r="A270" s="71"/>
      <c r="B270" s="61"/>
      <c r="C270" s="71"/>
      <c r="D270" s="71"/>
      <c r="E270" s="71"/>
      <c r="F270" s="71"/>
      <c r="G270" s="71"/>
    </row>
    <row r="271">
      <c r="A271" s="71"/>
      <c r="B271" s="61"/>
      <c r="C271" s="71"/>
      <c r="D271" s="71"/>
      <c r="E271" s="71"/>
      <c r="F271" s="71"/>
      <c r="G271" s="71"/>
    </row>
    <row r="272">
      <c r="A272" s="71"/>
      <c r="B272" s="61"/>
      <c r="C272" s="71"/>
      <c r="D272" s="71"/>
      <c r="E272" s="71"/>
      <c r="F272" s="71"/>
      <c r="G272" s="71"/>
    </row>
    <row r="273">
      <c r="A273" s="71"/>
      <c r="B273" s="61"/>
      <c r="C273" s="71"/>
      <c r="D273" s="71"/>
      <c r="E273" s="71"/>
      <c r="F273" s="71"/>
      <c r="G273" s="71"/>
    </row>
    <row r="274">
      <c r="A274" s="71"/>
      <c r="B274" s="61"/>
      <c r="C274" s="71"/>
      <c r="D274" s="71"/>
      <c r="E274" s="71"/>
      <c r="F274" s="71"/>
      <c r="G274" s="71"/>
    </row>
    <row r="275">
      <c r="A275" s="71"/>
      <c r="B275" s="61"/>
      <c r="C275" s="71"/>
      <c r="D275" s="71"/>
      <c r="E275" s="71"/>
      <c r="F275" s="71"/>
      <c r="G275" s="71"/>
    </row>
    <row r="276">
      <c r="A276" s="71"/>
      <c r="B276" s="61"/>
      <c r="C276" s="71"/>
      <c r="D276" s="71"/>
      <c r="E276" s="71"/>
      <c r="F276" s="71"/>
      <c r="G276" s="71"/>
    </row>
    <row r="277">
      <c r="A277" s="71"/>
      <c r="B277" s="61"/>
      <c r="C277" s="71"/>
      <c r="D277" s="71"/>
      <c r="E277" s="71"/>
      <c r="F277" s="71"/>
      <c r="G277" s="71"/>
    </row>
    <row r="278">
      <c r="A278" s="71"/>
      <c r="B278" s="61"/>
      <c r="C278" s="71"/>
      <c r="D278" s="71"/>
      <c r="E278" s="71"/>
      <c r="F278" s="71"/>
      <c r="G278" s="71"/>
    </row>
    <row r="279">
      <c r="A279" s="71"/>
      <c r="B279" s="61"/>
      <c r="C279" s="71"/>
      <c r="D279" s="71"/>
      <c r="E279" s="71"/>
      <c r="F279" s="71"/>
      <c r="G279" s="71"/>
    </row>
    <row r="280">
      <c r="A280" s="71"/>
      <c r="B280" s="61"/>
      <c r="C280" s="71"/>
      <c r="D280" s="71"/>
      <c r="E280" s="71"/>
      <c r="F280" s="71"/>
      <c r="G280" s="71"/>
    </row>
    <row r="281">
      <c r="A281" s="71"/>
      <c r="B281" s="61"/>
      <c r="C281" s="71"/>
      <c r="D281" s="71"/>
      <c r="E281" s="71"/>
      <c r="F281" s="71"/>
      <c r="G281" s="71"/>
    </row>
    <row r="282">
      <c r="A282" s="71"/>
      <c r="B282" s="61"/>
      <c r="C282" s="71"/>
      <c r="D282" s="71"/>
      <c r="E282" s="71"/>
      <c r="F282" s="71"/>
      <c r="G282" s="71"/>
    </row>
    <row r="283">
      <c r="A283" s="71"/>
      <c r="B283" s="61"/>
      <c r="C283" s="71"/>
      <c r="D283" s="71"/>
      <c r="E283" s="71"/>
      <c r="F283" s="71"/>
      <c r="G283" s="71"/>
    </row>
    <row r="284">
      <c r="A284" s="71"/>
      <c r="B284" s="61"/>
      <c r="C284" s="71"/>
      <c r="D284" s="71"/>
      <c r="E284" s="71"/>
      <c r="F284" s="71"/>
      <c r="G284" s="71"/>
    </row>
    <row r="285">
      <c r="A285" s="71"/>
      <c r="B285" s="61"/>
      <c r="C285" s="71"/>
      <c r="D285" s="71"/>
      <c r="E285" s="71"/>
      <c r="F285" s="71"/>
      <c r="G285" s="71"/>
    </row>
    <row r="286">
      <c r="A286" s="71"/>
      <c r="B286" s="61"/>
      <c r="C286" s="71"/>
      <c r="D286" s="71"/>
      <c r="E286" s="71"/>
      <c r="F286" s="71"/>
      <c r="G286" s="71"/>
    </row>
    <row r="287">
      <c r="A287" s="71"/>
      <c r="B287" s="61"/>
      <c r="C287" s="71"/>
      <c r="D287" s="71"/>
      <c r="E287" s="71"/>
      <c r="F287" s="71"/>
      <c r="G287" s="71"/>
    </row>
    <row r="288">
      <c r="A288" s="71"/>
      <c r="B288" s="61"/>
      <c r="C288" s="71"/>
      <c r="D288" s="71"/>
      <c r="E288" s="71"/>
      <c r="F288" s="71"/>
      <c r="G288" s="71"/>
    </row>
    <row r="289">
      <c r="A289" s="71"/>
      <c r="B289" s="61"/>
      <c r="C289" s="71"/>
      <c r="D289" s="71"/>
      <c r="E289" s="71"/>
      <c r="F289" s="71"/>
      <c r="G289" s="71"/>
    </row>
    <row r="290">
      <c r="A290" s="71"/>
      <c r="B290" s="61"/>
      <c r="C290" s="71"/>
      <c r="D290" s="71"/>
      <c r="E290" s="71"/>
      <c r="F290" s="71"/>
      <c r="G290" s="71"/>
    </row>
    <row r="291">
      <c r="A291" s="71"/>
      <c r="B291" s="61"/>
      <c r="C291" s="71"/>
      <c r="D291" s="71"/>
      <c r="E291" s="71"/>
      <c r="F291" s="71"/>
      <c r="G291" s="71"/>
    </row>
    <row r="292">
      <c r="A292" s="71"/>
      <c r="B292" s="61"/>
      <c r="C292" s="71"/>
      <c r="D292" s="71"/>
      <c r="E292" s="71"/>
      <c r="F292" s="71"/>
      <c r="G292" s="71"/>
    </row>
    <row r="293">
      <c r="A293" s="71"/>
      <c r="B293" s="61"/>
      <c r="C293" s="71"/>
      <c r="D293" s="71"/>
      <c r="E293" s="71"/>
      <c r="F293" s="71"/>
      <c r="G293" s="71"/>
    </row>
    <row r="294">
      <c r="A294" s="71"/>
      <c r="B294" s="61"/>
      <c r="C294" s="71"/>
      <c r="D294" s="71"/>
      <c r="E294" s="71"/>
      <c r="F294" s="71"/>
      <c r="G294" s="71"/>
    </row>
    <row r="295">
      <c r="A295" s="71"/>
      <c r="B295" s="61"/>
      <c r="C295" s="71"/>
      <c r="D295" s="71"/>
      <c r="E295" s="71"/>
      <c r="F295" s="71"/>
      <c r="G295" s="71"/>
    </row>
    <row r="296">
      <c r="A296" s="71"/>
      <c r="B296" s="61"/>
      <c r="C296" s="71"/>
      <c r="D296" s="71"/>
      <c r="E296" s="71"/>
      <c r="F296" s="71"/>
      <c r="G296" s="71"/>
    </row>
    <row r="297">
      <c r="A297" s="71"/>
      <c r="B297" s="61"/>
      <c r="C297" s="71"/>
      <c r="D297" s="71"/>
      <c r="E297" s="71"/>
      <c r="F297" s="71"/>
      <c r="G297" s="71"/>
    </row>
    <row r="298">
      <c r="A298" s="71"/>
      <c r="B298" s="61"/>
      <c r="C298" s="71"/>
      <c r="D298" s="71"/>
      <c r="E298" s="71"/>
      <c r="F298" s="71"/>
      <c r="G298" s="71"/>
    </row>
    <row r="299">
      <c r="A299" s="71"/>
      <c r="B299" s="61"/>
      <c r="C299" s="71"/>
      <c r="D299" s="71"/>
      <c r="E299" s="71"/>
      <c r="F299" s="71"/>
      <c r="G299" s="71"/>
    </row>
    <row r="300">
      <c r="A300" s="71"/>
      <c r="B300" s="61"/>
      <c r="C300" s="71"/>
      <c r="D300" s="71"/>
      <c r="E300" s="71"/>
      <c r="F300" s="71"/>
      <c r="G300" s="71"/>
    </row>
    <row r="301">
      <c r="A301" s="71"/>
      <c r="B301" s="61"/>
      <c r="C301" s="71"/>
      <c r="D301" s="71"/>
      <c r="E301" s="71"/>
      <c r="F301" s="71"/>
      <c r="G301" s="71"/>
    </row>
    <row r="302">
      <c r="A302" s="71"/>
      <c r="B302" s="61"/>
      <c r="C302" s="71"/>
      <c r="D302" s="71"/>
      <c r="E302" s="71"/>
      <c r="F302" s="71"/>
      <c r="G302" s="71"/>
    </row>
    <row r="303">
      <c r="A303" s="71"/>
      <c r="B303" s="61"/>
      <c r="C303" s="71"/>
      <c r="D303" s="71"/>
      <c r="E303" s="71"/>
      <c r="F303" s="71"/>
      <c r="G303" s="71"/>
    </row>
    <row r="304">
      <c r="A304" s="71"/>
      <c r="B304" s="61"/>
      <c r="C304" s="71"/>
      <c r="D304" s="71"/>
      <c r="E304" s="71"/>
      <c r="F304" s="71"/>
      <c r="G304" s="71"/>
    </row>
    <row r="305">
      <c r="A305" s="71"/>
      <c r="B305" s="61"/>
      <c r="C305" s="71"/>
      <c r="D305" s="71"/>
      <c r="E305" s="71"/>
      <c r="F305" s="71"/>
      <c r="G305" s="71"/>
    </row>
    <row r="306">
      <c r="A306" s="71"/>
      <c r="B306" s="61"/>
      <c r="C306" s="71"/>
      <c r="D306" s="71"/>
      <c r="E306" s="71"/>
      <c r="F306" s="71"/>
      <c r="G306" s="71"/>
    </row>
    <row r="307">
      <c r="A307" s="71"/>
      <c r="B307" s="61"/>
      <c r="C307" s="71"/>
      <c r="D307" s="71"/>
      <c r="E307" s="71"/>
      <c r="F307" s="71"/>
      <c r="G307" s="71"/>
    </row>
    <row r="308">
      <c r="A308" s="71"/>
      <c r="B308" s="61"/>
      <c r="C308" s="71"/>
      <c r="D308" s="71"/>
      <c r="E308" s="71"/>
      <c r="F308" s="71"/>
      <c r="G308" s="71"/>
    </row>
    <row r="309">
      <c r="A309" s="71"/>
      <c r="B309" s="61"/>
      <c r="C309" s="71"/>
      <c r="D309" s="71"/>
      <c r="E309" s="71"/>
      <c r="F309" s="71"/>
      <c r="G309" s="71"/>
    </row>
    <row r="310">
      <c r="A310" s="71"/>
      <c r="B310" s="61"/>
      <c r="C310" s="71"/>
      <c r="D310" s="71"/>
      <c r="E310" s="71"/>
      <c r="F310" s="71"/>
      <c r="G310" s="71"/>
    </row>
    <row r="311">
      <c r="A311" s="71"/>
      <c r="B311" s="61"/>
      <c r="C311" s="71"/>
      <c r="D311" s="71"/>
      <c r="E311" s="71"/>
      <c r="F311" s="71"/>
      <c r="G311" s="71"/>
    </row>
    <row r="312">
      <c r="A312" s="71"/>
      <c r="B312" s="61"/>
      <c r="C312" s="71"/>
      <c r="D312" s="71"/>
      <c r="E312" s="71"/>
      <c r="F312" s="71"/>
      <c r="G312" s="71"/>
    </row>
    <row r="313">
      <c r="A313" s="71"/>
      <c r="B313" s="61"/>
      <c r="C313" s="71"/>
      <c r="D313" s="71"/>
      <c r="E313" s="71"/>
      <c r="F313" s="71"/>
      <c r="G313" s="71"/>
    </row>
    <row r="314">
      <c r="A314" s="71"/>
      <c r="B314" s="61"/>
      <c r="C314" s="71"/>
      <c r="D314" s="71"/>
      <c r="E314" s="71"/>
      <c r="F314" s="71"/>
      <c r="G314" s="71"/>
    </row>
    <row r="315">
      <c r="A315" s="71"/>
      <c r="B315" s="61"/>
      <c r="C315" s="71"/>
      <c r="D315" s="71"/>
      <c r="E315" s="71"/>
      <c r="F315" s="71"/>
      <c r="G315" s="71"/>
    </row>
    <row r="316">
      <c r="A316" s="71"/>
      <c r="B316" s="61"/>
      <c r="C316" s="71"/>
      <c r="D316" s="71"/>
      <c r="E316" s="71"/>
      <c r="F316" s="71"/>
      <c r="G316" s="71"/>
    </row>
    <row r="317">
      <c r="A317" s="71"/>
      <c r="B317" s="61"/>
      <c r="C317" s="71"/>
      <c r="D317" s="71"/>
      <c r="E317" s="71"/>
      <c r="F317" s="71"/>
      <c r="G317" s="71"/>
    </row>
    <row r="318">
      <c r="A318" s="71"/>
      <c r="B318" s="61"/>
      <c r="C318" s="71"/>
      <c r="D318" s="71"/>
      <c r="E318" s="71"/>
      <c r="F318" s="71"/>
      <c r="G318" s="71"/>
    </row>
    <row r="319">
      <c r="A319" s="71"/>
      <c r="B319" s="61"/>
      <c r="C319" s="71"/>
      <c r="D319" s="71"/>
      <c r="E319" s="71"/>
      <c r="F319" s="71"/>
      <c r="G319" s="71"/>
    </row>
    <row r="320">
      <c r="A320" s="71"/>
      <c r="B320" s="61"/>
      <c r="C320" s="71"/>
      <c r="D320" s="71"/>
      <c r="E320" s="71"/>
      <c r="F320" s="71"/>
      <c r="G320" s="71"/>
    </row>
    <row r="321">
      <c r="A321" s="71"/>
      <c r="B321" s="61"/>
      <c r="C321" s="71"/>
      <c r="D321" s="71"/>
      <c r="E321" s="71"/>
      <c r="F321" s="71"/>
      <c r="G321" s="71"/>
    </row>
    <row r="322">
      <c r="A322" s="71"/>
      <c r="B322" s="61"/>
      <c r="C322" s="71"/>
      <c r="D322" s="71"/>
      <c r="E322" s="71"/>
      <c r="F322" s="71"/>
      <c r="G322" s="71"/>
    </row>
    <row r="323">
      <c r="A323" s="71"/>
      <c r="B323" s="61"/>
      <c r="C323" s="71"/>
      <c r="D323" s="71"/>
      <c r="E323" s="71"/>
      <c r="F323" s="71"/>
      <c r="G323" s="71"/>
    </row>
    <row r="324">
      <c r="A324" s="71"/>
      <c r="B324" s="61"/>
      <c r="C324" s="71"/>
      <c r="D324" s="71"/>
      <c r="E324" s="71"/>
      <c r="F324" s="71"/>
      <c r="G324" s="71"/>
    </row>
    <row r="325">
      <c r="A325" s="71"/>
      <c r="B325" s="61"/>
      <c r="C325" s="71"/>
      <c r="D325" s="71"/>
      <c r="E325" s="71"/>
      <c r="F325" s="71"/>
      <c r="G325" s="71"/>
    </row>
    <row r="326">
      <c r="A326" s="71"/>
      <c r="B326" s="61"/>
      <c r="C326" s="71"/>
      <c r="D326" s="71"/>
      <c r="E326" s="71"/>
      <c r="F326" s="71"/>
      <c r="G326" s="71"/>
    </row>
    <row r="327">
      <c r="A327" s="71"/>
      <c r="B327" s="61"/>
      <c r="C327" s="71"/>
      <c r="D327" s="71"/>
      <c r="E327" s="71"/>
      <c r="F327" s="71"/>
      <c r="G327" s="71"/>
    </row>
    <row r="328">
      <c r="A328" s="71"/>
      <c r="B328" s="61"/>
      <c r="C328" s="71"/>
      <c r="D328" s="71"/>
      <c r="E328" s="71"/>
      <c r="F328" s="71"/>
      <c r="G328" s="71"/>
    </row>
    <row r="329">
      <c r="A329" s="71"/>
      <c r="B329" s="61"/>
      <c r="C329" s="71"/>
      <c r="D329" s="71"/>
      <c r="E329" s="71"/>
      <c r="F329" s="71"/>
      <c r="G329" s="71"/>
    </row>
    <row r="330">
      <c r="A330" s="71"/>
      <c r="B330" s="61"/>
      <c r="C330" s="71"/>
      <c r="D330" s="71"/>
      <c r="E330" s="71"/>
      <c r="F330" s="71"/>
      <c r="G330" s="71"/>
    </row>
    <row r="331">
      <c r="A331" s="71"/>
      <c r="B331" s="61"/>
      <c r="C331" s="71"/>
      <c r="D331" s="71"/>
      <c r="E331" s="71"/>
      <c r="F331" s="71"/>
      <c r="G331" s="71"/>
    </row>
    <row r="332">
      <c r="A332" s="71"/>
      <c r="B332" s="61"/>
      <c r="C332" s="71"/>
      <c r="D332" s="71"/>
      <c r="E332" s="71"/>
      <c r="F332" s="71"/>
      <c r="G332" s="71"/>
    </row>
    <row r="333">
      <c r="A333" s="71"/>
      <c r="B333" s="61"/>
      <c r="C333" s="71"/>
      <c r="D333" s="71"/>
      <c r="E333" s="71"/>
      <c r="F333" s="71"/>
      <c r="G333" s="71"/>
    </row>
    <row r="334">
      <c r="A334" s="71"/>
      <c r="B334" s="61"/>
      <c r="C334" s="71"/>
      <c r="D334" s="71"/>
      <c r="E334" s="71"/>
      <c r="F334" s="71"/>
      <c r="G334" s="71"/>
    </row>
    <row r="335">
      <c r="A335" s="71"/>
      <c r="B335" s="61"/>
      <c r="C335" s="71"/>
      <c r="D335" s="71"/>
      <c r="E335" s="71"/>
      <c r="F335" s="71"/>
      <c r="G335" s="71"/>
    </row>
    <row r="336">
      <c r="A336" s="71"/>
      <c r="B336" s="61"/>
      <c r="C336" s="71"/>
      <c r="D336" s="71"/>
      <c r="E336" s="71"/>
      <c r="F336" s="71"/>
      <c r="G336" s="71"/>
    </row>
    <row r="337">
      <c r="A337" s="71"/>
      <c r="B337" s="61"/>
      <c r="C337" s="71"/>
      <c r="D337" s="71"/>
      <c r="E337" s="71"/>
      <c r="F337" s="71"/>
      <c r="G337" s="71"/>
    </row>
    <row r="338">
      <c r="A338" s="71"/>
      <c r="B338" s="61"/>
      <c r="C338" s="71"/>
      <c r="D338" s="71"/>
      <c r="E338" s="71"/>
      <c r="F338" s="71"/>
      <c r="G338" s="71"/>
    </row>
    <row r="339">
      <c r="A339" s="71"/>
      <c r="B339" s="61"/>
      <c r="C339" s="71"/>
      <c r="D339" s="71"/>
      <c r="E339" s="71"/>
      <c r="F339" s="71"/>
      <c r="G339" s="71"/>
    </row>
    <row r="340">
      <c r="A340" s="71"/>
      <c r="B340" s="61"/>
      <c r="C340" s="71"/>
      <c r="D340" s="71"/>
      <c r="E340" s="71"/>
      <c r="F340" s="71"/>
      <c r="G340" s="71"/>
    </row>
    <row r="341">
      <c r="A341" s="71"/>
      <c r="B341" s="61"/>
      <c r="C341" s="71"/>
      <c r="D341" s="71"/>
      <c r="E341" s="71"/>
      <c r="F341" s="71"/>
      <c r="G341" s="71"/>
    </row>
    <row r="342">
      <c r="A342" s="71"/>
      <c r="B342" s="61"/>
      <c r="C342" s="71"/>
      <c r="D342" s="71"/>
      <c r="E342" s="71"/>
      <c r="F342" s="71"/>
      <c r="G342" s="71"/>
    </row>
    <row r="343">
      <c r="A343" s="71"/>
      <c r="B343" s="61"/>
      <c r="C343" s="71"/>
      <c r="D343" s="71"/>
      <c r="E343" s="71"/>
      <c r="F343" s="71"/>
      <c r="G343" s="71"/>
    </row>
    <row r="344">
      <c r="A344" s="71"/>
      <c r="B344" s="61"/>
      <c r="C344" s="71"/>
      <c r="D344" s="71"/>
      <c r="E344" s="71"/>
      <c r="F344" s="71"/>
      <c r="G344" s="71"/>
    </row>
    <row r="345">
      <c r="A345" s="71"/>
      <c r="B345" s="61"/>
      <c r="C345" s="71"/>
      <c r="D345" s="71"/>
      <c r="E345" s="71"/>
      <c r="F345" s="71"/>
      <c r="G345" s="71"/>
    </row>
    <row r="346">
      <c r="A346" s="71"/>
      <c r="B346" s="61"/>
      <c r="C346" s="71"/>
      <c r="D346" s="71"/>
      <c r="E346" s="71"/>
      <c r="F346" s="71"/>
      <c r="G346" s="71"/>
    </row>
    <row r="347">
      <c r="A347" s="71"/>
      <c r="B347" s="61"/>
      <c r="C347" s="71"/>
      <c r="D347" s="71"/>
      <c r="E347" s="71"/>
      <c r="F347" s="71"/>
      <c r="G347" s="71"/>
    </row>
    <row r="348">
      <c r="A348" s="71"/>
      <c r="B348" s="61"/>
      <c r="C348" s="71"/>
      <c r="D348" s="71"/>
      <c r="E348" s="71"/>
      <c r="F348" s="71"/>
      <c r="G348" s="71"/>
    </row>
    <row r="349">
      <c r="A349" s="71"/>
      <c r="B349" s="61"/>
      <c r="C349" s="71"/>
      <c r="D349" s="71"/>
      <c r="E349" s="71"/>
      <c r="F349" s="71"/>
      <c r="G349" s="71"/>
    </row>
    <row r="350">
      <c r="A350" s="71"/>
      <c r="B350" s="61"/>
      <c r="C350" s="71"/>
      <c r="D350" s="71"/>
      <c r="E350" s="71"/>
      <c r="F350" s="71"/>
      <c r="G350" s="71"/>
    </row>
    <row r="351">
      <c r="A351" s="71"/>
      <c r="B351" s="61"/>
      <c r="C351" s="71"/>
      <c r="D351" s="71"/>
      <c r="E351" s="71"/>
      <c r="F351" s="71"/>
      <c r="G351" s="71"/>
    </row>
    <row r="352">
      <c r="A352" s="71"/>
      <c r="B352" s="61"/>
      <c r="C352" s="71"/>
      <c r="D352" s="71"/>
      <c r="E352" s="71"/>
      <c r="F352" s="71"/>
      <c r="G352" s="71"/>
    </row>
    <row r="353">
      <c r="A353" s="71"/>
      <c r="B353" s="61"/>
      <c r="C353" s="71"/>
      <c r="D353" s="71"/>
      <c r="E353" s="71"/>
      <c r="F353" s="71"/>
      <c r="G353" s="71"/>
    </row>
    <row r="354">
      <c r="A354" s="71"/>
      <c r="B354" s="61"/>
      <c r="C354" s="71"/>
      <c r="D354" s="71"/>
      <c r="E354" s="71"/>
      <c r="F354" s="71"/>
      <c r="G354" s="71"/>
    </row>
    <row r="355">
      <c r="A355" s="71"/>
      <c r="B355" s="61"/>
      <c r="C355" s="71"/>
      <c r="D355" s="71"/>
      <c r="E355" s="71"/>
      <c r="F355" s="71"/>
      <c r="G355" s="71"/>
    </row>
    <row r="356">
      <c r="A356" s="71"/>
      <c r="B356" s="61"/>
      <c r="C356" s="71"/>
      <c r="D356" s="71"/>
      <c r="E356" s="71"/>
      <c r="F356" s="71"/>
      <c r="G356" s="71"/>
    </row>
    <row r="357">
      <c r="A357" s="71"/>
      <c r="B357" s="61"/>
      <c r="C357" s="71"/>
      <c r="D357" s="71"/>
      <c r="E357" s="71"/>
      <c r="F357" s="71"/>
      <c r="G357" s="71"/>
    </row>
    <row r="358">
      <c r="A358" s="71"/>
      <c r="B358" s="61"/>
      <c r="C358" s="71"/>
      <c r="D358" s="71"/>
      <c r="E358" s="71"/>
      <c r="F358" s="71"/>
      <c r="G358" s="71"/>
    </row>
    <row r="359">
      <c r="A359" s="71"/>
      <c r="B359" s="61"/>
      <c r="C359" s="71"/>
      <c r="D359" s="71"/>
      <c r="E359" s="71"/>
      <c r="F359" s="71"/>
      <c r="G359" s="71"/>
    </row>
    <row r="360">
      <c r="A360" s="71"/>
      <c r="B360" s="61"/>
      <c r="C360" s="71"/>
      <c r="D360" s="71"/>
      <c r="E360" s="71"/>
      <c r="F360" s="71"/>
      <c r="G360" s="71"/>
    </row>
    <row r="361">
      <c r="A361" s="71"/>
      <c r="B361" s="61"/>
      <c r="C361" s="71"/>
      <c r="D361" s="71"/>
      <c r="E361" s="71"/>
      <c r="F361" s="71"/>
      <c r="G361" s="71"/>
    </row>
    <row r="362">
      <c r="A362" s="71"/>
      <c r="B362" s="61"/>
      <c r="C362" s="71"/>
      <c r="D362" s="71"/>
      <c r="E362" s="71"/>
      <c r="F362" s="71"/>
      <c r="G362" s="71"/>
    </row>
    <row r="363">
      <c r="A363" s="71"/>
      <c r="B363" s="61"/>
      <c r="C363" s="71"/>
      <c r="D363" s="71"/>
      <c r="E363" s="71"/>
      <c r="F363" s="71"/>
      <c r="G363" s="71"/>
    </row>
    <row r="364">
      <c r="A364" s="71"/>
      <c r="B364" s="61"/>
      <c r="C364" s="71"/>
      <c r="D364" s="71"/>
      <c r="E364" s="71"/>
      <c r="F364" s="71"/>
      <c r="G364" s="71"/>
    </row>
    <row r="365">
      <c r="A365" s="71"/>
      <c r="B365" s="61"/>
      <c r="C365" s="71"/>
      <c r="D365" s="71"/>
      <c r="E365" s="71"/>
      <c r="F365" s="71"/>
      <c r="G365" s="71"/>
    </row>
    <row r="366">
      <c r="A366" s="71"/>
      <c r="B366" s="61"/>
      <c r="C366" s="71"/>
      <c r="D366" s="71"/>
      <c r="E366" s="71"/>
      <c r="F366" s="71"/>
      <c r="G366" s="71"/>
    </row>
    <row r="367">
      <c r="A367" s="71"/>
      <c r="B367" s="61"/>
      <c r="C367" s="71"/>
      <c r="D367" s="71"/>
      <c r="E367" s="71"/>
      <c r="F367" s="71"/>
      <c r="G367" s="71"/>
    </row>
    <row r="368">
      <c r="A368" s="71"/>
      <c r="B368" s="61"/>
      <c r="C368" s="71"/>
      <c r="D368" s="71"/>
      <c r="E368" s="71"/>
      <c r="F368" s="71"/>
      <c r="G368" s="71"/>
    </row>
    <row r="369">
      <c r="A369" s="71"/>
      <c r="B369" s="61"/>
      <c r="C369" s="71"/>
      <c r="D369" s="71"/>
      <c r="E369" s="71"/>
      <c r="F369" s="71"/>
      <c r="G369" s="71"/>
    </row>
    <row r="370">
      <c r="A370" s="71"/>
      <c r="B370" s="61"/>
      <c r="C370" s="71"/>
      <c r="D370" s="71"/>
      <c r="E370" s="71"/>
      <c r="F370" s="71"/>
      <c r="G370" s="71"/>
    </row>
    <row r="371">
      <c r="A371" s="71"/>
      <c r="B371" s="61"/>
      <c r="C371" s="71"/>
      <c r="D371" s="71"/>
      <c r="E371" s="71"/>
      <c r="F371" s="71"/>
      <c r="G371" s="71"/>
    </row>
    <row r="372">
      <c r="A372" s="71"/>
      <c r="B372" s="61"/>
      <c r="C372" s="71"/>
      <c r="D372" s="71"/>
      <c r="E372" s="71"/>
      <c r="F372" s="71"/>
      <c r="G372" s="71"/>
    </row>
    <row r="373">
      <c r="A373" s="71"/>
      <c r="B373" s="61"/>
      <c r="C373" s="71"/>
      <c r="D373" s="71"/>
      <c r="E373" s="71"/>
      <c r="F373" s="71"/>
      <c r="G373" s="71"/>
    </row>
    <row r="374">
      <c r="A374" s="71"/>
      <c r="B374" s="61"/>
      <c r="C374" s="71"/>
      <c r="D374" s="71"/>
      <c r="E374" s="71"/>
      <c r="F374" s="71"/>
      <c r="G374" s="71"/>
    </row>
    <row r="375">
      <c r="A375" s="71"/>
      <c r="B375" s="61"/>
      <c r="C375" s="71"/>
      <c r="D375" s="71"/>
      <c r="E375" s="71"/>
      <c r="F375" s="71"/>
      <c r="G375" s="71"/>
    </row>
    <row r="376">
      <c r="A376" s="71"/>
      <c r="B376" s="61"/>
      <c r="C376" s="71"/>
      <c r="D376" s="71"/>
      <c r="E376" s="71"/>
      <c r="F376" s="71"/>
      <c r="G376" s="71"/>
    </row>
    <row r="377">
      <c r="A377" s="71"/>
      <c r="B377" s="61"/>
      <c r="C377" s="71"/>
      <c r="D377" s="71"/>
      <c r="E377" s="71"/>
      <c r="F377" s="71"/>
      <c r="G377" s="71"/>
    </row>
    <row r="378">
      <c r="A378" s="71"/>
      <c r="B378" s="61"/>
      <c r="C378" s="71"/>
      <c r="D378" s="71"/>
      <c r="E378" s="71"/>
      <c r="F378" s="71"/>
      <c r="G378" s="71"/>
    </row>
    <row r="379">
      <c r="A379" s="71"/>
      <c r="B379" s="61"/>
      <c r="C379" s="71"/>
      <c r="D379" s="71"/>
      <c r="E379" s="71"/>
      <c r="F379" s="71"/>
      <c r="G379" s="71"/>
    </row>
    <row r="380">
      <c r="A380" s="71"/>
      <c r="B380" s="61"/>
      <c r="C380" s="71"/>
      <c r="D380" s="71"/>
      <c r="E380" s="71"/>
      <c r="F380" s="71"/>
      <c r="G380" s="71"/>
    </row>
    <row r="381">
      <c r="A381" s="71"/>
      <c r="B381" s="61"/>
      <c r="C381" s="71"/>
      <c r="D381" s="71"/>
      <c r="E381" s="71"/>
      <c r="F381" s="71"/>
      <c r="G381" s="71"/>
    </row>
    <row r="382">
      <c r="A382" s="71"/>
      <c r="B382" s="61"/>
      <c r="C382" s="71"/>
      <c r="D382" s="71"/>
      <c r="E382" s="71"/>
      <c r="F382" s="71"/>
      <c r="G382" s="71"/>
    </row>
    <row r="383">
      <c r="A383" s="71"/>
      <c r="B383" s="61"/>
      <c r="C383" s="71"/>
      <c r="D383" s="71"/>
      <c r="E383" s="71"/>
      <c r="F383" s="71"/>
      <c r="G383" s="71"/>
    </row>
    <row r="384">
      <c r="A384" s="71"/>
      <c r="B384" s="61"/>
      <c r="C384" s="71"/>
      <c r="D384" s="71"/>
      <c r="E384" s="71"/>
      <c r="F384" s="71"/>
      <c r="G384" s="71"/>
    </row>
    <row r="385">
      <c r="A385" s="71"/>
      <c r="B385" s="61"/>
      <c r="C385" s="71"/>
      <c r="D385" s="71"/>
      <c r="E385" s="71"/>
      <c r="F385" s="71"/>
      <c r="G385" s="71"/>
    </row>
    <row r="386">
      <c r="A386" s="71"/>
      <c r="B386" s="61"/>
      <c r="C386" s="71"/>
      <c r="D386" s="71"/>
      <c r="E386" s="71"/>
      <c r="F386" s="71"/>
      <c r="G386" s="71"/>
    </row>
    <row r="387">
      <c r="A387" s="71"/>
      <c r="B387" s="61"/>
      <c r="C387" s="71"/>
      <c r="D387" s="71"/>
      <c r="E387" s="71"/>
      <c r="F387" s="71"/>
      <c r="G387" s="71"/>
    </row>
    <row r="388">
      <c r="A388" s="71"/>
      <c r="B388" s="61"/>
      <c r="C388" s="71"/>
      <c r="D388" s="71"/>
      <c r="E388" s="71"/>
      <c r="F388" s="71"/>
      <c r="G388" s="71"/>
    </row>
    <row r="389">
      <c r="A389" s="71"/>
      <c r="B389" s="61"/>
      <c r="C389" s="71"/>
      <c r="D389" s="71"/>
      <c r="E389" s="71"/>
      <c r="F389" s="71"/>
      <c r="G389" s="71"/>
    </row>
    <row r="390">
      <c r="A390" s="71"/>
      <c r="B390" s="61"/>
      <c r="C390" s="71"/>
      <c r="D390" s="71"/>
      <c r="E390" s="71"/>
      <c r="F390" s="71"/>
      <c r="G390" s="71"/>
    </row>
    <row r="391">
      <c r="A391" s="71"/>
      <c r="B391" s="61"/>
      <c r="C391" s="71"/>
      <c r="D391" s="71"/>
      <c r="E391" s="71"/>
      <c r="F391" s="71"/>
      <c r="G391" s="71"/>
    </row>
    <row r="392">
      <c r="A392" s="71"/>
      <c r="B392" s="61"/>
      <c r="C392" s="71"/>
      <c r="D392" s="71"/>
      <c r="E392" s="71"/>
      <c r="F392" s="71"/>
      <c r="G392" s="71"/>
    </row>
    <row r="393">
      <c r="A393" s="71"/>
      <c r="B393" s="61"/>
      <c r="C393" s="71"/>
      <c r="D393" s="71"/>
      <c r="E393" s="71"/>
      <c r="F393" s="71"/>
      <c r="G393" s="71"/>
    </row>
    <row r="394">
      <c r="A394" s="71"/>
      <c r="B394" s="61"/>
      <c r="C394" s="71"/>
      <c r="D394" s="71"/>
      <c r="E394" s="71"/>
      <c r="F394" s="71"/>
      <c r="G394" s="71"/>
    </row>
    <row r="395">
      <c r="A395" s="71"/>
      <c r="B395" s="61"/>
      <c r="C395" s="71"/>
      <c r="D395" s="71"/>
      <c r="E395" s="71"/>
      <c r="F395" s="71"/>
      <c r="G395" s="71"/>
    </row>
    <row r="396">
      <c r="A396" s="71"/>
      <c r="B396" s="61"/>
      <c r="C396" s="71"/>
      <c r="D396" s="71"/>
      <c r="E396" s="71"/>
      <c r="F396" s="71"/>
      <c r="G396" s="71"/>
    </row>
    <row r="397">
      <c r="A397" s="71"/>
      <c r="B397" s="61"/>
      <c r="C397" s="71"/>
      <c r="D397" s="71"/>
      <c r="E397" s="71"/>
      <c r="F397" s="71"/>
      <c r="G397" s="71"/>
    </row>
    <row r="398">
      <c r="A398" s="71"/>
      <c r="B398" s="61"/>
      <c r="C398" s="71"/>
      <c r="D398" s="71"/>
      <c r="E398" s="71"/>
      <c r="F398" s="71"/>
      <c r="G398" s="71"/>
    </row>
    <row r="399">
      <c r="A399" s="71"/>
      <c r="B399" s="61"/>
      <c r="C399" s="71"/>
      <c r="D399" s="71"/>
      <c r="E399" s="71"/>
      <c r="F399" s="71"/>
      <c r="G399" s="71"/>
    </row>
    <row r="400">
      <c r="A400" s="71"/>
      <c r="B400" s="61"/>
      <c r="C400" s="71"/>
      <c r="D400" s="71"/>
      <c r="E400" s="71"/>
      <c r="F400" s="71"/>
      <c r="G400" s="71"/>
    </row>
    <row r="401">
      <c r="A401" s="71"/>
      <c r="B401" s="61"/>
      <c r="C401" s="71"/>
      <c r="D401" s="71"/>
      <c r="E401" s="71"/>
      <c r="F401" s="71"/>
      <c r="G401" s="71"/>
    </row>
    <row r="402">
      <c r="A402" s="71"/>
      <c r="B402" s="61"/>
      <c r="C402" s="71"/>
      <c r="D402" s="71"/>
      <c r="E402" s="71"/>
      <c r="F402" s="71"/>
      <c r="G402" s="71"/>
    </row>
    <row r="403">
      <c r="A403" s="71"/>
      <c r="B403" s="61"/>
      <c r="C403" s="71"/>
      <c r="D403" s="71"/>
      <c r="E403" s="71"/>
      <c r="F403" s="71"/>
      <c r="G403" s="71"/>
    </row>
    <row r="404">
      <c r="A404" s="71"/>
      <c r="B404" s="61"/>
      <c r="C404" s="71"/>
      <c r="D404" s="71"/>
      <c r="E404" s="71"/>
      <c r="F404" s="71"/>
      <c r="G404" s="71"/>
    </row>
    <row r="405">
      <c r="A405" s="71"/>
      <c r="B405" s="61"/>
      <c r="C405" s="71"/>
      <c r="D405" s="71"/>
      <c r="E405" s="71"/>
      <c r="F405" s="71"/>
      <c r="G405" s="71"/>
    </row>
    <row r="406">
      <c r="A406" s="71"/>
      <c r="B406" s="61"/>
      <c r="C406" s="71"/>
      <c r="D406" s="71"/>
      <c r="E406" s="71"/>
      <c r="F406" s="71"/>
      <c r="G406" s="71"/>
    </row>
    <row r="407">
      <c r="A407" s="71"/>
      <c r="B407" s="61"/>
      <c r="C407" s="71"/>
      <c r="D407" s="71"/>
      <c r="E407" s="71"/>
      <c r="F407" s="71"/>
      <c r="G407" s="71"/>
    </row>
    <row r="408">
      <c r="A408" s="71"/>
      <c r="B408" s="61"/>
      <c r="C408" s="71"/>
      <c r="D408" s="71"/>
      <c r="E408" s="71"/>
      <c r="F408" s="71"/>
      <c r="G408" s="71"/>
    </row>
    <row r="409">
      <c r="A409" s="71"/>
      <c r="B409" s="61"/>
      <c r="C409" s="71"/>
      <c r="D409" s="71"/>
      <c r="E409" s="71"/>
      <c r="F409" s="71"/>
      <c r="G409" s="71"/>
    </row>
    <row r="410">
      <c r="A410" s="71"/>
      <c r="B410" s="61"/>
      <c r="C410" s="71"/>
      <c r="D410" s="71"/>
      <c r="E410" s="71"/>
      <c r="F410" s="71"/>
      <c r="G410" s="71"/>
    </row>
    <row r="411">
      <c r="A411" s="71"/>
      <c r="B411" s="61"/>
      <c r="C411" s="71"/>
      <c r="D411" s="71"/>
      <c r="E411" s="71"/>
      <c r="F411" s="71"/>
      <c r="G411" s="71"/>
    </row>
    <row r="412">
      <c r="A412" s="71"/>
      <c r="B412" s="61"/>
      <c r="C412" s="71"/>
      <c r="D412" s="71"/>
      <c r="E412" s="71"/>
      <c r="F412" s="71"/>
      <c r="G412" s="71"/>
    </row>
    <row r="413">
      <c r="A413" s="71"/>
      <c r="B413" s="61"/>
      <c r="C413" s="71"/>
      <c r="D413" s="71"/>
      <c r="E413" s="71"/>
      <c r="F413" s="71"/>
      <c r="G413" s="71"/>
    </row>
    <row r="414">
      <c r="A414" s="71"/>
      <c r="B414" s="61"/>
      <c r="C414" s="71"/>
      <c r="D414" s="71"/>
      <c r="E414" s="71"/>
      <c r="F414" s="71"/>
      <c r="G414" s="71"/>
    </row>
    <row r="415">
      <c r="A415" s="71"/>
      <c r="B415" s="61"/>
      <c r="C415" s="71"/>
      <c r="D415" s="71"/>
      <c r="E415" s="71"/>
      <c r="F415" s="71"/>
      <c r="G415" s="71"/>
    </row>
    <row r="416">
      <c r="A416" s="71"/>
      <c r="B416" s="61"/>
      <c r="C416" s="71"/>
      <c r="D416" s="71"/>
      <c r="E416" s="71"/>
      <c r="F416" s="71"/>
      <c r="G416" s="71"/>
    </row>
    <row r="417">
      <c r="A417" s="71"/>
      <c r="B417" s="61"/>
      <c r="C417" s="71"/>
      <c r="D417" s="71"/>
      <c r="E417" s="71"/>
      <c r="F417" s="71"/>
      <c r="G417" s="71"/>
    </row>
    <row r="418">
      <c r="A418" s="71"/>
      <c r="B418" s="61"/>
      <c r="C418" s="71"/>
      <c r="D418" s="71"/>
      <c r="E418" s="71"/>
      <c r="F418" s="71"/>
      <c r="G418" s="71"/>
    </row>
    <row r="419">
      <c r="A419" s="71"/>
      <c r="B419" s="61"/>
      <c r="C419" s="71"/>
      <c r="D419" s="71"/>
      <c r="E419" s="71"/>
      <c r="F419" s="71"/>
      <c r="G419" s="71"/>
    </row>
    <row r="420">
      <c r="A420" s="71"/>
      <c r="B420" s="61"/>
      <c r="C420" s="71"/>
      <c r="D420" s="71"/>
      <c r="E420" s="71"/>
      <c r="F420" s="71"/>
      <c r="G420" s="71"/>
    </row>
    <row r="421">
      <c r="A421" s="71"/>
      <c r="B421" s="61"/>
      <c r="C421" s="71"/>
      <c r="D421" s="71"/>
      <c r="E421" s="71"/>
      <c r="F421" s="71"/>
      <c r="G421" s="71"/>
    </row>
    <row r="422">
      <c r="A422" s="71"/>
      <c r="B422" s="61"/>
      <c r="C422" s="71"/>
      <c r="D422" s="71"/>
      <c r="E422" s="71"/>
      <c r="F422" s="71"/>
      <c r="G422" s="71"/>
    </row>
    <row r="423">
      <c r="A423" s="71"/>
      <c r="B423" s="61"/>
      <c r="C423" s="71"/>
      <c r="D423" s="71"/>
      <c r="E423" s="71"/>
      <c r="F423" s="71"/>
      <c r="G423" s="71"/>
    </row>
    <row r="424">
      <c r="A424" s="71"/>
      <c r="B424" s="61"/>
      <c r="C424" s="71"/>
      <c r="D424" s="71"/>
      <c r="E424" s="71"/>
      <c r="F424" s="71"/>
      <c r="G424" s="71"/>
    </row>
    <row r="425">
      <c r="A425" s="71"/>
      <c r="B425" s="61"/>
      <c r="C425" s="71"/>
      <c r="D425" s="71"/>
      <c r="E425" s="71"/>
      <c r="F425" s="71"/>
      <c r="G425" s="71"/>
    </row>
    <row r="426">
      <c r="A426" s="71"/>
      <c r="B426" s="61"/>
      <c r="C426" s="71"/>
      <c r="D426" s="71"/>
      <c r="E426" s="71"/>
      <c r="F426" s="71"/>
      <c r="G426" s="71"/>
    </row>
    <row r="427">
      <c r="A427" s="71"/>
      <c r="B427" s="61"/>
      <c r="C427" s="71"/>
      <c r="D427" s="71"/>
      <c r="E427" s="71"/>
      <c r="F427" s="71"/>
      <c r="G427" s="71"/>
    </row>
    <row r="428">
      <c r="A428" s="71"/>
      <c r="B428" s="61"/>
      <c r="C428" s="71"/>
      <c r="D428" s="71"/>
      <c r="E428" s="71"/>
      <c r="F428" s="71"/>
      <c r="G428" s="71"/>
    </row>
    <row r="429">
      <c r="A429" s="71"/>
      <c r="B429" s="61"/>
      <c r="C429" s="71"/>
      <c r="D429" s="71"/>
      <c r="E429" s="71"/>
      <c r="F429" s="71"/>
      <c r="G429" s="71"/>
    </row>
    <row r="430">
      <c r="A430" s="71"/>
      <c r="B430" s="61"/>
      <c r="C430" s="71"/>
      <c r="D430" s="71"/>
      <c r="E430" s="71"/>
      <c r="F430" s="71"/>
      <c r="G430" s="71"/>
    </row>
    <row r="431">
      <c r="A431" s="71"/>
      <c r="B431" s="61"/>
      <c r="C431" s="71"/>
      <c r="D431" s="71"/>
      <c r="E431" s="71"/>
      <c r="F431" s="71"/>
      <c r="G431" s="71"/>
    </row>
    <row r="432">
      <c r="A432" s="71"/>
      <c r="B432" s="61"/>
      <c r="C432" s="71"/>
      <c r="D432" s="71"/>
      <c r="E432" s="71"/>
      <c r="F432" s="71"/>
      <c r="G432" s="71"/>
    </row>
    <row r="433">
      <c r="A433" s="71"/>
      <c r="B433" s="61"/>
      <c r="C433" s="71"/>
      <c r="D433" s="71"/>
      <c r="E433" s="71"/>
      <c r="F433" s="71"/>
      <c r="G433" s="71"/>
    </row>
    <row r="434">
      <c r="A434" s="71"/>
      <c r="B434" s="61"/>
      <c r="C434" s="71"/>
      <c r="D434" s="71"/>
      <c r="E434" s="71"/>
      <c r="F434" s="71"/>
      <c r="G434" s="71"/>
    </row>
    <row r="435">
      <c r="A435" s="71"/>
      <c r="B435" s="61"/>
      <c r="C435" s="71"/>
      <c r="D435" s="71"/>
      <c r="E435" s="71"/>
      <c r="F435" s="71"/>
      <c r="G435" s="71"/>
    </row>
    <row r="436">
      <c r="A436" s="71"/>
      <c r="B436" s="61"/>
      <c r="C436" s="71"/>
      <c r="D436" s="71"/>
      <c r="E436" s="71"/>
      <c r="F436" s="71"/>
      <c r="G436" s="71"/>
    </row>
    <row r="437">
      <c r="A437" s="71"/>
      <c r="B437" s="61"/>
      <c r="C437" s="71"/>
      <c r="D437" s="71"/>
      <c r="E437" s="71"/>
      <c r="F437" s="71"/>
      <c r="G437" s="71"/>
    </row>
    <row r="438">
      <c r="A438" s="71"/>
      <c r="B438" s="61"/>
      <c r="C438" s="71"/>
      <c r="D438" s="71"/>
      <c r="E438" s="71"/>
      <c r="F438" s="71"/>
      <c r="G438" s="71"/>
    </row>
    <row r="439">
      <c r="A439" s="71"/>
      <c r="B439" s="61"/>
      <c r="C439" s="71"/>
      <c r="D439" s="71"/>
      <c r="E439" s="71"/>
      <c r="F439" s="71"/>
      <c r="G439" s="71"/>
    </row>
    <row r="440">
      <c r="A440" s="71"/>
      <c r="B440" s="61"/>
      <c r="C440" s="71"/>
      <c r="D440" s="71"/>
      <c r="E440" s="71"/>
      <c r="F440" s="71"/>
      <c r="G440" s="71"/>
    </row>
    <row r="441">
      <c r="A441" s="71"/>
      <c r="B441" s="61"/>
      <c r="C441" s="71"/>
      <c r="D441" s="71"/>
      <c r="E441" s="71"/>
      <c r="F441" s="71"/>
      <c r="G441" s="71"/>
    </row>
    <row r="442">
      <c r="A442" s="71"/>
      <c r="B442" s="61"/>
      <c r="C442" s="71"/>
      <c r="D442" s="71"/>
      <c r="E442" s="71"/>
      <c r="F442" s="71"/>
      <c r="G442" s="71"/>
    </row>
    <row r="443">
      <c r="A443" s="71"/>
      <c r="B443" s="61"/>
      <c r="C443" s="71"/>
      <c r="D443" s="71"/>
      <c r="E443" s="71"/>
      <c r="F443" s="71"/>
      <c r="G443" s="71"/>
    </row>
    <row r="444">
      <c r="A444" s="71"/>
      <c r="B444" s="61"/>
      <c r="C444" s="71"/>
      <c r="D444" s="71"/>
      <c r="E444" s="71"/>
      <c r="F444" s="71"/>
      <c r="G444" s="71"/>
    </row>
    <row r="445">
      <c r="A445" s="71"/>
      <c r="B445" s="61"/>
      <c r="C445" s="71"/>
      <c r="D445" s="71"/>
      <c r="E445" s="71"/>
      <c r="F445" s="71"/>
      <c r="G445" s="71"/>
    </row>
    <row r="446">
      <c r="A446" s="71"/>
      <c r="B446" s="61"/>
      <c r="C446" s="71"/>
      <c r="D446" s="71"/>
      <c r="E446" s="71"/>
      <c r="F446" s="71"/>
      <c r="G446" s="71"/>
    </row>
    <row r="447">
      <c r="A447" s="71"/>
      <c r="B447" s="61"/>
      <c r="C447" s="71"/>
      <c r="D447" s="71"/>
      <c r="E447" s="71"/>
      <c r="F447" s="71"/>
      <c r="G447" s="71"/>
    </row>
    <row r="448">
      <c r="A448" s="71"/>
      <c r="B448" s="61"/>
      <c r="C448" s="71"/>
      <c r="D448" s="71"/>
      <c r="E448" s="71"/>
      <c r="F448" s="71"/>
      <c r="G448" s="71"/>
    </row>
    <row r="449">
      <c r="A449" s="71"/>
      <c r="B449" s="61"/>
      <c r="C449" s="71"/>
      <c r="D449" s="71"/>
      <c r="E449" s="71"/>
      <c r="F449" s="71"/>
      <c r="G449" s="71"/>
    </row>
    <row r="450">
      <c r="A450" s="71"/>
      <c r="B450" s="61"/>
      <c r="C450" s="71"/>
      <c r="D450" s="71"/>
      <c r="E450" s="71"/>
      <c r="F450" s="71"/>
      <c r="G450" s="71"/>
    </row>
    <row r="451">
      <c r="A451" s="71"/>
      <c r="B451" s="61"/>
      <c r="C451" s="71"/>
      <c r="D451" s="71"/>
      <c r="E451" s="71"/>
      <c r="F451" s="71"/>
      <c r="G451" s="71"/>
    </row>
    <row r="452">
      <c r="A452" s="71"/>
      <c r="B452" s="61"/>
      <c r="C452" s="71"/>
      <c r="D452" s="71"/>
      <c r="E452" s="71"/>
      <c r="F452" s="71"/>
      <c r="G452" s="71"/>
    </row>
    <row r="453">
      <c r="A453" s="71"/>
      <c r="B453" s="61"/>
      <c r="C453" s="71"/>
      <c r="D453" s="71"/>
      <c r="E453" s="71"/>
      <c r="F453" s="71"/>
      <c r="G453" s="71"/>
    </row>
    <row r="454">
      <c r="A454" s="71"/>
      <c r="B454" s="61"/>
      <c r="C454" s="71"/>
      <c r="D454" s="71"/>
      <c r="E454" s="71"/>
      <c r="F454" s="71"/>
      <c r="G454" s="71"/>
    </row>
    <row r="455">
      <c r="A455" s="71"/>
      <c r="B455" s="61"/>
      <c r="C455" s="71"/>
      <c r="D455" s="71"/>
      <c r="E455" s="71"/>
      <c r="F455" s="71"/>
      <c r="G455" s="71"/>
    </row>
    <row r="456">
      <c r="A456" s="71"/>
      <c r="B456" s="61"/>
      <c r="C456" s="71"/>
      <c r="D456" s="71"/>
      <c r="E456" s="71"/>
      <c r="F456" s="71"/>
      <c r="G456" s="71"/>
    </row>
    <row r="457">
      <c r="A457" s="71"/>
      <c r="B457" s="61"/>
      <c r="C457" s="71"/>
      <c r="D457" s="71"/>
      <c r="E457" s="71"/>
      <c r="F457" s="71"/>
      <c r="G457" s="71"/>
    </row>
    <row r="458">
      <c r="A458" s="71"/>
      <c r="B458" s="61"/>
      <c r="C458" s="71"/>
      <c r="D458" s="71"/>
      <c r="E458" s="71"/>
      <c r="F458" s="71"/>
      <c r="G458" s="71"/>
    </row>
    <row r="459">
      <c r="A459" s="71"/>
      <c r="B459" s="61"/>
      <c r="C459" s="71"/>
      <c r="D459" s="71"/>
      <c r="E459" s="71"/>
      <c r="F459" s="71"/>
      <c r="G459" s="71"/>
    </row>
    <row r="460">
      <c r="A460" s="71"/>
      <c r="B460" s="61"/>
      <c r="C460" s="71"/>
      <c r="D460" s="71"/>
      <c r="E460" s="71"/>
      <c r="F460" s="71"/>
      <c r="G460" s="71"/>
    </row>
    <row r="461">
      <c r="A461" s="71"/>
      <c r="B461" s="61"/>
      <c r="C461" s="71"/>
      <c r="D461" s="71"/>
      <c r="E461" s="71"/>
      <c r="F461" s="71"/>
      <c r="G461" s="71"/>
    </row>
    <row r="462">
      <c r="A462" s="71"/>
      <c r="B462" s="61"/>
      <c r="C462" s="71"/>
      <c r="D462" s="71"/>
      <c r="E462" s="71"/>
      <c r="F462" s="71"/>
      <c r="G462" s="71"/>
    </row>
    <row r="463">
      <c r="A463" s="71"/>
      <c r="B463" s="61"/>
      <c r="C463" s="71"/>
      <c r="D463" s="71"/>
      <c r="E463" s="71"/>
      <c r="F463" s="71"/>
      <c r="G463" s="71"/>
    </row>
    <row r="464">
      <c r="A464" s="71"/>
      <c r="B464" s="61"/>
      <c r="C464" s="71"/>
      <c r="D464" s="71"/>
      <c r="E464" s="71"/>
      <c r="F464" s="71"/>
      <c r="G464" s="71"/>
    </row>
    <row r="465">
      <c r="A465" s="71"/>
      <c r="B465" s="61"/>
      <c r="C465" s="71"/>
      <c r="D465" s="71"/>
      <c r="E465" s="71"/>
      <c r="F465" s="71"/>
      <c r="G465" s="71"/>
    </row>
    <row r="466">
      <c r="A466" s="71"/>
      <c r="B466" s="61"/>
      <c r="C466" s="71"/>
      <c r="D466" s="71"/>
      <c r="E466" s="71"/>
      <c r="F466" s="71"/>
      <c r="G466" s="71"/>
    </row>
    <row r="467">
      <c r="A467" s="71"/>
      <c r="B467" s="61"/>
      <c r="C467" s="71"/>
      <c r="D467" s="71"/>
      <c r="E467" s="71"/>
      <c r="F467" s="71"/>
      <c r="G467" s="71"/>
    </row>
    <row r="468">
      <c r="A468" s="71"/>
      <c r="B468" s="61"/>
      <c r="C468" s="71"/>
      <c r="D468" s="71"/>
      <c r="E468" s="71"/>
      <c r="F468" s="71"/>
      <c r="G468" s="71"/>
    </row>
    <row r="469">
      <c r="A469" s="71"/>
      <c r="B469" s="61"/>
      <c r="C469" s="71"/>
      <c r="D469" s="71"/>
      <c r="E469" s="71"/>
      <c r="F469" s="71"/>
      <c r="G469" s="71"/>
    </row>
    <row r="470">
      <c r="A470" s="71"/>
      <c r="B470" s="61"/>
      <c r="C470" s="71"/>
      <c r="D470" s="71"/>
      <c r="E470" s="71"/>
      <c r="F470" s="71"/>
      <c r="G470" s="71"/>
    </row>
    <row r="471">
      <c r="A471" s="71"/>
      <c r="B471" s="61"/>
      <c r="C471" s="71"/>
      <c r="D471" s="71"/>
      <c r="E471" s="71"/>
      <c r="F471" s="71"/>
      <c r="G471" s="71"/>
    </row>
    <row r="472">
      <c r="A472" s="71"/>
      <c r="B472" s="61"/>
      <c r="C472" s="71"/>
      <c r="D472" s="71"/>
      <c r="E472" s="71"/>
      <c r="F472" s="71"/>
      <c r="G472" s="71"/>
    </row>
    <row r="473">
      <c r="A473" s="71"/>
      <c r="B473" s="61"/>
      <c r="C473" s="71"/>
      <c r="D473" s="71"/>
      <c r="E473" s="71"/>
      <c r="F473" s="71"/>
      <c r="G473" s="71"/>
    </row>
    <row r="474">
      <c r="A474" s="71"/>
      <c r="B474" s="61"/>
      <c r="C474" s="71"/>
      <c r="D474" s="71"/>
      <c r="E474" s="71"/>
      <c r="F474" s="71"/>
      <c r="G474" s="71"/>
    </row>
    <row r="475">
      <c r="A475" s="71"/>
      <c r="B475" s="61"/>
      <c r="C475" s="71"/>
      <c r="D475" s="71"/>
      <c r="E475" s="71"/>
      <c r="F475" s="71"/>
      <c r="G475" s="71"/>
    </row>
    <row r="476">
      <c r="A476" s="71"/>
      <c r="B476" s="61"/>
      <c r="C476" s="71"/>
      <c r="D476" s="71"/>
      <c r="E476" s="71"/>
      <c r="F476" s="71"/>
      <c r="G476" s="71"/>
    </row>
    <row r="477">
      <c r="A477" s="71"/>
      <c r="B477" s="61"/>
      <c r="C477" s="71"/>
      <c r="D477" s="71"/>
      <c r="E477" s="71"/>
      <c r="F477" s="71"/>
      <c r="G477" s="71"/>
    </row>
    <row r="478">
      <c r="A478" s="71"/>
      <c r="B478" s="61"/>
      <c r="C478" s="71"/>
      <c r="D478" s="71"/>
      <c r="E478" s="71"/>
      <c r="F478" s="71"/>
      <c r="G478" s="71"/>
    </row>
    <row r="479">
      <c r="A479" s="71"/>
      <c r="B479" s="61"/>
      <c r="C479" s="71"/>
      <c r="D479" s="71"/>
      <c r="E479" s="71"/>
      <c r="F479" s="71"/>
      <c r="G479" s="71"/>
    </row>
    <row r="480">
      <c r="A480" s="71"/>
      <c r="B480" s="61"/>
      <c r="C480" s="71"/>
      <c r="D480" s="71"/>
      <c r="E480" s="71"/>
      <c r="F480" s="71"/>
      <c r="G480" s="71"/>
    </row>
    <row r="481">
      <c r="A481" s="71"/>
      <c r="B481" s="61"/>
      <c r="C481" s="71"/>
      <c r="D481" s="71"/>
      <c r="E481" s="71"/>
      <c r="F481" s="71"/>
      <c r="G481" s="71"/>
    </row>
    <row r="482">
      <c r="A482" s="71"/>
      <c r="B482" s="61"/>
      <c r="C482" s="71"/>
      <c r="D482" s="71"/>
      <c r="E482" s="71"/>
      <c r="F482" s="71"/>
      <c r="G482" s="71"/>
    </row>
    <row r="483">
      <c r="A483" s="71"/>
      <c r="B483" s="61"/>
      <c r="C483" s="71"/>
      <c r="D483" s="71"/>
      <c r="E483" s="71"/>
      <c r="F483" s="71"/>
      <c r="G483" s="71"/>
    </row>
    <row r="484">
      <c r="A484" s="71"/>
      <c r="B484" s="61"/>
      <c r="C484" s="71"/>
      <c r="D484" s="71"/>
      <c r="E484" s="71"/>
      <c r="F484" s="71"/>
      <c r="G484" s="71"/>
    </row>
    <row r="485">
      <c r="A485" s="71"/>
      <c r="B485" s="61"/>
      <c r="C485" s="71"/>
      <c r="D485" s="71"/>
      <c r="E485" s="71"/>
      <c r="F485" s="71"/>
      <c r="G485" s="71"/>
    </row>
    <row r="486">
      <c r="A486" s="71"/>
      <c r="B486" s="61"/>
      <c r="C486" s="71"/>
      <c r="D486" s="71"/>
      <c r="E486" s="71"/>
      <c r="F486" s="71"/>
      <c r="G486" s="71"/>
    </row>
    <row r="487">
      <c r="A487" s="71"/>
      <c r="B487" s="61"/>
      <c r="C487" s="71"/>
      <c r="D487" s="71"/>
      <c r="E487" s="71"/>
      <c r="F487" s="71"/>
      <c r="G487" s="71"/>
    </row>
    <row r="488">
      <c r="A488" s="71"/>
      <c r="B488" s="61"/>
      <c r="C488" s="71"/>
      <c r="D488" s="71"/>
      <c r="E488" s="71"/>
      <c r="F488" s="71"/>
      <c r="G488" s="71"/>
    </row>
    <row r="489">
      <c r="A489" s="71"/>
      <c r="B489" s="61"/>
      <c r="C489" s="71"/>
      <c r="D489" s="71"/>
      <c r="E489" s="71"/>
      <c r="F489" s="71"/>
      <c r="G489" s="71"/>
    </row>
    <row r="490">
      <c r="A490" s="71"/>
      <c r="B490" s="61"/>
      <c r="C490" s="71"/>
      <c r="D490" s="71"/>
      <c r="E490" s="71"/>
      <c r="F490" s="71"/>
      <c r="G490" s="71"/>
    </row>
    <row r="491">
      <c r="A491" s="71"/>
      <c r="B491" s="61"/>
      <c r="C491" s="71"/>
      <c r="D491" s="71"/>
      <c r="E491" s="71"/>
      <c r="F491" s="71"/>
      <c r="G491" s="71"/>
    </row>
    <row r="492">
      <c r="A492" s="71"/>
      <c r="B492" s="61"/>
      <c r="C492" s="71"/>
      <c r="D492" s="71"/>
      <c r="E492" s="71"/>
      <c r="F492" s="71"/>
      <c r="G492" s="71"/>
    </row>
    <row r="493">
      <c r="A493" s="71"/>
      <c r="B493" s="61"/>
      <c r="C493" s="71"/>
      <c r="D493" s="71"/>
      <c r="E493" s="71"/>
      <c r="F493" s="71"/>
      <c r="G493" s="71"/>
    </row>
    <row r="494">
      <c r="A494" s="71"/>
      <c r="B494" s="61"/>
      <c r="C494" s="71"/>
      <c r="D494" s="71"/>
      <c r="E494" s="71"/>
      <c r="F494" s="71"/>
      <c r="G494" s="71"/>
    </row>
    <row r="495">
      <c r="A495" s="71"/>
      <c r="B495" s="61"/>
      <c r="C495" s="71"/>
      <c r="D495" s="71"/>
      <c r="E495" s="71"/>
      <c r="F495" s="71"/>
      <c r="G495" s="71"/>
    </row>
    <row r="496">
      <c r="A496" s="71"/>
      <c r="B496" s="61"/>
      <c r="C496" s="71"/>
      <c r="D496" s="71"/>
      <c r="E496" s="71"/>
      <c r="F496" s="71"/>
      <c r="G496" s="71"/>
    </row>
    <row r="497">
      <c r="A497" s="71"/>
      <c r="B497" s="61"/>
      <c r="C497" s="71"/>
      <c r="D497" s="71"/>
      <c r="E497" s="71"/>
      <c r="F497" s="71"/>
      <c r="G497" s="71"/>
    </row>
    <row r="498">
      <c r="A498" s="71"/>
      <c r="B498" s="61"/>
      <c r="C498" s="71"/>
      <c r="D498" s="71"/>
      <c r="E498" s="71"/>
      <c r="F498" s="71"/>
      <c r="G498" s="71"/>
    </row>
    <row r="499">
      <c r="A499" s="71"/>
      <c r="B499" s="61"/>
      <c r="C499" s="71"/>
      <c r="D499" s="71"/>
      <c r="E499" s="71"/>
      <c r="F499" s="71"/>
      <c r="G499" s="71"/>
    </row>
    <row r="500">
      <c r="A500" s="71"/>
      <c r="B500" s="61"/>
      <c r="C500" s="71"/>
      <c r="D500" s="71"/>
      <c r="E500" s="71"/>
      <c r="F500" s="71"/>
      <c r="G500" s="71"/>
    </row>
    <row r="501">
      <c r="A501" s="71"/>
      <c r="B501" s="61"/>
      <c r="C501" s="71"/>
      <c r="D501" s="71"/>
      <c r="E501" s="71"/>
      <c r="F501" s="71"/>
      <c r="G501" s="71"/>
    </row>
    <row r="502">
      <c r="A502" s="71"/>
      <c r="B502" s="61"/>
      <c r="C502" s="71"/>
      <c r="D502" s="71"/>
      <c r="E502" s="71"/>
      <c r="F502" s="71"/>
      <c r="G502" s="71"/>
    </row>
    <row r="503">
      <c r="B503" s="61"/>
    </row>
    <row r="504">
      <c r="B504" s="61"/>
    </row>
    <row r="505">
      <c r="B505" s="61"/>
    </row>
    <row r="506">
      <c r="B506" s="61"/>
    </row>
    <row r="507">
      <c r="B507" s="61"/>
    </row>
    <row r="508">
      <c r="B508" s="61"/>
    </row>
    <row r="509">
      <c r="B509" s="61"/>
    </row>
    <row r="510">
      <c r="B510" s="61"/>
    </row>
    <row r="511">
      <c r="B511" s="61"/>
    </row>
    <row r="512">
      <c r="B512" s="61"/>
    </row>
    <row r="513">
      <c r="B513" s="61"/>
    </row>
    <row r="514">
      <c r="B514" s="61"/>
    </row>
    <row r="515">
      <c r="B515" s="61"/>
    </row>
    <row r="516">
      <c r="B516" s="61"/>
    </row>
    <row r="517">
      <c r="B517" s="61"/>
    </row>
    <row r="518">
      <c r="B518" s="61"/>
    </row>
    <row r="519">
      <c r="B519" s="61"/>
    </row>
    <row r="520">
      <c r="B520" s="61"/>
    </row>
    <row r="521">
      <c r="B521" s="61"/>
    </row>
    <row r="522">
      <c r="B522" s="61"/>
    </row>
    <row r="523">
      <c r="B523" s="61"/>
    </row>
    <row r="524">
      <c r="B524" s="61"/>
    </row>
    <row r="525">
      <c r="B525" s="61"/>
    </row>
    <row r="526">
      <c r="B526" s="61"/>
    </row>
    <row r="527">
      <c r="B527" s="61"/>
    </row>
    <row r="528">
      <c r="B528" s="61"/>
    </row>
    <row r="529">
      <c r="B529" s="61"/>
    </row>
    <row r="530">
      <c r="B530" s="61"/>
    </row>
    <row r="531">
      <c r="B531" s="61"/>
    </row>
    <row r="532">
      <c r="B532" s="61"/>
    </row>
    <row r="533">
      <c r="B533" s="61"/>
    </row>
    <row r="534">
      <c r="B534" s="61"/>
    </row>
    <row r="535">
      <c r="B535" s="61"/>
    </row>
    <row r="536">
      <c r="B536" s="61"/>
    </row>
    <row r="537">
      <c r="B537" s="61"/>
    </row>
    <row r="538">
      <c r="B538" s="61"/>
    </row>
    <row r="539">
      <c r="B539" s="61"/>
    </row>
    <row r="540">
      <c r="B540" s="61"/>
    </row>
    <row r="541">
      <c r="B541" s="61"/>
    </row>
    <row r="542">
      <c r="B542" s="61"/>
    </row>
    <row r="543">
      <c r="B543" s="61"/>
    </row>
    <row r="544">
      <c r="B544" s="61"/>
    </row>
    <row r="545">
      <c r="B545" s="61"/>
    </row>
    <row r="546">
      <c r="B546" s="61"/>
    </row>
    <row r="547">
      <c r="B547" s="61"/>
    </row>
    <row r="548">
      <c r="B548" s="61"/>
    </row>
    <row r="549">
      <c r="B549" s="61"/>
    </row>
    <row r="550">
      <c r="B550" s="61"/>
    </row>
    <row r="551">
      <c r="B551" s="61"/>
    </row>
    <row r="552">
      <c r="B552" s="61"/>
    </row>
    <row r="553">
      <c r="B553" s="61"/>
    </row>
    <row r="554">
      <c r="B554" s="61"/>
    </row>
    <row r="555">
      <c r="B555" s="61"/>
    </row>
    <row r="556">
      <c r="B556" s="61"/>
    </row>
    <row r="557">
      <c r="B557" s="61"/>
    </row>
    <row r="558">
      <c r="B558" s="61"/>
    </row>
    <row r="559">
      <c r="B559" s="61"/>
    </row>
    <row r="560">
      <c r="B560" s="61"/>
    </row>
    <row r="561">
      <c r="B561" s="61"/>
    </row>
    <row r="562">
      <c r="B562" s="61"/>
    </row>
    <row r="563">
      <c r="B563" s="61"/>
    </row>
    <row r="564">
      <c r="B564" s="61"/>
    </row>
    <row r="565">
      <c r="B565" s="61"/>
    </row>
    <row r="566">
      <c r="B566" s="61"/>
    </row>
    <row r="567">
      <c r="B567" s="61"/>
    </row>
    <row r="568">
      <c r="B568" s="61"/>
    </row>
    <row r="569">
      <c r="B569" s="61"/>
    </row>
    <row r="570">
      <c r="B570" s="61"/>
    </row>
    <row r="571">
      <c r="B571" s="61"/>
    </row>
    <row r="572">
      <c r="B572" s="61"/>
    </row>
    <row r="573">
      <c r="B573" s="61"/>
    </row>
    <row r="574">
      <c r="B574" s="61"/>
    </row>
    <row r="575">
      <c r="B575" s="61"/>
    </row>
    <row r="576">
      <c r="B576" s="61"/>
    </row>
    <row r="577">
      <c r="B577" s="61"/>
    </row>
    <row r="578">
      <c r="B578" s="61"/>
    </row>
    <row r="579">
      <c r="B579" s="61"/>
    </row>
    <row r="580">
      <c r="B580" s="61"/>
    </row>
    <row r="581">
      <c r="B581" s="61"/>
    </row>
    <row r="582">
      <c r="B582" s="61"/>
    </row>
    <row r="583">
      <c r="B583" s="61"/>
    </row>
    <row r="584">
      <c r="B584" s="61"/>
    </row>
    <row r="585">
      <c r="B585" s="61"/>
    </row>
    <row r="586">
      <c r="B586" s="61"/>
    </row>
    <row r="587">
      <c r="B587" s="61"/>
    </row>
    <row r="588">
      <c r="B588" s="61"/>
    </row>
    <row r="589">
      <c r="B589" s="61"/>
    </row>
    <row r="590">
      <c r="B590" s="61"/>
    </row>
    <row r="591">
      <c r="B591" s="61"/>
    </row>
    <row r="592">
      <c r="B592" s="61"/>
    </row>
    <row r="593">
      <c r="B593" s="61"/>
    </row>
    <row r="594">
      <c r="B594" s="61"/>
    </row>
    <row r="595">
      <c r="B595" s="61"/>
    </row>
    <row r="596">
      <c r="B596" s="61"/>
    </row>
    <row r="597">
      <c r="B597" s="61"/>
    </row>
    <row r="598">
      <c r="B598" s="61"/>
    </row>
    <row r="599">
      <c r="B599" s="61"/>
    </row>
    <row r="600">
      <c r="B600" s="61"/>
    </row>
    <row r="601">
      <c r="B601" s="61"/>
    </row>
    <row r="602">
      <c r="B602" s="61"/>
    </row>
    <row r="603">
      <c r="B603" s="61"/>
    </row>
    <row r="604">
      <c r="B604" s="61"/>
    </row>
    <row r="605">
      <c r="B605" s="61"/>
    </row>
    <row r="606">
      <c r="B606" s="61"/>
    </row>
    <row r="607">
      <c r="B607" s="61"/>
    </row>
    <row r="608">
      <c r="B608" s="61"/>
    </row>
    <row r="609">
      <c r="B609" s="61"/>
    </row>
    <row r="610">
      <c r="B610" s="61"/>
    </row>
    <row r="611">
      <c r="B611" s="61"/>
    </row>
    <row r="612">
      <c r="B612" s="61"/>
    </row>
    <row r="613">
      <c r="B613" s="61"/>
    </row>
    <row r="614">
      <c r="B614" s="61"/>
    </row>
    <row r="615">
      <c r="B615" s="61"/>
    </row>
    <row r="616">
      <c r="B616" s="61"/>
    </row>
    <row r="617">
      <c r="B617" s="61"/>
    </row>
    <row r="618">
      <c r="B618" s="61"/>
    </row>
    <row r="619">
      <c r="B619" s="61"/>
    </row>
    <row r="620">
      <c r="B620" s="61"/>
    </row>
    <row r="621">
      <c r="B621" s="61"/>
    </row>
    <row r="622">
      <c r="B622" s="61"/>
    </row>
    <row r="623">
      <c r="B623" s="61"/>
    </row>
    <row r="624">
      <c r="B624" s="61"/>
    </row>
    <row r="625">
      <c r="B625" s="61"/>
    </row>
    <row r="626">
      <c r="B626" s="61"/>
    </row>
    <row r="627">
      <c r="B627" s="61"/>
    </row>
    <row r="628">
      <c r="B628" s="61"/>
    </row>
    <row r="629">
      <c r="B629" s="61"/>
    </row>
    <row r="630">
      <c r="B630" s="61"/>
    </row>
    <row r="631">
      <c r="B631" s="61"/>
    </row>
    <row r="632">
      <c r="B632" s="61"/>
    </row>
    <row r="633">
      <c r="B633" s="61"/>
    </row>
    <row r="634">
      <c r="B634" s="61"/>
    </row>
    <row r="635">
      <c r="B635" s="61"/>
    </row>
    <row r="636">
      <c r="B636" s="61"/>
    </row>
    <row r="637">
      <c r="B637" s="61"/>
    </row>
    <row r="638">
      <c r="B638" s="61"/>
    </row>
    <row r="639">
      <c r="B639" s="61"/>
    </row>
    <row r="640">
      <c r="B640" s="61"/>
    </row>
    <row r="641">
      <c r="B641" s="61"/>
    </row>
    <row r="642">
      <c r="B642" s="61"/>
    </row>
    <row r="643">
      <c r="B643" s="61"/>
    </row>
    <row r="644">
      <c r="B644" s="61"/>
    </row>
    <row r="645">
      <c r="B645" s="61"/>
    </row>
    <row r="646">
      <c r="B646" s="61"/>
    </row>
    <row r="647">
      <c r="B647" s="61"/>
    </row>
    <row r="648">
      <c r="B648" s="61"/>
    </row>
    <row r="649">
      <c r="B649" s="61"/>
    </row>
    <row r="650">
      <c r="B650" s="61"/>
    </row>
    <row r="651">
      <c r="B651" s="61"/>
    </row>
    <row r="652">
      <c r="B652" s="61"/>
    </row>
    <row r="653">
      <c r="B653" s="61"/>
    </row>
    <row r="654">
      <c r="B654" s="61"/>
    </row>
    <row r="655">
      <c r="B655" s="61"/>
    </row>
    <row r="656">
      <c r="B656" s="61"/>
    </row>
    <row r="657">
      <c r="B657" s="61"/>
    </row>
    <row r="658">
      <c r="B658" s="61"/>
    </row>
    <row r="659">
      <c r="B659" s="61"/>
    </row>
    <row r="660">
      <c r="B660" s="61"/>
    </row>
    <row r="661">
      <c r="B661" s="61"/>
    </row>
    <row r="662">
      <c r="B662" s="61"/>
    </row>
    <row r="663">
      <c r="B663" s="61"/>
    </row>
    <row r="664">
      <c r="B664" s="61"/>
    </row>
    <row r="665">
      <c r="B665" s="61"/>
    </row>
    <row r="666">
      <c r="B666" s="61"/>
    </row>
    <row r="667">
      <c r="B667" s="61"/>
    </row>
    <row r="668">
      <c r="B668" s="61"/>
    </row>
    <row r="669">
      <c r="B669" s="61"/>
    </row>
    <row r="670">
      <c r="B670" s="61"/>
    </row>
    <row r="671">
      <c r="B671" s="61"/>
    </row>
    <row r="672">
      <c r="B672" s="61"/>
    </row>
    <row r="673">
      <c r="B673" s="61"/>
    </row>
    <row r="674">
      <c r="B674" s="61"/>
    </row>
    <row r="675">
      <c r="B675" s="61"/>
    </row>
    <row r="676">
      <c r="B676" s="61"/>
    </row>
    <row r="677">
      <c r="B677" s="61"/>
    </row>
    <row r="678">
      <c r="B678" s="61"/>
    </row>
    <row r="679">
      <c r="B679" s="61"/>
    </row>
    <row r="680">
      <c r="B680" s="61"/>
    </row>
    <row r="681">
      <c r="B681" s="61"/>
    </row>
    <row r="682">
      <c r="B682" s="61"/>
    </row>
    <row r="683">
      <c r="B683" s="61"/>
    </row>
    <row r="684">
      <c r="B684" s="61"/>
    </row>
    <row r="685">
      <c r="B685" s="61"/>
    </row>
    <row r="686">
      <c r="B686" s="61"/>
    </row>
    <row r="687">
      <c r="B687" s="61"/>
    </row>
    <row r="688">
      <c r="B688" s="61"/>
    </row>
    <row r="689">
      <c r="B689" s="61"/>
    </row>
    <row r="690">
      <c r="B690" s="61"/>
    </row>
    <row r="691">
      <c r="B691" s="61"/>
    </row>
    <row r="692">
      <c r="B692" s="61"/>
    </row>
    <row r="693">
      <c r="B693" s="61"/>
    </row>
    <row r="694">
      <c r="B694" s="61"/>
    </row>
    <row r="695">
      <c r="B695" s="61"/>
    </row>
    <row r="696">
      <c r="B696" s="61"/>
    </row>
    <row r="697">
      <c r="B697" s="61"/>
    </row>
    <row r="698">
      <c r="B698" s="61"/>
    </row>
    <row r="699">
      <c r="B699" s="61"/>
    </row>
    <row r="700">
      <c r="B700" s="61"/>
    </row>
    <row r="701">
      <c r="B701" s="61"/>
    </row>
    <row r="702">
      <c r="B702" s="61"/>
    </row>
    <row r="703">
      <c r="B703" s="61"/>
    </row>
    <row r="704">
      <c r="B704" s="61"/>
    </row>
    <row r="705">
      <c r="B705" s="61"/>
    </row>
    <row r="706">
      <c r="B706" s="61"/>
    </row>
    <row r="707">
      <c r="B707" s="61"/>
    </row>
    <row r="708">
      <c r="B708" s="61"/>
    </row>
    <row r="709">
      <c r="B709" s="61"/>
    </row>
    <row r="710">
      <c r="B710" s="61"/>
    </row>
    <row r="711">
      <c r="B711" s="61"/>
    </row>
    <row r="712">
      <c r="B712" s="61"/>
    </row>
    <row r="713">
      <c r="B713" s="61"/>
    </row>
    <row r="714">
      <c r="B714" s="61"/>
    </row>
    <row r="715">
      <c r="B715" s="61"/>
    </row>
    <row r="716">
      <c r="B716" s="61"/>
    </row>
    <row r="717">
      <c r="B717" s="61"/>
    </row>
    <row r="718">
      <c r="B718" s="61"/>
    </row>
    <row r="719">
      <c r="B719" s="61"/>
    </row>
    <row r="720">
      <c r="B720" s="61"/>
    </row>
    <row r="721">
      <c r="B721" s="61"/>
    </row>
    <row r="722">
      <c r="B722" s="61"/>
    </row>
    <row r="723">
      <c r="B723" s="61"/>
    </row>
    <row r="724">
      <c r="B724" s="61"/>
    </row>
    <row r="725">
      <c r="B725" s="61"/>
    </row>
    <row r="726">
      <c r="B726" s="61"/>
    </row>
    <row r="727">
      <c r="B727" s="61"/>
    </row>
    <row r="728">
      <c r="B728" s="61"/>
    </row>
    <row r="729">
      <c r="B729" s="61"/>
    </row>
    <row r="730">
      <c r="B730" s="61"/>
    </row>
    <row r="731">
      <c r="B731" s="61"/>
    </row>
    <row r="732">
      <c r="B732" s="61"/>
    </row>
    <row r="733">
      <c r="B733" s="61"/>
    </row>
    <row r="734">
      <c r="B734" s="61"/>
    </row>
    <row r="735">
      <c r="B735" s="61"/>
    </row>
    <row r="736">
      <c r="B736" s="61"/>
    </row>
    <row r="737">
      <c r="B737" s="61"/>
    </row>
    <row r="738">
      <c r="B738" s="61"/>
    </row>
    <row r="739">
      <c r="B739" s="61"/>
    </row>
    <row r="740">
      <c r="B740" s="61"/>
    </row>
    <row r="741">
      <c r="B741" s="61"/>
    </row>
    <row r="742">
      <c r="B742" s="61"/>
    </row>
    <row r="743">
      <c r="B743" s="61"/>
    </row>
    <row r="744">
      <c r="B744" s="61"/>
    </row>
    <row r="745">
      <c r="B745" s="61"/>
    </row>
    <row r="746">
      <c r="B746" s="61"/>
    </row>
    <row r="747">
      <c r="B747" s="61"/>
    </row>
    <row r="748">
      <c r="B748" s="61"/>
    </row>
    <row r="749">
      <c r="B749" s="61"/>
    </row>
    <row r="750">
      <c r="B750" s="61"/>
    </row>
    <row r="751">
      <c r="B751" s="61"/>
    </row>
    <row r="752">
      <c r="B752" s="61"/>
    </row>
    <row r="753">
      <c r="B753" s="61"/>
    </row>
    <row r="754">
      <c r="B754" s="61"/>
    </row>
    <row r="755">
      <c r="B755" s="61"/>
    </row>
    <row r="756">
      <c r="B756" s="61"/>
    </row>
    <row r="757">
      <c r="B757" s="61"/>
    </row>
    <row r="758">
      <c r="B758" s="61"/>
    </row>
    <row r="759">
      <c r="B759" s="61"/>
    </row>
    <row r="760">
      <c r="B760" s="61"/>
    </row>
    <row r="761">
      <c r="B761" s="61"/>
    </row>
    <row r="762">
      <c r="B762" s="61"/>
    </row>
    <row r="763">
      <c r="B763" s="61"/>
    </row>
    <row r="764">
      <c r="B764" s="61"/>
    </row>
    <row r="765">
      <c r="B765" s="61"/>
    </row>
    <row r="766">
      <c r="B766" s="61"/>
    </row>
    <row r="767">
      <c r="B767" s="61"/>
    </row>
    <row r="768">
      <c r="B768" s="61"/>
    </row>
    <row r="769">
      <c r="B769" s="61"/>
    </row>
    <row r="770">
      <c r="B770" s="61"/>
    </row>
    <row r="771">
      <c r="B771" s="61"/>
    </row>
    <row r="772">
      <c r="B772" s="61"/>
    </row>
    <row r="773">
      <c r="B773" s="61"/>
    </row>
    <row r="774">
      <c r="B774" s="61"/>
    </row>
    <row r="775">
      <c r="B775" s="61"/>
    </row>
    <row r="776">
      <c r="B776" s="61"/>
    </row>
    <row r="777">
      <c r="B777" s="61"/>
    </row>
    <row r="778">
      <c r="B778" s="61"/>
    </row>
    <row r="779">
      <c r="B779" s="61"/>
    </row>
    <row r="780">
      <c r="B780" s="61"/>
    </row>
    <row r="781">
      <c r="B781" s="61"/>
    </row>
    <row r="782">
      <c r="B782" s="61"/>
    </row>
    <row r="783">
      <c r="B783" s="61"/>
    </row>
    <row r="784">
      <c r="B784" s="61"/>
    </row>
    <row r="785">
      <c r="B785" s="61"/>
    </row>
    <row r="786">
      <c r="B786" s="61"/>
    </row>
    <row r="787">
      <c r="B787" s="61"/>
    </row>
    <row r="788">
      <c r="B788" s="61"/>
    </row>
    <row r="789">
      <c r="B789" s="61"/>
    </row>
    <row r="790">
      <c r="B790" s="61"/>
    </row>
    <row r="791">
      <c r="B791" s="61"/>
    </row>
    <row r="792">
      <c r="B792" s="61"/>
    </row>
    <row r="793">
      <c r="B793" s="61"/>
    </row>
    <row r="794">
      <c r="B794" s="61"/>
    </row>
    <row r="795">
      <c r="B795" s="61"/>
    </row>
    <row r="796">
      <c r="B796" s="61"/>
    </row>
    <row r="797">
      <c r="B797" s="61"/>
    </row>
    <row r="798">
      <c r="B798" s="61"/>
    </row>
    <row r="799">
      <c r="B799" s="61"/>
    </row>
    <row r="800">
      <c r="B800" s="61"/>
    </row>
    <row r="801">
      <c r="B801" s="61"/>
    </row>
    <row r="802">
      <c r="B802" s="61"/>
    </row>
    <row r="803">
      <c r="B803" s="61"/>
    </row>
    <row r="804">
      <c r="B804" s="61"/>
    </row>
    <row r="805">
      <c r="B805" s="61"/>
    </row>
    <row r="806">
      <c r="B806" s="61"/>
    </row>
    <row r="807">
      <c r="B807" s="61"/>
    </row>
    <row r="808">
      <c r="B808" s="61"/>
    </row>
    <row r="809">
      <c r="B809" s="61"/>
    </row>
    <row r="810">
      <c r="B810" s="61"/>
    </row>
    <row r="811">
      <c r="B811" s="61"/>
    </row>
    <row r="812">
      <c r="B812" s="61"/>
    </row>
    <row r="813">
      <c r="B813" s="61"/>
    </row>
    <row r="814">
      <c r="B814" s="61"/>
    </row>
    <row r="815">
      <c r="B815" s="61"/>
    </row>
    <row r="816">
      <c r="B816" s="61"/>
    </row>
    <row r="817">
      <c r="B817" s="61"/>
    </row>
    <row r="818">
      <c r="B818" s="61"/>
    </row>
    <row r="819">
      <c r="B819" s="61"/>
    </row>
    <row r="820">
      <c r="B820" s="61"/>
    </row>
    <row r="821">
      <c r="B821" s="61"/>
    </row>
    <row r="822">
      <c r="B822" s="61"/>
    </row>
    <row r="823">
      <c r="B823" s="61"/>
    </row>
    <row r="824">
      <c r="B824" s="61"/>
    </row>
    <row r="825">
      <c r="B825" s="61"/>
    </row>
    <row r="826">
      <c r="B826" s="61"/>
    </row>
    <row r="827">
      <c r="B827" s="61"/>
    </row>
    <row r="828">
      <c r="B828" s="61"/>
    </row>
    <row r="829">
      <c r="B829" s="61"/>
    </row>
    <row r="830">
      <c r="B830" s="61"/>
    </row>
    <row r="831">
      <c r="B831" s="61"/>
    </row>
    <row r="832">
      <c r="B832" s="61"/>
    </row>
    <row r="833">
      <c r="B833" s="61"/>
    </row>
    <row r="834">
      <c r="B834" s="61"/>
    </row>
    <row r="835">
      <c r="B835" s="61"/>
    </row>
    <row r="836">
      <c r="B836" s="61"/>
    </row>
    <row r="837">
      <c r="B837" s="61"/>
    </row>
    <row r="838">
      <c r="B838" s="61"/>
    </row>
    <row r="839">
      <c r="B839" s="61"/>
    </row>
    <row r="840">
      <c r="B840" s="61"/>
    </row>
    <row r="841">
      <c r="B841" s="61"/>
    </row>
    <row r="842">
      <c r="B842" s="61"/>
    </row>
    <row r="843">
      <c r="B843" s="61"/>
    </row>
    <row r="844">
      <c r="B844" s="61"/>
    </row>
    <row r="845">
      <c r="B845" s="61"/>
    </row>
    <row r="846">
      <c r="B846" s="61"/>
    </row>
    <row r="847">
      <c r="B847" s="61"/>
    </row>
    <row r="848">
      <c r="B848" s="61"/>
    </row>
    <row r="849">
      <c r="B849" s="61"/>
    </row>
    <row r="850">
      <c r="B850" s="61"/>
    </row>
    <row r="851">
      <c r="B851" s="61"/>
    </row>
    <row r="852">
      <c r="B852" s="61"/>
    </row>
    <row r="853">
      <c r="B853" s="61"/>
    </row>
    <row r="854">
      <c r="B854" s="61"/>
    </row>
    <row r="855">
      <c r="B855" s="61"/>
    </row>
    <row r="856">
      <c r="B856" s="61"/>
    </row>
    <row r="857">
      <c r="B857" s="61"/>
    </row>
    <row r="858">
      <c r="B858" s="61"/>
    </row>
    <row r="859">
      <c r="B859" s="61"/>
    </row>
    <row r="860">
      <c r="B860" s="61"/>
    </row>
    <row r="861">
      <c r="B861" s="61"/>
    </row>
    <row r="862">
      <c r="B862" s="61"/>
    </row>
    <row r="863">
      <c r="B863" s="61"/>
    </row>
    <row r="864">
      <c r="B864" s="61"/>
    </row>
    <row r="865">
      <c r="B865" s="61"/>
    </row>
    <row r="866">
      <c r="B866" s="61"/>
    </row>
    <row r="867">
      <c r="B867" s="61"/>
    </row>
    <row r="868">
      <c r="B868" s="61"/>
    </row>
    <row r="869">
      <c r="B869" s="61"/>
    </row>
    <row r="870">
      <c r="B870" s="61"/>
    </row>
    <row r="871">
      <c r="B871" s="61"/>
    </row>
    <row r="872">
      <c r="B872" s="61"/>
    </row>
    <row r="873">
      <c r="B873" s="61"/>
    </row>
    <row r="874">
      <c r="B874" s="61"/>
    </row>
    <row r="875">
      <c r="B875" s="61"/>
    </row>
    <row r="876">
      <c r="B876" s="61"/>
    </row>
    <row r="877">
      <c r="B877" s="61"/>
    </row>
    <row r="878">
      <c r="B878" s="61"/>
    </row>
    <row r="879">
      <c r="B879" s="61"/>
    </row>
    <row r="880">
      <c r="B880" s="61"/>
    </row>
    <row r="881">
      <c r="B881" s="61"/>
    </row>
    <row r="882">
      <c r="B882" s="61"/>
    </row>
    <row r="883">
      <c r="B883" s="61"/>
    </row>
    <row r="884">
      <c r="B884" s="61"/>
    </row>
    <row r="885">
      <c r="B885" s="61"/>
    </row>
    <row r="886">
      <c r="B886" s="61"/>
    </row>
    <row r="887">
      <c r="B887" s="61"/>
    </row>
    <row r="888">
      <c r="B888" s="61"/>
    </row>
    <row r="889">
      <c r="B889" s="61"/>
    </row>
    <row r="890">
      <c r="B890" s="61"/>
    </row>
    <row r="891">
      <c r="B891" s="61"/>
    </row>
    <row r="892">
      <c r="B892" s="61"/>
    </row>
    <row r="893">
      <c r="B893" s="61"/>
    </row>
    <row r="894">
      <c r="B894" s="61"/>
    </row>
    <row r="895">
      <c r="B895" s="61"/>
    </row>
    <row r="896">
      <c r="B896" s="61"/>
    </row>
    <row r="897">
      <c r="B897" s="61"/>
    </row>
    <row r="898">
      <c r="B898" s="61"/>
    </row>
    <row r="899">
      <c r="B899" s="61"/>
    </row>
    <row r="900">
      <c r="B900" s="61"/>
    </row>
    <row r="901">
      <c r="B901" s="61"/>
    </row>
    <row r="902">
      <c r="B902" s="61"/>
    </row>
    <row r="903">
      <c r="B903" s="61"/>
    </row>
    <row r="904">
      <c r="B904" s="61"/>
    </row>
    <row r="905">
      <c r="B905" s="61"/>
    </row>
    <row r="906">
      <c r="B906" s="61"/>
    </row>
    <row r="907">
      <c r="B907" s="61"/>
    </row>
    <row r="908">
      <c r="B908" s="61"/>
    </row>
    <row r="909">
      <c r="B909" s="61"/>
    </row>
    <row r="910">
      <c r="B910" s="61"/>
    </row>
    <row r="911">
      <c r="B911" s="61"/>
    </row>
    <row r="912">
      <c r="B912" s="61"/>
    </row>
    <row r="913">
      <c r="B913" s="61"/>
    </row>
    <row r="914">
      <c r="B914" s="61"/>
    </row>
    <row r="915">
      <c r="B915" s="61"/>
    </row>
    <row r="916">
      <c r="B916" s="61"/>
    </row>
    <row r="917">
      <c r="B917" s="61"/>
    </row>
    <row r="918">
      <c r="B918" s="61"/>
    </row>
    <row r="919">
      <c r="B919" s="61"/>
    </row>
    <row r="920">
      <c r="B920" s="61"/>
    </row>
    <row r="921">
      <c r="B921" s="61"/>
    </row>
    <row r="922">
      <c r="B922" s="61"/>
    </row>
    <row r="923">
      <c r="B923" s="61"/>
    </row>
    <row r="924">
      <c r="B924" s="61"/>
    </row>
    <row r="925">
      <c r="B925" s="61"/>
    </row>
    <row r="926">
      <c r="B926" s="61"/>
    </row>
    <row r="927">
      <c r="B927" s="61"/>
    </row>
    <row r="928">
      <c r="B928" s="61"/>
    </row>
    <row r="929">
      <c r="B929" s="61"/>
    </row>
    <row r="930">
      <c r="B930" s="61"/>
    </row>
    <row r="931">
      <c r="B931" s="61"/>
    </row>
    <row r="932">
      <c r="B932" s="61"/>
    </row>
    <row r="933">
      <c r="B933" s="61"/>
    </row>
    <row r="934">
      <c r="B934" s="61"/>
    </row>
    <row r="935">
      <c r="B935" s="61"/>
    </row>
    <row r="936">
      <c r="B936" s="61"/>
    </row>
    <row r="937">
      <c r="B937" s="61"/>
    </row>
    <row r="938">
      <c r="B938" s="61"/>
    </row>
    <row r="939">
      <c r="B939" s="61"/>
    </row>
    <row r="940">
      <c r="B940" s="61"/>
    </row>
    <row r="941">
      <c r="B941" s="61"/>
    </row>
    <row r="942">
      <c r="B942" s="61"/>
    </row>
    <row r="943">
      <c r="B943" s="61"/>
    </row>
    <row r="944">
      <c r="B944" s="61"/>
    </row>
    <row r="945">
      <c r="B945" s="61"/>
    </row>
    <row r="946">
      <c r="B946" s="61"/>
    </row>
    <row r="947">
      <c r="B947" s="61"/>
    </row>
    <row r="948">
      <c r="B948" s="61"/>
    </row>
    <row r="949">
      <c r="B949" s="61"/>
    </row>
    <row r="950">
      <c r="B950" s="61"/>
    </row>
    <row r="951">
      <c r="B951" s="61"/>
    </row>
    <row r="952">
      <c r="B952" s="61"/>
    </row>
    <row r="953">
      <c r="B953" s="61"/>
    </row>
    <row r="954">
      <c r="B954" s="61"/>
    </row>
    <row r="955">
      <c r="B955" s="61"/>
    </row>
    <row r="956">
      <c r="B956" s="61"/>
    </row>
    <row r="957">
      <c r="B957" s="61"/>
    </row>
    <row r="958">
      <c r="B958" s="61"/>
    </row>
    <row r="959">
      <c r="B959" s="61"/>
    </row>
    <row r="960">
      <c r="B960" s="61"/>
    </row>
    <row r="961">
      <c r="B961" s="61"/>
    </row>
    <row r="962">
      <c r="B962" s="61"/>
    </row>
    <row r="963">
      <c r="B963" s="61"/>
    </row>
    <row r="964">
      <c r="B964" s="61"/>
    </row>
    <row r="965">
      <c r="B965" s="61"/>
    </row>
    <row r="966">
      <c r="B966" s="61"/>
    </row>
    <row r="967">
      <c r="B967" s="61"/>
    </row>
    <row r="968">
      <c r="B968" s="61"/>
    </row>
    <row r="969">
      <c r="B969" s="61"/>
    </row>
    <row r="970">
      <c r="B970" s="61"/>
    </row>
    <row r="971">
      <c r="B971" s="61"/>
    </row>
    <row r="972">
      <c r="B972" s="61"/>
    </row>
    <row r="973">
      <c r="B973" s="61"/>
    </row>
    <row r="974">
      <c r="B974" s="61"/>
    </row>
    <row r="975">
      <c r="B975" s="61"/>
    </row>
    <row r="976">
      <c r="B976" s="61"/>
    </row>
    <row r="977">
      <c r="B977" s="61"/>
    </row>
    <row r="978">
      <c r="B978" s="61"/>
    </row>
    <row r="979">
      <c r="B979" s="61"/>
    </row>
    <row r="980">
      <c r="B980" s="61"/>
    </row>
    <row r="981">
      <c r="B981" s="61"/>
    </row>
    <row r="982">
      <c r="B982" s="61"/>
    </row>
    <row r="983">
      <c r="B983" s="61"/>
    </row>
    <row r="984">
      <c r="B984" s="61"/>
    </row>
    <row r="985">
      <c r="B985" s="61"/>
    </row>
    <row r="986">
      <c r="B986" s="61"/>
    </row>
    <row r="987">
      <c r="B987" s="61"/>
    </row>
    <row r="988">
      <c r="B988" s="61"/>
    </row>
    <row r="989">
      <c r="B989" s="61"/>
    </row>
    <row r="990">
      <c r="B990" s="61"/>
    </row>
    <row r="991">
      <c r="B991" s="61"/>
    </row>
    <row r="992">
      <c r="B992" s="61"/>
    </row>
    <row r="993">
      <c r="B993" s="61"/>
    </row>
    <row r="994">
      <c r="B994" s="61"/>
    </row>
    <row r="995">
      <c r="B995" s="61"/>
    </row>
    <row r="996">
      <c r="B996" s="61"/>
    </row>
    <row r="997">
      <c r="B997" s="61"/>
    </row>
    <row r="998">
      <c r="B998" s="61"/>
    </row>
    <row r="999">
      <c r="B999" s="61"/>
    </row>
    <row r="1000">
      <c r="B1000" s="61"/>
    </row>
    <row r="1001">
      <c r="B1001" s="61"/>
    </row>
    <row r="1002">
      <c r="B1002" s="61"/>
    </row>
  </sheetData>
  <mergeCells count="4">
    <mergeCell ref="A1:G1"/>
    <mergeCell ref="H1:I4"/>
    <mergeCell ref="F2:G3"/>
    <mergeCell ref="A3:C3"/>
  </mergeCells>
  <dataValidations>
    <dataValidation type="list" allowBlank="1" showErrorMessage="1" sqref="A3">
      <formula1>'Información General'!$L$13:$L$27</formula1>
    </dataValidation>
  </dataValidation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2.63"/>
    <col customWidth="1" min="2" max="2" width="43.75"/>
    <col customWidth="1" min="3" max="3" width="19.75"/>
    <col customWidth="1" min="4" max="4" width="58.75"/>
    <col customWidth="1" min="5" max="5" width="17.0"/>
    <col customWidth="1" min="7" max="7" width="58.38"/>
    <col customWidth="1" min="8" max="8" width="4.75"/>
    <col customWidth="1" min="9" max="9" width="10.5"/>
    <col customWidth="1" min="11" max="11" width="9.38"/>
    <col customWidth="1" min="12" max="12" width="13.75"/>
    <col customWidth="1" min="13" max="13" width="4.13"/>
    <col customWidth="1" min="14" max="14" width="18.38"/>
    <col customWidth="1" min="15" max="15" width="5.0"/>
    <col customWidth="1" min="16" max="16" width="41.0"/>
    <col customWidth="1" min="17" max="17" width="4.88"/>
    <col customWidth="1" min="18" max="18" width="49.88"/>
  </cols>
  <sheetData>
    <row r="1">
      <c r="A1" s="93" t="s">
        <v>61</v>
      </c>
      <c r="C1" s="93" t="s">
        <v>62</v>
      </c>
      <c r="E1" s="70" t="s">
        <v>63</v>
      </c>
      <c r="F1" s="93" t="s">
        <v>64</v>
      </c>
      <c r="J1" s="94" t="s">
        <v>65</v>
      </c>
      <c r="L1" s="94"/>
      <c r="N1" s="94"/>
      <c r="P1" s="94"/>
    </row>
    <row r="2">
      <c r="A2" s="95" t="str">
        <f>IFERROR(__xludf.DUMMYFUNCTION("IMPORTRANGE(""1--DGkU5oDw3gpAa_rQkeu1olWCf2iv8Pm7BNjqiyiuY"", ""Listado Cursos!H:H"")"),"Codigo - Nombre")</f>
        <v>Codigo - Nombre</v>
      </c>
      <c r="B2" s="96" t="str">
        <f>IFERROR(__xludf.DUMMYFUNCTION("IMPORTRANGE(""1--DGkU5oDw3gpAa_rQkeu1olWCf2iv8Pm7BNjqiyiuY"", ""Listado Cursos!I:I"")"),"Diseño Curricular")</f>
        <v>Diseño Curricular</v>
      </c>
      <c r="C2" s="97" t="str">
        <f>IFERROR(__xludf.DUMMYFUNCTION("QUERY(IMPORTRANGE(""1--DGkU5oDw3gpAa_rQkeu1olWCf2iv8Pm7BNjqiyiuY"", ""Perfil egresado!A:C""), ""SELECT Col2, Col3 WHERE Col1 = 'Competencia General' ORDER BY Col2"")"),"No.")</f>
        <v>No.</v>
      </c>
      <c r="D2" s="98" t="str">
        <f>IFERROR(__xludf.DUMMYFUNCTION("""COMPUTED_VALUE"""),"Descripcion")</f>
        <v>Descripcion</v>
      </c>
      <c r="E2" s="98"/>
      <c r="F2" s="97" t="str">
        <f>IFERROR(__xludf.DUMMYFUNCTION("QUERY(IMPORTRANGE(""1--DGkU5oDw3gpAa_rQkeu1olWCf2iv8Pm7BNjqiyiuY"", ""Perfil egresado!A:C""), ""SELECT Col2, Col3 WHERE Col1 = 'Competencias Específica' ORDER BY Col2"")"),"No.")</f>
        <v>No.</v>
      </c>
      <c r="G2" s="98" t="str">
        <f>IFERROR(__xludf.DUMMYFUNCTION("""COMPUTED_VALUE"""),"Descripcion")</f>
        <v>Descripcion</v>
      </c>
      <c r="H2" s="98"/>
      <c r="I2" s="98" t="s">
        <v>66</v>
      </c>
      <c r="J2" s="98" t="str">
        <f>IFERROR(__xludf.DUMMYFUNCTION("IMPORTRANGE(""1--DGkU5oDw3gpAa_rQkeu1olWCf2iv8Pm7BNjqiyiuY"", ""Taxonomia!A:B"")"),"Nivel")</f>
        <v>Nivel</v>
      </c>
      <c r="K2" s="97" t="str">
        <f>IFERROR(__xludf.DUMMYFUNCTION("""COMPUTED_VALUE"""),"Verbo")</f>
        <v>Verbo</v>
      </c>
      <c r="L2" s="98" t="str">
        <f>IFERROR(__xludf.DUMMYFUNCTION("IMPORTRANGE(""1--DGkU5oDw3gpAa_rQkeu1olWCf2iv8Pm7BNjqiyiuY"", ""Taxonomia!C:C"")"),"Tipo")</f>
        <v>Tipo</v>
      </c>
      <c r="M2" s="98"/>
      <c r="N2" s="98" t="str">
        <f>IFERROR(__xludf.DUMMYFUNCTION("IMPORTRANGE(""1--DGkU5oDw3gpAa_rQkeu1olWCf2iv8Pm7BNjqiyiuY"", ""Taxonomia!D:D"")"),"Conector")</f>
        <v>Conector</v>
      </c>
      <c r="O2" s="98"/>
      <c r="P2" s="98" t="str">
        <f>IFERROR(__xludf.DUMMYFUNCTION("IMPORTRANGE(""1--DGkU5oDw3gpAa_rQkeu1olWCf2iv8Pm7BNjqiyiuY"", ""Catedraticos Cursos!K:K"")"),"Nombre - Apellido")</f>
        <v>Nombre - Apellido</v>
      </c>
      <c r="Q2" s="98"/>
      <c r="R2" s="98"/>
      <c r="S2" s="98"/>
      <c r="T2" s="98"/>
      <c r="U2" s="98"/>
      <c r="V2" s="98"/>
      <c r="W2" s="98"/>
      <c r="X2" s="98"/>
      <c r="Y2" s="98"/>
      <c r="Z2" s="98"/>
    </row>
    <row r="3">
      <c r="A3" s="71" t="str">
        <f>IFERROR(__xludf.DUMMYFUNCTION("""COMPUTED_VALUE"""),"17 - Área Social Humanística 1")</f>
        <v>17 - Área Social Humanística 1</v>
      </c>
      <c r="B3" s="71"/>
      <c r="C3" s="71">
        <f>IFERROR(__xludf.DUMMYFUNCTION("""COMPUTED_VALUE"""),1.0)</f>
        <v>1</v>
      </c>
      <c r="D3" s="71" t="str">
        <f>IFERROR(__xludf.DUMMYFUNCTION("""COMPUTED_VALUE"""),"Aplica los conocimientos de su disciplina en la elaboración, fundamentación
 y defensa de argumentos para prevenir y resolver problemas complejos en
 su campo profesional, identificando y aplicando innovaciones.")</f>
        <v>Aplica los conocimientos de su disciplina en la elaboración, fundamentación
 y defensa de argumentos para prevenir y resolver problemas complejos en
 su campo profesional, identificando y aplicando innovaciones.</v>
      </c>
      <c r="F3" s="71">
        <f>IFERROR(__xludf.DUMMYFUNCTION("""COMPUTED_VALUE"""),1.0)</f>
        <v>1</v>
      </c>
      <c r="G3" s="71" t="str">
        <f>IFERROR(__xludf.DUMMYFUNCTION("""COMPUTED_VALUE"""),"Aplica principios básicos de ingeniería, ciencias de computación y sistemas
 de información y comunicación, en la formulación y resolución adecuada de
 problemas complejos.")</f>
        <v>Aplica principios básicos de ingeniería, ciencias de computación y sistemas
 de información y comunicación, en la formulación y resolución adecuada de
 problemas complejos.</v>
      </c>
      <c r="I3" s="71" t="s">
        <v>67</v>
      </c>
      <c r="J3" s="71" t="str">
        <f>IFERROR(__xludf.DUMMYFUNCTION("""COMPUTED_VALUE"""),"Recordar")</f>
        <v>Recordar</v>
      </c>
      <c r="K3" s="71" t="str">
        <f>IFERROR(__xludf.DUMMYFUNCTION("""COMPUTED_VALUE"""),"Definir")</f>
        <v>Definir</v>
      </c>
      <c r="L3" s="71" t="str">
        <f>IFERROR(__xludf.DUMMYFUNCTION("""COMPUTED_VALUE"""),"Especifica")</f>
        <v>Especifica</v>
      </c>
      <c r="N3" s="71" t="str">
        <f>IFERROR(__xludf.DUMMYFUNCTION("""COMPUTED_VALUE"""),"Además")</f>
        <v>Además</v>
      </c>
      <c r="P3" s="71" t="str">
        <f>IFERROR(__xludf.DUMMYFUNCTION("""COMPUTED_VALUE"""),"WILLIAM SAMUEL GUEVARA ORELLANA")</f>
        <v>WILLIAM SAMUEL GUEVARA ORELLANA</v>
      </c>
    </row>
    <row r="4">
      <c r="A4" s="71" t="str">
        <f>IFERROR(__xludf.DUMMYFUNCTION("""COMPUTED_VALUE"""),"101 - Área Matemática Básica 1")</f>
        <v>101 - Área Matemática Básica 1</v>
      </c>
      <c r="B4" s="71"/>
      <c r="C4" s="71">
        <f>IFERROR(__xludf.DUMMYFUNCTION("""COMPUTED_VALUE"""),2.0)</f>
        <v>2</v>
      </c>
      <c r="D4" s="71" t="str">
        <f>IFERROR(__xludf.DUMMYFUNCTION("""COMPUTED_VALUE"""),"Identifica oportunidades y riesgos para la innovación y adaptación de
 conocimientos y tecnologías para resolver problemas.")</f>
        <v>Identifica oportunidades y riesgos para la innovación y adaptación de
 conocimientos y tecnologías para resolver problemas.</v>
      </c>
      <c r="F4" s="71">
        <f>IFERROR(__xludf.DUMMYFUNCTION("""COMPUTED_VALUE"""),2.0)</f>
        <v>2</v>
      </c>
      <c r="G4" s="71" t="str">
        <f>IFERROR(__xludf.DUMMYFUNCTION("""COMPUTED_VALUE"""),"Aplica estándares de calidad, eficiencia y seguridad en la implementación
 adecuada de soluciones de software, hardware y TIC en general.")</f>
        <v>Aplica estándares de calidad, eficiencia y seguridad en la implementación
 adecuada de soluciones de software, hardware y TIC en general.</v>
      </c>
      <c r="I4" s="71" t="s">
        <v>68</v>
      </c>
      <c r="J4" s="71" t="str">
        <f>IFERROR(__xludf.DUMMYFUNCTION("""COMPUTED_VALUE"""),"Recordar")</f>
        <v>Recordar</v>
      </c>
      <c r="K4" s="71" t="str">
        <f>IFERROR(__xludf.DUMMYFUNCTION("""COMPUTED_VALUE"""),"Identificar")</f>
        <v>Identificar</v>
      </c>
      <c r="L4" s="71" t="str">
        <f>IFERROR(__xludf.DUMMYFUNCTION("""COMPUTED_VALUE"""),"General")</f>
        <v>General</v>
      </c>
      <c r="N4" s="71" t="str">
        <f>IFERROR(__xludf.DUMMYFUNCTION("""COMPUTED_VALUE"""),"También")</f>
        <v>También</v>
      </c>
      <c r="P4" s="71" t="str">
        <f>IFERROR(__xludf.DUMMYFUNCTION("""COMPUTED_VALUE"""),"EDGAR FRANCISCO RODAS ROBLEDO")</f>
        <v>EDGAR FRANCISCO RODAS ROBLEDO</v>
      </c>
    </row>
    <row r="5">
      <c r="A5" s="71" t="str">
        <f>IFERROR(__xludf.DUMMYFUNCTION("""COMPUTED_VALUE"""),"5 - Técnicas de Estudio e Investigación")</f>
        <v>5 - Técnicas de Estudio e Investigación</v>
      </c>
      <c r="B5" s="71"/>
      <c r="C5" s="71">
        <f>IFERROR(__xludf.DUMMYFUNCTION("""COMPUTED_VALUE"""),3.0)</f>
        <v>3</v>
      </c>
      <c r="D5" s="71" t="str">
        <f>IFERROR(__xludf.DUMMYFUNCTION("""COMPUTED_VALUE"""),"Demuestra pensamiento crítico, actitud investigativa y rigor analítico en el
 planteamiento y la resolución de problemas complejos.")</f>
        <v>Demuestra pensamiento crítico, actitud investigativa y rigor analítico en el
 planteamiento y la resolución de problemas complejos.</v>
      </c>
      <c r="F5" s="71">
        <f>IFERROR(__xludf.DUMMYFUNCTION("""COMPUTED_VALUE"""),3.0)</f>
        <v>3</v>
      </c>
      <c r="G5" s="71" t="str">
        <f>IFERROR(__xludf.DUMMYFUNCTION("""COMPUTED_VALUE"""),"Aplica conocimientos tecnológicos con ética profesional y respetando y
 cuidando los recursos naturales, humanos y financieros.")</f>
        <v>Aplica conocimientos tecnológicos con ética profesional y respetando y
 cuidando los recursos naturales, humanos y financieros.</v>
      </c>
      <c r="I5" s="71" t="s">
        <v>69</v>
      </c>
      <c r="J5" s="71" t="str">
        <f>IFERROR(__xludf.DUMMYFUNCTION("""COMPUTED_VALUE"""),"Recordar")</f>
        <v>Recordar</v>
      </c>
      <c r="K5" s="71" t="str">
        <f>IFERROR(__xludf.DUMMYFUNCTION("""COMPUTED_VALUE"""),"Listar")</f>
        <v>Listar</v>
      </c>
      <c r="L5" s="71"/>
      <c r="N5" s="71" t="str">
        <f>IFERROR(__xludf.DUMMYFUNCTION("""COMPUTED_VALUE"""),"Asimismo")</f>
        <v>Asimismo</v>
      </c>
      <c r="P5" s="71" t="str">
        <f>IFERROR(__xludf.DUMMYFUNCTION("""COMPUTED_VALUE"""),"CLAUDIA LICETH ROJAS MORALES")</f>
        <v>CLAUDIA LICETH ROJAS MORALES</v>
      </c>
    </row>
    <row r="6">
      <c r="A6" s="71" t="str">
        <f>IFERROR(__xludf.DUMMYFUNCTION("""COMPUTED_VALUE"""),"39 - Deportes 1")</f>
        <v>39 - Deportes 1</v>
      </c>
      <c r="B6" s="71"/>
      <c r="C6" s="71">
        <f>IFERROR(__xludf.DUMMYFUNCTION("""COMPUTED_VALUE"""),4.0)</f>
        <v>4</v>
      </c>
      <c r="D6" s="71" t="str">
        <f>IFERROR(__xludf.DUMMYFUNCTION("""COMPUTED_VALUE"""),"Toma decisiones profesionales con base en fundamentos teóricos, datos e
 información pertinente, válida y confiable.")</f>
        <v>Toma decisiones profesionales con base en fundamentos teóricos, datos e
 información pertinente, válida y confiable.</v>
      </c>
      <c r="F6" s="71">
        <f>IFERROR(__xludf.DUMMYFUNCTION("""COMPUTED_VALUE"""),4.0)</f>
        <v>4</v>
      </c>
      <c r="G6" s="71" t="str">
        <f>IFERROR(__xludf.DUMMYFUNCTION("""COMPUTED_VALUE"""),"Maneja e Interpreta adecuadamente datos masivos, sean estos
 estructurados o no estructurados, facilitando su visualización e interpretación
 de forma eficaz en apoyo a la toma de decisiones.")</f>
        <v>Maneja e Interpreta adecuadamente datos masivos, sean estos
 estructurados o no estructurados, facilitando su visualización e interpretación
 de forma eficaz en apoyo a la toma de decisiones.</v>
      </c>
      <c r="I6" s="71" t="s">
        <v>70</v>
      </c>
      <c r="J6" s="71" t="str">
        <f>IFERROR(__xludf.DUMMYFUNCTION("""COMPUTED_VALUE"""),"Recordar")</f>
        <v>Recordar</v>
      </c>
      <c r="K6" s="71" t="str">
        <f>IFERROR(__xludf.DUMMYFUNCTION("""COMPUTED_VALUE"""),"Nombrar")</f>
        <v>Nombrar</v>
      </c>
      <c r="L6" s="71"/>
      <c r="N6" s="71" t="str">
        <f>IFERROR(__xludf.DUMMYFUNCTION("""COMPUTED_VALUE"""),"Igualmente")</f>
        <v>Igualmente</v>
      </c>
      <c r="P6" s="71" t="str">
        <f>IFERROR(__xludf.DUMMYFUNCTION("""COMPUTED_VALUE"""),"MIRNA IVONNE ALDANA LARRAZABAL")</f>
        <v>MIRNA IVONNE ALDANA LARRAZABAL</v>
      </c>
    </row>
    <row r="7">
      <c r="A7" s="71" t="str">
        <f>IFERROR(__xludf.DUMMYFUNCTION("""COMPUTED_VALUE"""),"6 - Idioma Tecnico 1")</f>
        <v>6 - Idioma Tecnico 1</v>
      </c>
      <c r="B7" s="71"/>
      <c r="C7" s="71">
        <f>IFERROR(__xludf.DUMMYFUNCTION("""COMPUTED_VALUE"""),5.0)</f>
        <v>5</v>
      </c>
      <c r="D7" s="71" t="str">
        <f>IFERROR(__xludf.DUMMYFUNCTION("""COMPUTED_VALUE"""),"Demuestra destreza y habilidad en la selección, uso y adaptación de
 herramientas metodológicas, tecnológicas, equipos especializados y en la
 lectura e interpretación de datos, pertinentes al contexto de su ejercicio
 profesional.")</f>
        <v>Demuestra destreza y habilidad en la selección, uso y adaptación de
 herramientas metodológicas, tecnológicas, equipos especializados y en la
 lectura e interpretación de datos, pertinentes al contexto de su ejercicio
 profesional.</v>
      </c>
      <c r="F7" s="71">
        <f>IFERROR(__xludf.DUMMYFUNCTION("""COMPUTED_VALUE"""),5.0)</f>
        <v>5</v>
      </c>
      <c r="G7" s="71" t="str">
        <f>IFERROR(__xludf.DUMMYFUNCTION("""COMPUTED_VALUE"""),"Domina diversos recursos de comunicación con el objetivo de presentar
 adecuadamente sus propuestas a variados tipos de audiencias, en idioma
 español, inglés e idealmente en un tercer idioma acorde a las necesidades
 globales.")</f>
        <v>Domina diversos recursos de comunicación con el objetivo de presentar
 adecuadamente sus propuestas a variados tipos de audiencias, en idioma
 español, inglés e idealmente en un tercer idioma acorde a las necesidades
 globales.</v>
      </c>
      <c r="I7" s="71" t="s">
        <v>71</v>
      </c>
      <c r="J7" s="71" t="str">
        <f>IFERROR(__xludf.DUMMYFUNCTION("""COMPUTED_VALUE"""),"Recordar")</f>
        <v>Recordar</v>
      </c>
      <c r="K7" s="71" t="str">
        <f>IFERROR(__xludf.DUMMYFUNCTION("""COMPUTED_VALUE"""),"Reconocer")</f>
        <v>Reconocer</v>
      </c>
      <c r="L7" s="71"/>
      <c r="N7" s="71" t="str">
        <f>IFERROR(__xludf.DUMMYFUNCTION("""COMPUTED_VALUE"""),"A su vez")</f>
        <v>A su vez</v>
      </c>
      <c r="P7" s="71" t="str">
        <f>IFERROR(__xludf.DUMMYFUNCTION("""COMPUTED_VALUE"""),"OTTO RENE ESCOBAR LEIVA")</f>
        <v>OTTO RENE ESCOBAR LEIVA</v>
      </c>
    </row>
    <row r="8">
      <c r="A8" s="71" t="str">
        <f>IFERROR(__xludf.DUMMYFUNCTION("""COMPUTED_VALUE"""),"19 - Área Social Humanística 2")</f>
        <v>19 - Área Social Humanística 2</v>
      </c>
      <c r="B8" s="71"/>
      <c r="C8" s="71">
        <f>IFERROR(__xludf.DUMMYFUNCTION("""COMPUTED_VALUE"""),6.0)</f>
        <v>6</v>
      </c>
      <c r="D8" s="71" t="str">
        <f>IFERROR(__xludf.DUMMYFUNCTION("""COMPUTED_VALUE"""),"Identifica sus necesidades de actualización, capacitación y formación,
 durante su proceso formativo y en el ejercicio profesional, y busca los medios
 para cubrirlas por medios formales e informales, nacionales e
 internacionales, presenciales y en línea"&amp;".")</f>
        <v>Identifica sus necesidades de actualización, capacitación y formación,
 durante su proceso formativo y en el ejercicio profesional, y busca los medios
 para cubrirlas por medios formales e informales, nacionales e
 internacionales, presenciales y en línea.</v>
      </c>
      <c r="F8" s="71">
        <f>IFERROR(__xludf.DUMMYFUNCTION("""COMPUTED_VALUE"""),6.0)</f>
        <v>6</v>
      </c>
      <c r="G8" s="71" t="str">
        <f>IFERROR(__xludf.DUMMYFUNCTION("""COMPUTED_VALUE"""),"Construye soluciones integrales trabajando en forma colaborativa y
 propositiva en equipos interdisciplinarios, en forma presencial o utilizando
 plataformas virtuales.")</f>
        <v>Construye soluciones integrales trabajando en forma colaborativa y
 propositiva en equipos interdisciplinarios, en forma presencial o utilizando
 plataformas virtuales.</v>
      </c>
      <c r="I8" s="71" t="s">
        <v>72</v>
      </c>
      <c r="J8" s="71" t="str">
        <f>IFERROR(__xludf.DUMMYFUNCTION("""COMPUTED_VALUE"""),"Recordar")</f>
        <v>Recordar</v>
      </c>
      <c r="K8" s="71" t="str">
        <f>IFERROR(__xludf.DUMMYFUNCTION("""COMPUTED_VALUE"""),"Recuperar")</f>
        <v>Recuperar</v>
      </c>
      <c r="L8" s="71"/>
      <c r="N8" s="71" t="str">
        <f>IFERROR(__xludf.DUMMYFUNCTION("""COMPUTED_VALUE"""),"De igual forma")</f>
        <v>De igual forma</v>
      </c>
      <c r="P8" s="71" t="str">
        <f>IFERROR(__xludf.DUMMYFUNCTION("""COMPUTED_VALUE"""),"OTTO RENE ESCOBAR LEIVA")</f>
        <v>OTTO RENE ESCOBAR LEIVA</v>
      </c>
    </row>
    <row r="9">
      <c r="A9" s="71" t="str">
        <f>IFERROR(__xludf.DUMMYFUNCTION("""COMPUTED_VALUE"""),"103 - Área Matemática Básica 2")</f>
        <v>103 - Área Matemática Básica 2</v>
      </c>
      <c r="B9" s="71"/>
      <c r="C9" s="71">
        <f>IFERROR(__xludf.DUMMYFUNCTION("""COMPUTED_VALUE"""),7.0)</f>
        <v>7</v>
      </c>
      <c r="D9" s="71" t="str">
        <f>IFERROR(__xludf.DUMMYFUNCTION("""COMPUTED_VALUE"""),"Comunica a diversos públicos, información de su campo profesional, en
 varios lenguajes y formatos de manera asertiva, clara, rigurosa y precisa, con
 el uso apropiado de recursos tecnológicos.")</f>
        <v>Comunica a diversos públicos, información de su campo profesional, en
 varios lenguajes y formatos de manera asertiva, clara, rigurosa y precisa, con
 el uso apropiado de recursos tecnológicos.</v>
      </c>
      <c r="F9" s="71">
        <f>IFERROR(__xludf.DUMMYFUNCTION("""COMPUTED_VALUE"""),7.0)</f>
        <v>7</v>
      </c>
      <c r="G9" s="71" t="str">
        <f>IFERROR(__xludf.DUMMYFUNCTION("""COMPUTED_VALUE"""),"Actualiza permanente sus conocimientos relacionados con TIC en general,
 apoyándose en las estrategias de aprendizaje apropiadas.")</f>
        <v>Actualiza permanente sus conocimientos relacionados con TIC en general,
 apoyándose en las estrategias de aprendizaje apropiadas.</v>
      </c>
      <c r="I9" s="71" t="s">
        <v>73</v>
      </c>
      <c r="J9" s="71" t="str">
        <f>IFERROR(__xludf.DUMMYFUNCTION("""COMPUTED_VALUE"""),"Recordar")</f>
        <v>Recordar</v>
      </c>
      <c r="K9" s="71" t="str">
        <f>IFERROR(__xludf.DUMMYFUNCTION("""COMPUTED_VALUE"""),"Enumerar")</f>
        <v>Enumerar</v>
      </c>
      <c r="L9" s="71"/>
      <c r="N9" s="71" t="str">
        <f>IFERROR(__xludf.DUMMYFUNCTION("""COMPUTED_VALUE"""),"Incluso")</f>
        <v>Incluso</v>
      </c>
      <c r="P9" s="71" t="str">
        <f>IFERROR(__xludf.DUMMYFUNCTION("""COMPUTED_VALUE"""),"GABRIEL ALEJANDRO DÍAZ LÓPEZ")</f>
        <v>GABRIEL ALEJANDRO DÍAZ LÓPEZ</v>
      </c>
    </row>
    <row r="10">
      <c r="A10" s="71" t="str">
        <f>IFERROR(__xludf.DUMMYFUNCTION("""COMPUTED_VALUE"""),"960 - Matemática Para Computación 1")</f>
        <v>960 - Matemática Para Computación 1</v>
      </c>
      <c r="B10" s="71"/>
      <c r="C10" s="71">
        <f>IFERROR(__xludf.DUMMYFUNCTION("""COMPUTED_VALUE"""),8.0)</f>
        <v>8</v>
      </c>
      <c r="D10" s="71" t="str">
        <f>IFERROR(__xludf.DUMMYFUNCTION("""COMPUTED_VALUE"""),"Se comunica correctamente en su lengua oficial y utiliza una lengua
 extranjera con el dominio requerido para el ejercicio de su profesión.")</f>
        <v>Se comunica correctamente en su lengua oficial y utiliza una lengua
 extranjera con el dominio requerido para el ejercicio de su profesión.</v>
      </c>
      <c r="I10" s="71" t="s">
        <v>74</v>
      </c>
      <c r="J10" s="71" t="str">
        <f>IFERROR(__xludf.DUMMYFUNCTION("""COMPUTED_VALUE"""),"Recordar")</f>
        <v>Recordar</v>
      </c>
      <c r="K10" s="71" t="str">
        <f>IFERROR(__xludf.DUMMYFUNCTION("""COMPUTED_VALUE"""),"Memorizar")</f>
        <v>Memorizar</v>
      </c>
      <c r="L10" s="71"/>
      <c r="N10" s="71" t="str">
        <f>IFERROR(__xludf.DUMMYFUNCTION("""COMPUTED_VALUE"""),"De la misma manera")</f>
        <v>De la misma manera</v>
      </c>
      <c r="P10" s="71" t="str">
        <f>IFERROR(__xludf.DUMMYFUNCTION("""COMPUTED_VALUE"""),"JURGEN ANDONI RAMIREZ RAMIREZ")</f>
        <v>JURGEN ANDONI RAMIREZ RAMIREZ</v>
      </c>
    </row>
    <row r="11">
      <c r="A11" s="71" t="str">
        <f>IFERROR(__xludf.DUMMYFUNCTION("""COMPUTED_VALUE"""),"147 - Física Básica")</f>
        <v>147 - Física Básica</v>
      </c>
      <c r="B11" s="71"/>
      <c r="C11" s="71">
        <f>IFERROR(__xludf.DUMMYFUNCTION("""COMPUTED_VALUE"""),9.0)</f>
        <v>9</v>
      </c>
      <c r="D11" s="71" t="str">
        <f>IFERROR(__xludf.DUMMYFUNCTION("""COMPUTED_VALUE"""),"Lidera y colabora proactivamente en equipos de trabajo y en comunidades
 profesionales para el logro de objetivos y mejoramiento de la calidad de vida.")</f>
        <v>Lidera y colabora proactivamente en equipos de trabajo y en comunidades
 profesionales para el logro de objetivos y mejoramiento de la calidad de vida.</v>
      </c>
      <c r="I11" s="71" t="s">
        <v>75</v>
      </c>
      <c r="J11" s="71" t="str">
        <f>IFERROR(__xludf.DUMMYFUNCTION("""COMPUTED_VALUE"""),"Recordar")</f>
        <v>Recordar</v>
      </c>
      <c r="K11" s="71" t="str">
        <f>IFERROR(__xludf.DUMMYFUNCTION("""COMPUTED_VALUE"""),"Registrar")</f>
        <v>Registrar</v>
      </c>
      <c r="L11" s="71"/>
      <c r="N11" s="71" t="str">
        <f>IFERROR(__xludf.DUMMYFUNCTION("""COMPUTED_VALUE"""),"Así como")</f>
        <v>Así como</v>
      </c>
      <c r="P11" s="71" t="str">
        <f>IFERROR(__xludf.DUMMYFUNCTION("""COMPUTED_VALUE"""),"LUIS FERNANDO ESPINO BARRIOS")</f>
        <v>LUIS FERNANDO ESPINO BARRIOS</v>
      </c>
    </row>
    <row r="12">
      <c r="A12" s="71" t="str">
        <f>IFERROR(__xludf.DUMMYFUNCTION("""COMPUTED_VALUE"""),"40 - Deportes 2")</f>
        <v>40 - Deportes 2</v>
      </c>
      <c r="B12" s="71"/>
      <c r="I12" s="71" t="s">
        <v>76</v>
      </c>
      <c r="J12" s="71" t="str">
        <f>IFERROR(__xludf.DUMMYFUNCTION("""COMPUTED_VALUE"""),"Recordar")</f>
        <v>Recordar</v>
      </c>
      <c r="K12" s="71" t="str">
        <f>IFERROR(__xludf.DUMMYFUNCTION("""COMPUTED_VALUE"""),"Reproducir")</f>
        <v>Reproducir</v>
      </c>
      <c r="L12" s="71"/>
      <c r="N12" s="71" t="str">
        <f>IFERROR(__xludf.DUMMYFUNCTION("""COMPUTED_VALUE"""),"Sin embargo")</f>
        <v>Sin embargo</v>
      </c>
      <c r="P12" s="71" t="str">
        <f>IFERROR(__xludf.DUMMYFUNCTION("""COMPUTED_VALUE"""),"ALVARO GIOVANNI LONGO MORALES")</f>
        <v>ALVARO GIOVANNI LONGO MORALES</v>
      </c>
    </row>
    <row r="13">
      <c r="A13" s="71" t="str">
        <f>IFERROR(__xludf.DUMMYFUNCTION("""COMPUTED_VALUE"""),"8 - Idioma Técnico 2")</f>
        <v>8 - Idioma Técnico 2</v>
      </c>
      <c r="B13" s="71"/>
      <c r="I13" s="71" t="s">
        <v>77</v>
      </c>
      <c r="J13" s="71" t="str">
        <f>IFERROR(__xludf.DUMMYFUNCTION("""COMPUTED_VALUE"""),"Comprender")</f>
        <v>Comprender</v>
      </c>
      <c r="K13" s="71" t="str">
        <f>IFERROR(__xludf.DUMMYFUNCTION("""COMPUTED_VALUE"""),"Explicar")</f>
        <v>Explicar</v>
      </c>
      <c r="L13" s="71"/>
      <c r="N13" s="71" t="str">
        <f>IFERROR(__xludf.DUMMYFUNCTION("""COMPUTED_VALUE"""),"No obstante")</f>
        <v>No obstante</v>
      </c>
      <c r="P13" s="71" t="str">
        <f>IFERROR(__xludf.DUMMYFUNCTION("""COMPUTED_VALUE"""),"OTTO AMILCAR RODRIGUEZ ACOSTA")</f>
        <v>OTTO AMILCAR RODRIGUEZ ACOSTA</v>
      </c>
    </row>
    <row r="14">
      <c r="A14" s="71" t="str">
        <f>IFERROR(__xludf.DUMMYFUNCTION("""COMPUTED_VALUE"""),"795 - Logica de Sitemas")</f>
        <v>795 - Logica de Sitemas</v>
      </c>
      <c r="B14" s="71" t="str">
        <f>IFERROR(__xludf.DUMMYFUNCTION("""COMPUTED_VALUE"""),"1tGblVNcAY7QU_u00ZUgf5GJjDZOK39vXt9FvZeMfPKg")</f>
        <v>1tGblVNcAY7QU_u00ZUgf5GJjDZOK39vXt9FvZeMfPKg</v>
      </c>
      <c r="I14" s="71" t="s">
        <v>78</v>
      </c>
      <c r="J14" s="71" t="str">
        <f>IFERROR(__xludf.DUMMYFUNCTION("""COMPUTED_VALUE"""),"Comprender")</f>
        <v>Comprender</v>
      </c>
      <c r="K14" s="71" t="str">
        <f>IFERROR(__xludf.DUMMYFUNCTION("""COMPUTED_VALUE"""),"Describir")</f>
        <v>Describir</v>
      </c>
      <c r="L14" s="71"/>
      <c r="N14" s="71" t="str">
        <f>IFERROR(__xludf.DUMMYFUNCTION("""COMPUTED_VALUE"""),"Aunque")</f>
        <v>Aunque</v>
      </c>
      <c r="P14" s="71" t="str">
        <f>IFERROR(__xludf.DUMMYFUNCTION("""COMPUTED_VALUE"""),"LUIS ALBERTO ARIAS")</f>
        <v>LUIS ALBERTO ARIAS</v>
      </c>
    </row>
    <row r="15">
      <c r="A15" s="71" t="str">
        <f>IFERROR(__xludf.DUMMYFUNCTION("""COMPUTED_VALUE"""),"962 - Matemática Para Computación 2")</f>
        <v>962 - Matemática Para Computación 2</v>
      </c>
      <c r="B15" s="71"/>
      <c r="I15" s="71" t="s">
        <v>79</v>
      </c>
      <c r="J15" s="71" t="str">
        <f>IFERROR(__xludf.DUMMYFUNCTION("""COMPUTED_VALUE"""),"Comprender")</f>
        <v>Comprender</v>
      </c>
      <c r="K15" s="71" t="str">
        <f>IFERROR(__xludf.DUMMYFUNCTION("""COMPUTED_VALUE"""),"Interpretar")</f>
        <v>Interpretar</v>
      </c>
      <c r="L15" s="71"/>
      <c r="N15" s="71" t="str">
        <f>IFERROR(__xludf.DUMMYFUNCTION("""COMPUTED_VALUE"""),"A pesar de")</f>
        <v>A pesar de</v>
      </c>
      <c r="P15" s="71" t="str">
        <f>IFERROR(__xludf.DUMMYFUNCTION("""COMPUTED_VALUE"""),"ILEANA GUISELA RALDA RECINOS")</f>
        <v>ILEANA GUISELA RALDA RECINOS</v>
      </c>
    </row>
    <row r="16">
      <c r="A16" s="71" t="str">
        <f>IFERROR(__xludf.DUMMYFUNCTION("""COMPUTED_VALUE"""),"770 - Introducción a ala programación y computación 1")</f>
        <v>770 - Introducción a ala programación y computación 1</v>
      </c>
      <c r="B16" s="71" t="str">
        <f>IFERROR(__xludf.DUMMYFUNCTION("""COMPUTED_VALUE"""),"1hnCz3e7R539DMJA_6KBromYXyQWjR5cbX4eUFYyZB78")</f>
        <v>1hnCz3e7R539DMJA_6KBromYXyQWjR5cbX4eUFYyZB78</v>
      </c>
      <c r="I16" s="71" t="s">
        <v>80</v>
      </c>
      <c r="J16" s="71" t="str">
        <f>IFERROR(__xludf.DUMMYFUNCTION("""COMPUTED_VALUE"""),"Comprender")</f>
        <v>Comprender</v>
      </c>
      <c r="K16" s="71" t="str">
        <f>IFERROR(__xludf.DUMMYFUNCTION("""COMPUTED_VALUE"""),"Parafrasear")</f>
        <v>Parafrasear</v>
      </c>
      <c r="L16" s="71"/>
      <c r="N16" s="71" t="str">
        <f>IFERROR(__xludf.DUMMYFUNCTION("""COMPUTED_VALUE"""),"Por el contrario")</f>
        <v>Por el contrario</v>
      </c>
      <c r="P16" s="71" t="str">
        <f>IFERROR(__xludf.DUMMYFUNCTION("""COMPUTED_VALUE"""),"EVELYN CAROLINA MORALES RUIZ")</f>
        <v>EVELYN CAROLINA MORALES RUIZ</v>
      </c>
    </row>
    <row r="17">
      <c r="A17" s="71" t="str">
        <f>IFERROR(__xludf.DUMMYFUNCTION("""COMPUTED_VALUE"""),"107 - Área Matemática Intermedia 1")</f>
        <v>107 - Área Matemática Intermedia 1</v>
      </c>
      <c r="B17" s="71"/>
      <c r="I17" s="71" t="s">
        <v>81</v>
      </c>
      <c r="J17" s="71" t="str">
        <f>IFERROR(__xludf.DUMMYFUNCTION("""COMPUTED_VALUE"""),"Comprender")</f>
        <v>Comprender</v>
      </c>
      <c r="K17" s="71" t="str">
        <f>IFERROR(__xludf.DUMMYFUNCTION("""COMPUTED_VALUE"""),"Resumir")</f>
        <v>Resumir</v>
      </c>
      <c r="L17" s="71"/>
      <c r="N17" s="71" t="str">
        <f>IFERROR(__xludf.DUMMYFUNCTION("""COMPUTED_VALUE"""),"En cambio")</f>
        <v>En cambio</v>
      </c>
      <c r="P17" s="71" t="str">
        <f>IFERROR(__xludf.DUMMYFUNCTION("""COMPUTED_VALUE"""),"EDGAR RENE ORNELIS HOIL")</f>
        <v>EDGAR RENE ORNELIS HOIL</v>
      </c>
    </row>
    <row r="18">
      <c r="A18" s="71" t="str">
        <f>IFERROR(__xludf.DUMMYFUNCTION("""COMPUTED_VALUE"""),"150 - Fisica 1")</f>
        <v>150 - Fisica 1</v>
      </c>
      <c r="B18" s="71"/>
      <c r="I18" s="71" t="s">
        <v>82</v>
      </c>
      <c r="J18" s="71" t="str">
        <f>IFERROR(__xludf.DUMMYFUNCTION("""COMPUTED_VALUE"""),"Comprender")</f>
        <v>Comprender</v>
      </c>
      <c r="K18" s="71" t="str">
        <f>IFERROR(__xludf.DUMMYFUNCTION("""COMPUTED_VALUE"""),"Clasificar")</f>
        <v>Clasificar</v>
      </c>
      <c r="L18" s="71"/>
      <c r="N18" s="71" t="str">
        <f>IFERROR(__xludf.DUMMYFUNCTION("""COMPUTED_VALUE"""),"Mientras que")</f>
        <v>Mientras que</v>
      </c>
      <c r="P18" s="71" t="str">
        <f>IFERROR(__xludf.DUMMYFUNCTION("""COMPUTED_VALUE"""),"ALVARO OBRAYAN HERNANDEZ GARCIA")</f>
        <v>ALVARO OBRAYAN HERNANDEZ GARCIA</v>
      </c>
    </row>
    <row r="19">
      <c r="A19" s="71" t="str">
        <f>IFERROR(__xludf.DUMMYFUNCTION("""COMPUTED_VALUE"""),"1 - Ética Profesional")</f>
        <v>1 - Ética Profesional</v>
      </c>
      <c r="B19" s="71"/>
      <c r="I19" s="71" t="s">
        <v>83</v>
      </c>
      <c r="J19" s="71" t="str">
        <f>IFERROR(__xludf.DUMMYFUNCTION("""COMPUTED_VALUE"""),"Comprender")</f>
        <v>Comprender</v>
      </c>
      <c r="K19" s="71" t="str">
        <f>IFERROR(__xludf.DUMMYFUNCTION("""COMPUTED_VALUE"""),"Ejemplificar")</f>
        <v>Ejemplificar</v>
      </c>
      <c r="L19" s="71"/>
      <c r="N19" s="71" t="str">
        <f>IFERROR(__xludf.DUMMYFUNCTION("""COMPUTED_VALUE"""),"Por otra parte")</f>
        <v>Por otra parte</v>
      </c>
      <c r="P19" s="71" t="str">
        <f>IFERROR(__xludf.DUMMYFUNCTION("""COMPUTED_VALUE"""),"LUIS FERNANDO ESPINO BARRIOS")</f>
        <v>LUIS FERNANDO ESPINO BARRIOS</v>
      </c>
    </row>
    <row r="20">
      <c r="A20" s="71" t="str">
        <f>IFERROR(__xludf.DUMMYFUNCTION("""COMPUTED_VALUE"""),"9 - Idioma Técnico 3")</f>
        <v>9 - Idioma Técnico 3</v>
      </c>
      <c r="B20" s="71"/>
      <c r="I20" s="71" t="s">
        <v>84</v>
      </c>
      <c r="J20" s="71" t="str">
        <f>IFERROR(__xludf.DUMMYFUNCTION("""COMPUTED_VALUE"""),"Comprender")</f>
        <v>Comprender</v>
      </c>
      <c r="K20" s="71" t="str">
        <f>IFERROR(__xludf.DUMMYFUNCTION("""COMPUTED_VALUE"""),"Inferir")</f>
        <v>Inferir</v>
      </c>
      <c r="L20" s="71"/>
      <c r="N20" s="71" t="str">
        <f>IFERROR(__xludf.DUMMYFUNCTION("""COMPUTED_VALUE"""),"Si bien")</f>
        <v>Si bien</v>
      </c>
      <c r="P20" s="71" t="str">
        <f>IFERROR(__xludf.DUMMYFUNCTION("""COMPUTED_VALUE"""),"MARIO JOSE BAUTISTA FUENTES")</f>
        <v>MARIO JOSE BAUTISTA FUENTES</v>
      </c>
    </row>
    <row r="21">
      <c r="A21" s="71" t="str">
        <f>IFERROR(__xludf.DUMMYFUNCTION("""COMPUTED_VALUE"""),"796 - Lenguajes Formales y de Programación")</f>
        <v>796 - Lenguajes Formales y de Programación</v>
      </c>
      <c r="B21" s="71" t="str">
        <f>IFERROR(__xludf.DUMMYFUNCTION("""COMPUTED_VALUE"""),"1-dPQ2ZCWWgBi4gyaV8KmnDWxF063I-zfJutKPMwJjrw")</f>
        <v>1-dPQ2ZCWWgBi4gyaV8KmnDWxF063I-zfJutKPMwJjrw</v>
      </c>
      <c r="I21" s="71" t="s">
        <v>85</v>
      </c>
      <c r="J21" s="71" t="str">
        <f>IFERROR(__xludf.DUMMYFUNCTION("""COMPUTED_VALUE"""),"Comprender")</f>
        <v>Comprender</v>
      </c>
      <c r="K21" s="71" t="str">
        <f>IFERROR(__xludf.DUMMYFUNCTION("""COMPUTED_VALUE"""),"Comparar")</f>
        <v>Comparar</v>
      </c>
      <c r="L21" s="71"/>
      <c r="N21" s="71" t="str">
        <f>IFERROR(__xludf.DUMMYFUNCTION("""COMPUTED_VALUE"""),"Aun cuando")</f>
        <v>Aun cuando</v>
      </c>
      <c r="P21" s="71" t="str">
        <f>IFERROR(__xludf.DUMMYFUNCTION("""COMPUTED_VALUE"""),"LUIS ALBERTO VETTORAZZI ESPANA")</f>
        <v>LUIS ALBERTO VETTORAZZI ESPANA</v>
      </c>
    </row>
    <row r="22">
      <c r="A22" s="71" t="str">
        <f>IFERROR(__xludf.DUMMYFUNCTION("""COMPUTED_VALUE"""),"771 - Introducción a la Programación y Computación 2")</f>
        <v>771 - Introducción a la Programación y Computación 2</v>
      </c>
      <c r="B22" s="71" t="str">
        <f>IFERROR(__xludf.DUMMYFUNCTION("""COMPUTED_VALUE"""),"1__RmanO4MiKBpppCFzGzdDC2fWb5cD2m02xjOur_6nk")</f>
        <v>1__RmanO4MiKBpppCFzGzdDC2fWb5cD2m02xjOur_6nk</v>
      </c>
      <c r="I22" s="71" t="s">
        <v>86</v>
      </c>
      <c r="J22" s="71" t="str">
        <f>IFERROR(__xludf.DUMMYFUNCTION("""COMPUTED_VALUE"""),"Comprender")</f>
        <v>Comprender</v>
      </c>
      <c r="K22" s="71" t="str">
        <f>IFERROR(__xludf.DUMMYFUNCTION("""COMPUTED_VALUE"""),"Traducir")</f>
        <v>Traducir</v>
      </c>
      <c r="L22" s="71"/>
      <c r="N22" s="71" t="str">
        <f>IFERROR(__xludf.DUMMYFUNCTION("""COMPUTED_VALUE"""),"Porque")</f>
        <v>Porque</v>
      </c>
      <c r="P22" s="71" t="str">
        <f>IFERROR(__xludf.DUMMYFUNCTION("""COMPUTED_VALUE"""),"LUIS FERNANDO ESPINO BARRIOS")</f>
        <v>LUIS FERNANDO ESPINO BARRIOS</v>
      </c>
    </row>
    <row r="23">
      <c r="A23" s="71" t="str">
        <f>IFERROR(__xludf.DUMMYFUNCTION("""COMPUTED_VALUE"""),"112 - Área Matemática Intermedia 2")</f>
        <v>112 - Área Matemática Intermedia 2</v>
      </c>
      <c r="B23" s="71"/>
      <c r="I23" s="71" t="s">
        <v>87</v>
      </c>
      <c r="J23" s="71" t="str">
        <f>IFERROR(__xludf.DUMMYFUNCTION("""COMPUTED_VALUE"""),"Aplicar")</f>
        <v>Aplicar</v>
      </c>
      <c r="K23" s="71" t="str">
        <f>IFERROR(__xludf.DUMMYFUNCTION("""COMPUTED_VALUE"""),"Implementar")</f>
        <v>Implementar</v>
      </c>
      <c r="L23" s="71"/>
      <c r="N23" s="71" t="str">
        <f>IFERROR(__xludf.DUMMYFUNCTION("""COMPUTED_VALUE"""),"Ya que")</f>
        <v>Ya que</v>
      </c>
      <c r="P23" s="71" t="str">
        <f>IFERROR(__xludf.DUMMYFUNCTION("""COMPUTED_VALUE"""),"GABRIEL ALEJANDRO DÍAZ LÓPEZ")</f>
        <v>GABRIEL ALEJANDRO DÍAZ LÓPEZ</v>
      </c>
    </row>
    <row r="24">
      <c r="A24" s="71" t="str">
        <f>IFERROR(__xludf.DUMMYFUNCTION("""COMPUTED_VALUE"""),"114 - Área Matemática Intermedia 3")</f>
        <v>114 - Área Matemática Intermedia 3</v>
      </c>
      <c r="B24" s="71"/>
      <c r="I24" s="71" t="s">
        <v>88</v>
      </c>
      <c r="J24" s="71" t="str">
        <f>IFERROR(__xludf.DUMMYFUNCTION("""COMPUTED_VALUE"""),"Aplicar")</f>
        <v>Aplicar</v>
      </c>
      <c r="K24" s="71" t="str">
        <f>IFERROR(__xludf.DUMMYFUNCTION("""COMPUTED_VALUE"""),"Ejecutar")</f>
        <v>Ejecutar</v>
      </c>
      <c r="L24" s="71"/>
      <c r="N24" s="71" t="str">
        <f>IFERROR(__xludf.DUMMYFUNCTION("""COMPUTED_VALUE"""),"Debido a que")</f>
        <v>Debido a que</v>
      </c>
      <c r="P24" s="71" t="str">
        <f>IFERROR(__xludf.DUMMYFUNCTION("""COMPUTED_VALUE"""),"WILLIAM ESTUARDO ESCOBAR ARGUETA")</f>
        <v>WILLIAM ESTUARDO ESCOBAR ARGUETA</v>
      </c>
    </row>
    <row r="25">
      <c r="A25" s="71" t="str">
        <f>IFERROR(__xludf.DUMMYFUNCTION("""COMPUTED_VALUE"""),"152 - Física 2")</f>
        <v>152 - Física 2</v>
      </c>
      <c r="B25" s="71"/>
      <c r="I25" s="71" t="s">
        <v>89</v>
      </c>
      <c r="J25" s="71" t="str">
        <f>IFERROR(__xludf.DUMMYFUNCTION("""COMPUTED_VALUE"""),"Aplicar")</f>
        <v>Aplicar</v>
      </c>
      <c r="K25" s="71" t="str">
        <f>IFERROR(__xludf.DUMMYFUNCTION("""COMPUTED_VALUE"""),"Usar")</f>
        <v>Usar</v>
      </c>
      <c r="L25" s="71"/>
      <c r="N25" s="71" t="str">
        <f>IFERROR(__xludf.DUMMYFUNCTION("""COMPUTED_VALUE"""),"Puesto que")</f>
        <v>Puesto que</v>
      </c>
      <c r="P25" s="71" t="str">
        <f>IFERROR(__xludf.DUMMYFUNCTION("""COMPUTED_VALUE"""),"MOISES EDUARDO VELASQUEZ OLIVA")</f>
        <v>MOISES EDUARDO VELASQUEZ OLIVA</v>
      </c>
    </row>
    <row r="26">
      <c r="A26" s="71" t="str">
        <f>IFERROR(__xludf.DUMMYFUNCTION("""COMPUTED_VALUE"""),"10 - Lógica")</f>
        <v>10 - Lógica</v>
      </c>
      <c r="B26" s="71"/>
      <c r="I26" s="71" t="s">
        <v>90</v>
      </c>
      <c r="J26" s="71" t="str">
        <f>IFERROR(__xludf.DUMMYFUNCTION("""COMPUTED_VALUE"""),"Aplicar")</f>
        <v>Aplicar</v>
      </c>
      <c r="K26" s="71" t="str">
        <f>IFERROR(__xludf.DUMMYFUNCTION("""COMPUTED_VALUE"""),"Operar")</f>
        <v>Operar</v>
      </c>
      <c r="L26" s="71"/>
      <c r="N26" s="71" t="str">
        <f>IFERROR(__xludf.DUMMYFUNCTION("""COMPUTED_VALUE"""),"Como consecuencia de")</f>
        <v>Como consecuencia de</v>
      </c>
      <c r="P26" s="71" t="str">
        <f>IFERROR(__xludf.DUMMYFUNCTION("""COMPUTED_VALUE"""),"HERMAN IGOR VELIZ LINARES")</f>
        <v>HERMAN IGOR VELIZ LINARES</v>
      </c>
    </row>
    <row r="27">
      <c r="A27" s="71" t="str">
        <f>IFERROR(__xludf.DUMMYFUNCTION("""COMPUTED_VALUE"""),"11 - Idioma Técnico 4")</f>
        <v>11 - Idioma Técnico 4</v>
      </c>
      <c r="B27" s="71"/>
      <c r="I27" s="71" t="s">
        <v>91</v>
      </c>
      <c r="J27" s="71" t="str">
        <f>IFERROR(__xludf.DUMMYFUNCTION("""COMPUTED_VALUE"""),"Aplicar")</f>
        <v>Aplicar</v>
      </c>
      <c r="K27" s="71" t="str">
        <f>IFERROR(__xludf.DUMMYFUNCTION("""COMPUTED_VALUE"""),"Calcular")</f>
        <v>Calcular</v>
      </c>
      <c r="L27" s="71"/>
      <c r="N27" s="71" t="str">
        <f>IFERROR(__xludf.DUMMYFUNCTION("""COMPUTED_VALUE"""),"Gracias a")</f>
        <v>Gracias a</v>
      </c>
      <c r="P27" s="71" t="str">
        <f>IFERROR(__xludf.DUMMYFUNCTION("""COMPUTED_VALUE"""),"NEFTALI DE JESUS CALDERON MENDEZ")</f>
        <v>NEFTALI DE JESUS CALDERON MENDEZ</v>
      </c>
    </row>
    <row r="28">
      <c r="A28" s="71" t="str">
        <f>IFERROR(__xludf.DUMMYFUNCTION("""COMPUTED_VALUE"""),"2025 - Prácticas Iniciales")</f>
        <v>2025 - Prácticas Iniciales</v>
      </c>
      <c r="B28" s="71"/>
      <c r="I28" s="71" t="s">
        <v>92</v>
      </c>
      <c r="J28" s="71" t="str">
        <f>IFERROR(__xludf.DUMMYFUNCTION("""COMPUTED_VALUE"""),"Aplicar")</f>
        <v>Aplicar</v>
      </c>
      <c r="K28" s="71" t="str">
        <f>IFERROR(__xludf.DUMMYFUNCTION("""COMPUTED_VALUE"""),"Resolver")</f>
        <v>Resolver</v>
      </c>
      <c r="L28" s="71"/>
      <c r="N28" s="71" t="str">
        <f>IFERROR(__xludf.DUMMYFUNCTION("""COMPUTED_VALUE"""),"Pues")</f>
        <v>Pues</v>
      </c>
      <c r="P28" s="71" t="str">
        <f>IFERROR(__xludf.DUMMYFUNCTION("""COMPUTED_VALUE"""),"WILLIAM ESTUARDO ESCOBAR ARGUETA")</f>
        <v>WILLIAM ESTUARDO ESCOBAR ARGUETA</v>
      </c>
    </row>
    <row r="29">
      <c r="A29" s="71" t="str">
        <f>IFERROR(__xludf.DUMMYFUNCTION("""COMPUTED_VALUE"""),"732 - Estadística 1")</f>
        <v>732 - Estadística 1</v>
      </c>
      <c r="B29" s="71"/>
      <c r="I29" s="71" t="s">
        <v>93</v>
      </c>
      <c r="J29" s="71" t="str">
        <f>IFERROR(__xludf.DUMMYFUNCTION("""COMPUTED_VALUE"""),"Aplicar")</f>
        <v>Aplicar</v>
      </c>
      <c r="K29" s="71" t="str">
        <f>IFERROR(__xludf.DUMMYFUNCTION("""COMPUTED_VALUE"""),"Demostrar")</f>
        <v>Demostrar</v>
      </c>
      <c r="L29" s="71"/>
      <c r="N29" s="71" t="str">
        <f>IFERROR(__xludf.DUMMYFUNCTION("""COMPUTED_VALUE"""),"A causa de")</f>
        <v>A causa de</v>
      </c>
      <c r="P29" s="71" t="str">
        <f>IFERROR(__xludf.DUMMYFUNCTION("""COMPUTED_VALUE"""),"EDGAR FRANCISCO RODAS ROBLEDO")</f>
        <v>EDGAR FRANCISCO RODAS ROBLEDO</v>
      </c>
    </row>
    <row r="30">
      <c r="A30" s="71" t="str">
        <f>IFERROR(__xludf.DUMMYFUNCTION("""COMPUTED_VALUE"""),"777 - Organización de Lenguajes y Compiladores 1")</f>
        <v>777 - Organización de Lenguajes y Compiladores 1</v>
      </c>
      <c r="B30" s="71" t="str">
        <f>IFERROR(__xludf.DUMMYFUNCTION("""COMPUTED_VALUE"""),"1sMJr8kYIDF7fR6Jn6GMDZp8CdJCeGqxbVA5UTdBCrkM")</f>
        <v>1sMJr8kYIDF7fR6Jn6GMDZp8CdJCeGqxbVA5UTdBCrkM</v>
      </c>
      <c r="I30" s="71" t="s">
        <v>94</v>
      </c>
      <c r="J30" s="71" t="str">
        <f>IFERROR(__xludf.DUMMYFUNCTION("""COMPUTED_VALUE"""),"Aplicar")</f>
        <v>Aplicar</v>
      </c>
      <c r="K30" s="71" t="str">
        <f>IFERROR(__xludf.DUMMYFUNCTION("""COMPUTED_VALUE"""),"Desarrollar")</f>
        <v>Desarrollar</v>
      </c>
      <c r="L30" s="71"/>
      <c r="N30" s="71" t="str">
        <f>IFERROR(__xludf.DUMMYFUNCTION("""COMPUTED_VALUE"""),"En vista de que")</f>
        <v>En vista de que</v>
      </c>
      <c r="P30" s="71" t="str">
        <f>IFERROR(__xludf.DUMMYFUNCTION("""COMPUTED_VALUE"""),"MARLON ANTONIO PÉREZ TÜRK")</f>
        <v>MARLON ANTONIO PÉREZ TÜRK</v>
      </c>
    </row>
    <row r="31">
      <c r="A31" s="71" t="str">
        <f>IFERROR(__xludf.DUMMYFUNCTION("""COMPUTED_VALUE"""),"964 - Organización Computacional")</f>
        <v>964 - Organización Computacional</v>
      </c>
      <c r="B31" s="71" t="str">
        <f>IFERROR(__xludf.DUMMYFUNCTION("""COMPUTED_VALUE"""),"1daYmFoqU1khKZXb4p_ygv5jH4tkv8-tTjdTDSUh72F0")</f>
        <v>1daYmFoqU1khKZXb4p_ygv5jH4tkv8-tTjdTDSUh72F0</v>
      </c>
      <c r="I31" s="71" t="s">
        <v>95</v>
      </c>
      <c r="J31" s="71" t="str">
        <f>IFERROR(__xludf.DUMMYFUNCTION("""COMPUTED_VALUE"""),"Aplicar")</f>
        <v>Aplicar</v>
      </c>
      <c r="K31" s="71" t="str">
        <f>IFERROR(__xludf.DUMMYFUNCTION("""COMPUTED_VALUE"""),"Programar")</f>
        <v>Programar</v>
      </c>
      <c r="L31" s="71"/>
      <c r="N31" s="71" t="str">
        <f>IFERROR(__xludf.DUMMYFUNCTION("""COMPUTED_VALUE"""),"Dado que")</f>
        <v>Dado que</v>
      </c>
      <c r="P31" s="71" t="str">
        <f>IFERROR(__xludf.DUMMYFUNCTION("""COMPUTED_VALUE"""),"CLAUDIA LICETH ROJAS MORALES")</f>
        <v>CLAUDIA LICETH ROJAS MORALES</v>
      </c>
    </row>
    <row r="32">
      <c r="A32" s="71" t="str">
        <f>IFERROR(__xludf.DUMMYFUNCTION("""COMPUTED_VALUE"""),"772 - Estructuras de Datos")</f>
        <v>772 - Estructuras de Datos</v>
      </c>
      <c r="B32" s="71" t="str">
        <f>IFERROR(__xludf.DUMMYFUNCTION("""COMPUTED_VALUE"""),"1rTNY7hLmB5N26Z2z6EtF0axcaKKizdu0eLKqLiwUhto")</f>
        <v>1rTNY7hLmB5N26Z2z6EtF0axcaKKizdu0eLKqLiwUhto</v>
      </c>
      <c r="I32" s="71" t="s">
        <v>96</v>
      </c>
      <c r="J32" s="71" t="str">
        <f>IFERROR(__xludf.DUMMYFUNCTION("""COMPUTED_VALUE"""),"Aplicar")</f>
        <v>Aplicar</v>
      </c>
      <c r="K32" s="71" t="str">
        <f>IFERROR(__xludf.DUMMYFUNCTION("""COMPUTED_VALUE"""),"Depurar")</f>
        <v>Depurar</v>
      </c>
      <c r="L32" s="71"/>
      <c r="N32" s="71" t="str">
        <f>IFERROR(__xludf.DUMMYFUNCTION("""COMPUTED_VALUE"""),"para")</f>
        <v>para</v>
      </c>
      <c r="P32" s="71" t="str">
        <f>IFERROR(__xludf.DUMMYFUNCTION("""COMPUTED_VALUE"""),"JOSE MANUEL RUIZ JUAREZ")</f>
        <v>JOSE MANUEL RUIZ JUAREZ</v>
      </c>
    </row>
    <row r="33">
      <c r="A33" s="71" t="str">
        <f>IFERROR(__xludf.DUMMYFUNCTION("""COMPUTED_VALUE"""),"116 - Matemática Aplicada 3")</f>
        <v>116 - Matemática Aplicada 3</v>
      </c>
      <c r="B33" s="71"/>
      <c r="I33" s="71" t="s">
        <v>97</v>
      </c>
      <c r="J33" s="71" t="str">
        <f>IFERROR(__xludf.DUMMYFUNCTION("""COMPUTED_VALUE"""),"Evaluar")</f>
        <v>Evaluar</v>
      </c>
      <c r="K33" s="71" t="str">
        <f>IFERROR(__xludf.DUMMYFUNCTION("""COMPUTED_VALUE"""),"Comprobar")</f>
        <v>Comprobar</v>
      </c>
      <c r="L33" s="71"/>
      <c r="N33" s="71"/>
      <c r="P33" s="71" t="str">
        <f>IFERROR(__xludf.DUMMYFUNCTION("""COMPUTED_VALUE"""),"STANLY BARRIOS")</f>
        <v>STANLY BARRIOS</v>
      </c>
    </row>
    <row r="34">
      <c r="A34" s="71" t="str">
        <f>IFERROR(__xludf.DUMMYFUNCTION("""COMPUTED_VALUE"""),"118 - Matemática Aplicada 1")</f>
        <v>118 - Matemática Aplicada 1</v>
      </c>
      <c r="B34" s="71"/>
      <c r="I34" s="71" t="s">
        <v>98</v>
      </c>
      <c r="J34" s="71" t="str">
        <f>IFERROR(__xludf.DUMMYFUNCTION("""COMPUTED_VALUE"""),"Evaluar")</f>
        <v>Evaluar</v>
      </c>
      <c r="K34" s="71" t="str">
        <f>IFERROR(__xludf.DUMMYFUNCTION("""COMPUTED_VALUE"""),"Criticar")</f>
        <v>Criticar</v>
      </c>
      <c r="L34" s="71"/>
      <c r="N34" s="71"/>
      <c r="P34" s="71" t="str">
        <f>IFERROR(__xludf.DUMMYFUNCTION("""COMPUTED_VALUE"""),"EDWIN ESTUARDO ZAPETA GÓMEZ")</f>
        <v>EDWIN ESTUARDO ZAPETA GÓMEZ</v>
      </c>
    </row>
    <row r="35">
      <c r="A35" s="71" t="str">
        <f>IFERROR(__xludf.DUMMYFUNCTION("""COMPUTED_VALUE"""),"18 - Filosofía de la Ciencia")</f>
        <v>18 - Filosofía de la Ciencia</v>
      </c>
      <c r="B35" s="71"/>
      <c r="I35" s="71" t="s">
        <v>99</v>
      </c>
      <c r="J35" s="71" t="str">
        <f>IFERROR(__xludf.DUMMYFUNCTION("""COMPUTED_VALUE"""),"Evaluar")</f>
        <v>Evaluar</v>
      </c>
      <c r="K35" s="71" t="str">
        <f>IFERROR(__xludf.DUMMYFUNCTION("""COMPUTED_VALUE"""),"Revisar")</f>
        <v>Revisar</v>
      </c>
      <c r="L35" s="71"/>
      <c r="N35" s="71"/>
      <c r="P35" s="71" t="str">
        <f>IFERROR(__xludf.DUMMYFUNCTION("""COMPUTED_VALUE"""),"FERNANDO JOSÉ PAZ GONZÁLEZ")</f>
        <v>FERNANDO JOSÉ PAZ GONZÁLEZ</v>
      </c>
    </row>
    <row r="36">
      <c r="A36" s="71" t="str">
        <f>IFERROR(__xludf.DUMMYFUNCTION("""COMPUTED_VALUE"""),"722 - Teoría de Sistemas 1")</f>
        <v>722 - Teoría de Sistemas 1</v>
      </c>
      <c r="B36" s="71" t="str">
        <f>IFERROR(__xludf.DUMMYFUNCTION("""COMPUTED_VALUE"""),"1npGvBttUX2JHkjnmDRQmNhZacltUudlNKCQsLV09BaU")</f>
        <v>1npGvBttUX2JHkjnmDRQmNhZacltUudlNKCQsLV09BaU</v>
      </c>
      <c r="I36" s="71" t="s">
        <v>100</v>
      </c>
      <c r="J36" s="71" t="str">
        <f>IFERROR(__xludf.DUMMYFUNCTION("""COMPUTED_VALUE"""),"Evaluar")</f>
        <v>Evaluar</v>
      </c>
      <c r="K36" s="71" t="str">
        <f>IFERROR(__xludf.DUMMYFUNCTION("""COMPUTED_VALUE"""),"Justificar")</f>
        <v>Justificar</v>
      </c>
      <c r="L36" s="71"/>
      <c r="N36" s="71"/>
      <c r="P36" s="71" t="str">
        <f>IFERROR(__xludf.DUMMYFUNCTION("""COMPUTED_VALUE"""),"OTTO AMILCAR RODRIGUEZ ACOSTA")</f>
        <v>OTTO AMILCAR RODRIGUEZ ACOSTA</v>
      </c>
    </row>
    <row r="37">
      <c r="A37" s="71" t="str">
        <f>IFERROR(__xludf.DUMMYFUNCTION("""COMPUTED_VALUE"""),"601 - Investigación de Operaciones 1")</f>
        <v>601 - Investigación de Operaciones 1</v>
      </c>
      <c r="B37" s="71"/>
      <c r="I37" s="71" t="s">
        <v>101</v>
      </c>
      <c r="J37" s="71" t="str">
        <f>IFERROR(__xludf.DUMMYFUNCTION("""COMPUTED_VALUE"""),"Evaluar")</f>
        <v>Evaluar</v>
      </c>
      <c r="K37" s="71" t="str">
        <f>IFERROR(__xludf.DUMMYFUNCTION("""COMPUTED_VALUE"""),"Validar")</f>
        <v>Validar</v>
      </c>
      <c r="L37" s="71"/>
      <c r="N37" s="71"/>
      <c r="P37" s="71" t="str">
        <f>IFERROR(__xludf.DUMMYFUNCTION("""COMPUTED_VALUE"""),"DAMARIS CAMPOS DE LÓPEZ")</f>
        <v>DAMARIS CAMPOS DE LÓPEZ</v>
      </c>
    </row>
    <row r="38">
      <c r="A38" s="71" t="str">
        <f>IFERROR(__xludf.DUMMYFUNCTION("""COMPUTED_VALUE"""),"14 - Economía")</f>
        <v>14 - Economía</v>
      </c>
      <c r="B38" s="71" t="str">
        <f>IFERROR(__xludf.DUMMYFUNCTION("""COMPUTED_VALUE"""),"169ieOogZaXHMs_PddYQfqqWTOgqfbgT1NUf8dchmb4U")</f>
        <v>169ieOogZaXHMs_PddYQfqqWTOgqfbgT1NUf8dchmb4U</v>
      </c>
      <c r="I38" s="71" t="s">
        <v>102</v>
      </c>
      <c r="J38" s="71" t="str">
        <f>IFERROR(__xludf.DUMMYFUNCTION("""COMPUTED_VALUE"""),"Evaluar")</f>
        <v>Evaluar</v>
      </c>
      <c r="K38" s="71" t="str">
        <f>IFERROR(__xludf.DUMMYFUNCTION("""COMPUTED_VALUE"""),"Verificar")</f>
        <v>Verificar</v>
      </c>
      <c r="L38" s="71"/>
      <c r="N38" s="71"/>
      <c r="P38" s="71" t="str">
        <f>IFERROR(__xludf.DUMMYFUNCTION("""COMPUTED_VALUE"""),"David Estuardo Morales")</f>
        <v>David Estuardo Morales</v>
      </c>
    </row>
    <row r="39">
      <c r="A39" s="71" t="str">
        <f>IFERROR(__xludf.DUMMYFUNCTION("""COMPUTED_VALUE"""),"781 - Organización de Lenguajes y Compiladores 2")</f>
        <v>781 - Organización de Lenguajes y Compiladores 2</v>
      </c>
      <c r="B39" s="71" t="str">
        <f>IFERROR(__xludf.DUMMYFUNCTION("""COMPUTED_VALUE"""),"18dQYgiKWkpI2wogupgHf8u3PbCa0cKqMH6-ZsAIhLPw")</f>
        <v>18dQYgiKWkpI2wogupgHf8u3PbCa0cKqMH6-ZsAIhLPw</v>
      </c>
      <c r="I39" s="71" t="s">
        <v>103</v>
      </c>
      <c r="J39" s="71" t="str">
        <f>IFERROR(__xludf.DUMMYFUNCTION("""COMPUTED_VALUE"""),"Evaluar")</f>
        <v>Evaluar</v>
      </c>
      <c r="K39" s="71" t="str">
        <f>IFERROR(__xludf.DUMMYFUNCTION("""COMPUTED_VALUE"""),"Optimizar")</f>
        <v>Optimizar</v>
      </c>
      <c r="L39" s="71"/>
      <c r="N39" s="71"/>
      <c r="P39" s="71" t="str">
        <f>IFERROR(__xludf.DUMMYFUNCTION("""COMPUTED_VALUE"""),"ZULMA KARINA AGUIRRE ORDONEZ")</f>
        <v>ZULMA KARINA AGUIRRE ORDONEZ</v>
      </c>
    </row>
    <row r="40">
      <c r="A40" s="71" t="str">
        <f>IFERROR(__xludf.DUMMYFUNCTION("""COMPUTED_VALUE"""),"778 - Arquitectura de Computadoras y Ensambladores 1")</f>
        <v>778 - Arquitectura de Computadoras y Ensambladores 1</v>
      </c>
      <c r="B40" s="71" t="str">
        <f>IFERROR(__xludf.DUMMYFUNCTION("""COMPUTED_VALUE"""),"13gNb-7XS_aMptaL1TLnLB5k06Y_okRzOgjzOxLHNuiI")</f>
        <v>13gNb-7XS_aMptaL1TLnLB5k06Y_okRzOgjzOxLHNuiI</v>
      </c>
      <c r="I40" s="71" t="s">
        <v>104</v>
      </c>
      <c r="J40" s="71" t="str">
        <f>IFERROR(__xludf.DUMMYFUNCTION("""COMPUTED_VALUE"""),"Evaluar")</f>
        <v>Evaluar</v>
      </c>
      <c r="K40" s="71" t="str">
        <f>IFERROR(__xludf.DUMMYFUNCTION("""COMPUTED_VALUE"""),"Monitorear")</f>
        <v>Monitorear</v>
      </c>
      <c r="L40" s="71"/>
      <c r="N40" s="71"/>
      <c r="P40" s="71" t="str">
        <f>IFERROR(__xludf.DUMMYFUNCTION("""COMPUTED_VALUE"""),"VIRGINIA VICTORIA TALA AYERDI")</f>
        <v>VIRGINIA VICTORIA TALA AYERDI</v>
      </c>
    </row>
    <row r="41">
      <c r="A41" s="71" t="str">
        <f>IFERROR(__xludf.DUMMYFUNCTION("""COMPUTED_VALUE"""),"773 - Manejo e Implementación de Archivos")</f>
        <v>773 - Manejo e Implementación de Archivos</v>
      </c>
      <c r="B41" s="71" t="str">
        <f>IFERROR(__xludf.DUMMYFUNCTION("""COMPUTED_VALUE"""),"1VDaIod2C3XfezxQfz50xvWZ9yVVdVvNIqd-1xbJmaD8")</f>
        <v>1VDaIod2C3XfezxQfz50xvWZ9yVVdVvNIqd-1xbJmaD8</v>
      </c>
      <c r="I41" s="71" t="s">
        <v>105</v>
      </c>
      <c r="J41" s="71" t="str">
        <f>IFERROR(__xludf.DUMMYFUNCTION("""COMPUTED_VALUE"""),"Evaluar")</f>
        <v>Evaluar</v>
      </c>
      <c r="K41" s="71" t="str">
        <f>IFERROR(__xludf.DUMMYFUNCTION("""COMPUTED_VALUE"""),"Testear")</f>
        <v>Testear</v>
      </c>
      <c r="L41" s="71"/>
      <c r="N41" s="71"/>
      <c r="P41" s="71" t="str">
        <f>IFERROR(__xludf.DUMMYFUNCTION("""COMPUTED_VALUE"""),"FLORIZA FELIPA AVILA PESQUERA DE MEDINILLA")</f>
        <v>FLORIZA FELIPA AVILA PESQUERA DE MEDINILLA</v>
      </c>
    </row>
    <row r="42">
      <c r="A42" s="71" t="str">
        <f>IFERROR(__xludf.DUMMYFUNCTION("""COMPUTED_VALUE"""),"122 - Matemática Aplicada 4")</f>
        <v>122 - Matemática Aplicada 4</v>
      </c>
      <c r="B42" s="71"/>
      <c r="I42" s="71" t="s">
        <v>106</v>
      </c>
      <c r="J42" s="71" t="str">
        <f>IFERROR(__xludf.DUMMYFUNCTION("""COMPUTED_VALUE"""),"Evaluar")</f>
        <v>Evaluar</v>
      </c>
      <c r="K42" s="71" t="str">
        <f>IFERROR(__xludf.DUMMYFUNCTION("""COMPUTED_VALUE"""),"Determinar")</f>
        <v>Determinar</v>
      </c>
      <c r="L42" s="71"/>
      <c r="N42" s="71"/>
      <c r="P42" s="71" t="str">
        <f>IFERROR(__xludf.DUMMYFUNCTION("""COMPUTED_VALUE"""),"FLORIZA FELIPA AVILA PESQUERA DE MEDINILLA")</f>
        <v>FLORIZA FELIPA AVILA PESQUERA DE MEDINILLA</v>
      </c>
    </row>
    <row r="43">
      <c r="A43" s="71" t="str">
        <f>IFERROR(__xludf.DUMMYFUNCTION("""COMPUTED_VALUE"""),"120 - Matemática Aplicada 2")</f>
        <v>120 - Matemática Aplicada 2</v>
      </c>
      <c r="B43" s="71"/>
      <c r="I43" s="71" t="s">
        <v>107</v>
      </c>
      <c r="J43" s="71" t="str">
        <f>IFERROR(__xludf.DUMMYFUNCTION("""COMPUTED_VALUE"""),"Crear")</f>
        <v>Crear</v>
      </c>
      <c r="K43" s="71" t="str">
        <f>IFERROR(__xludf.DUMMYFUNCTION("""COMPUTED_VALUE"""),"Diseñar")</f>
        <v>Diseñar</v>
      </c>
      <c r="L43" s="71"/>
      <c r="N43" s="71"/>
      <c r="P43" s="71" t="str">
        <f>IFERROR(__xludf.DUMMYFUNCTION("""COMPUTED_VALUE"""),"JUAN ALVARO DIAZ ARDAVIN")</f>
        <v>JUAN ALVARO DIAZ ARDAVIN</v>
      </c>
    </row>
    <row r="44">
      <c r="A44" s="71" t="str">
        <f>IFERROR(__xludf.DUMMYFUNCTION("""COMPUTED_VALUE"""),"200 - Ingeniería Eléctrica 1")</f>
        <v>200 - Ingeniería Eléctrica 1</v>
      </c>
      <c r="B44" s="71"/>
      <c r="I44" s="71" t="s">
        <v>108</v>
      </c>
      <c r="J44" s="71" t="str">
        <f>IFERROR(__xludf.DUMMYFUNCTION("""COMPUTED_VALUE"""),"Crear")</f>
        <v>Crear</v>
      </c>
      <c r="K44" s="71" t="str">
        <f>IFERROR(__xludf.DUMMYFUNCTION("""COMPUTED_VALUE"""),"Construir")</f>
        <v>Construir</v>
      </c>
      <c r="L44" s="71"/>
      <c r="N44" s="71"/>
      <c r="P44" s="71" t="str">
        <f>IFERROR(__xludf.DUMMYFUNCTION("""COMPUTED_VALUE"""),"WILLIAM ESTUARDO ESCOBAR ARGUETA")</f>
        <v>WILLIAM ESTUARDO ESCOBAR ARGUETA</v>
      </c>
    </row>
    <row r="45">
      <c r="A45" s="71" t="str">
        <f>IFERROR(__xludf.DUMMYFUNCTION("""COMPUTED_VALUE"""),"724 - Teoría de Sistemas 2")</f>
        <v>724 - Teoría de Sistemas 2</v>
      </c>
      <c r="B45" s="71" t="str">
        <f>IFERROR(__xludf.DUMMYFUNCTION("""COMPUTED_VALUE"""),"1Oh-yJJ9oc8SdDPJao-u31YXfwOPrsifu2o1a7Sf2-9k")</f>
        <v>1Oh-yJJ9oc8SdDPJao-u31YXfwOPrsifu2o1a7Sf2-9k</v>
      </c>
      <c r="I45" s="71" t="s">
        <v>109</v>
      </c>
      <c r="J45" s="71" t="str">
        <f>IFERROR(__xludf.DUMMYFUNCTION("""COMPUTED_VALUE"""),"Crear")</f>
        <v>Crear</v>
      </c>
      <c r="K45" s="71" t="str">
        <f>IFERROR(__xludf.DUMMYFUNCTION("""COMPUTED_VALUE"""),"Producir")</f>
        <v>Producir</v>
      </c>
      <c r="L45" s="71"/>
      <c r="N45" s="71"/>
      <c r="P45" s="71" t="str">
        <f>IFERROR(__xludf.DUMMYFUNCTION("""COMPUTED_VALUE"""),"OSCAR ALEJANDRO PAZ CAMPOS")</f>
        <v>OSCAR ALEJANDRO PAZ CAMPOS</v>
      </c>
    </row>
    <row r="46">
      <c r="A46" s="71" t="str">
        <f>IFERROR(__xludf.DUMMYFUNCTION("""COMPUTED_VALUE"""),"603 - Investigación de Operaciones 2")</f>
        <v>603 - Investigación de Operaciones 2</v>
      </c>
      <c r="B46" s="71"/>
      <c r="I46" s="71" t="s">
        <v>110</v>
      </c>
      <c r="J46" s="71" t="str">
        <f>IFERROR(__xludf.DUMMYFUNCTION("""COMPUTED_VALUE"""),"Crear")</f>
        <v>Crear</v>
      </c>
      <c r="K46" s="71" t="str">
        <f>IFERROR(__xludf.DUMMYFUNCTION("""COMPUTED_VALUE"""),"Planificar")</f>
        <v>Planificar</v>
      </c>
      <c r="L46" s="71"/>
      <c r="N46" s="71"/>
      <c r="P46" s="71" t="str">
        <f>IFERROR(__xludf.DUMMYFUNCTION("""COMPUTED_VALUE"""),"JURGEN ANDONI RAMIREZ RAMIREZ")</f>
        <v>JURGEN ANDONI RAMIREZ RAMIREZ</v>
      </c>
    </row>
    <row r="47">
      <c r="A47" s="71" t="str">
        <f>IFERROR(__xludf.DUMMYFUNCTION("""COMPUTED_VALUE"""),"734 - Estadística 2")</f>
        <v>734 - Estadística 2</v>
      </c>
      <c r="B47" s="71"/>
      <c r="I47" s="71" t="s">
        <v>111</v>
      </c>
      <c r="J47" s="71" t="str">
        <f>IFERROR(__xludf.DUMMYFUNCTION("""COMPUTED_VALUE"""),"Crear")</f>
        <v>Crear</v>
      </c>
      <c r="K47" s="71" t="str">
        <f>IFERROR(__xludf.DUMMYFUNCTION("""COMPUTED_VALUE"""),"Elaborar")</f>
        <v>Elaborar</v>
      </c>
      <c r="L47" s="71"/>
      <c r="N47" s="71"/>
      <c r="P47" s="71" t="str">
        <f>IFERROR(__xludf.DUMMYFUNCTION("""COMPUTED_VALUE"""),"CESAR AUGUSTO FERNANDEZ CACERES")</f>
        <v>CESAR AUGUSTO FERNANDEZ CACERES</v>
      </c>
    </row>
    <row r="48">
      <c r="A48" s="71" t="str">
        <f>IFERROR(__xludf.DUMMYFUNCTION("""COMPUTED_VALUE"""),"281 - Sistemas Operativos 1")</f>
        <v>281 - Sistemas Operativos 1</v>
      </c>
      <c r="B48" s="71" t="str">
        <f>IFERROR(__xludf.DUMMYFUNCTION("""COMPUTED_VALUE"""),"1RAzDRLQZEv8Ck7PxnFQbrklrekiw5bDJFX0wgP7vFSQ")</f>
        <v>1RAzDRLQZEv8Ck7PxnFQbrklrekiw5bDJFX0wgP7vFSQ</v>
      </c>
      <c r="I48" s="71" t="s">
        <v>112</v>
      </c>
      <c r="J48" s="71" t="str">
        <f>IFERROR(__xludf.DUMMYFUNCTION("""COMPUTED_VALUE"""),"Crear")</f>
        <v>Crear</v>
      </c>
      <c r="K48" s="71" t="str">
        <f>IFERROR(__xludf.DUMMYFUNCTION("""COMPUTED_VALUE"""),"Formular")</f>
        <v>Formular</v>
      </c>
      <c r="L48" s="71"/>
      <c r="N48" s="71"/>
      <c r="P48" s="71" t="str">
        <f>IFERROR(__xludf.DUMMYFUNCTION("""COMPUTED_VALUE"""),"MIGUEL ANGEL CANCINOS RENDON")</f>
        <v>MIGUEL ANGEL CANCINOS RENDON</v>
      </c>
    </row>
    <row r="49">
      <c r="A49" s="71" t="str">
        <f>IFERROR(__xludf.DUMMYFUNCTION("""COMPUTED_VALUE"""),"779 - Arquitectura de Computadoras y Ensambladores 2")</f>
        <v>779 - Arquitectura de Computadoras y Ensambladores 2</v>
      </c>
      <c r="B49" s="71" t="str">
        <f>IFERROR(__xludf.DUMMYFUNCTION("""COMPUTED_VALUE"""),"1_uxBhWcRvgBlCjf2s6O-Hvly7rBvJyZdswUKwm6KP5Y")</f>
        <v>1_uxBhWcRvgBlCjf2s6O-Hvly7rBvJyZdswUKwm6KP5Y</v>
      </c>
      <c r="I49" s="71" t="s">
        <v>113</v>
      </c>
      <c r="J49" s="71" t="str">
        <f>IFERROR(__xludf.DUMMYFUNCTION("""COMPUTED_VALUE"""),"Crear")</f>
        <v>Crear</v>
      </c>
      <c r="K49" s="71" t="str">
        <f>IFERROR(__xludf.DUMMYFUNCTION("""COMPUTED_VALUE"""),"Generar")</f>
        <v>Generar</v>
      </c>
      <c r="L49" s="71"/>
      <c r="N49" s="71"/>
      <c r="P49" s="71" t="str">
        <f>IFERROR(__xludf.DUMMYFUNCTION("""COMPUTED_VALUE"""),"CESAR AUGUSTO FERNANDEZ CACERES")</f>
        <v>CESAR AUGUSTO FERNANDEZ CACERES</v>
      </c>
    </row>
    <row r="50">
      <c r="A50" s="71" t="str">
        <f>IFERROR(__xludf.DUMMYFUNCTION("""COMPUTED_VALUE"""),"970 - Redes de Computadoras 1")</f>
        <v>970 - Redes de Computadoras 1</v>
      </c>
      <c r="B50" s="71" t="str">
        <f>IFERROR(__xludf.DUMMYFUNCTION("""COMPUTED_VALUE"""),"1z_6lSkIcVZpEVQ4tR8c-eSvVvTxWsXwhmFojsLWeBGc")</f>
        <v>1z_6lSkIcVZpEVQ4tR8c-eSvVvTxWsXwhmFojsLWeBGc</v>
      </c>
      <c r="I50" s="71" t="s">
        <v>114</v>
      </c>
      <c r="J50" s="71" t="str">
        <f>IFERROR(__xludf.DUMMYFUNCTION("""COMPUTED_VALUE"""),"Crear")</f>
        <v>Crear</v>
      </c>
      <c r="K50" s="71" t="str">
        <f>IFERROR(__xludf.DUMMYFUNCTION("""COMPUTED_VALUE"""),"Integrar")</f>
        <v>Integrar</v>
      </c>
      <c r="L50" s="71"/>
      <c r="N50" s="71"/>
      <c r="P50" s="71" t="str">
        <f>IFERROR(__xludf.DUMMYFUNCTION("""COMPUTED_VALUE"""),"OTTO RENE ESCOBAR LEIVA")</f>
        <v>OTTO RENE ESCOBAR LEIVA</v>
      </c>
    </row>
    <row r="51">
      <c r="A51" s="71" t="str">
        <f>IFERROR(__xludf.DUMMYFUNCTION("""COMPUTED_VALUE"""),"774 - Sistemas de Bases de Datos 1")</f>
        <v>774 - Sistemas de Bases de Datos 1</v>
      </c>
      <c r="B51" s="71" t="str">
        <f>IFERROR(__xludf.DUMMYFUNCTION("""COMPUTED_VALUE"""),"1h1zzA1-Xq9ihet57bP4f0PLQnKeojJUanhgpuP67hKs")</f>
        <v>1h1zzA1-Xq9ihet57bP4f0PLQnKeojJUanhgpuP67hKs</v>
      </c>
      <c r="I51" s="71" t="s">
        <v>115</v>
      </c>
      <c r="J51" s="71" t="str">
        <f>IFERROR(__xludf.DUMMYFUNCTION("""COMPUTED_VALUE"""),"Crear")</f>
        <v>Crear</v>
      </c>
      <c r="K51" s="71" t="str">
        <f>IFERROR(__xludf.DUMMYFUNCTION("""COMPUTED_VALUE"""),"Sintetizar")</f>
        <v>Sintetizar</v>
      </c>
      <c r="L51" s="71"/>
      <c r="N51" s="71"/>
      <c r="P51" s="71" t="str">
        <f>IFERROR(__xludf.DUMMYFUNCTION("""COMPUTED_VALUE"""),"OTTO RENE ESCOBAR LEIVA")</f>
        <v>OTTO RENE ESCOBAR LEIVA</v>
      </c>
    </row>
    <row r="52">
      <c r="A52" s="71" t="str">
        <f>IFERROR(__xludf.DUMMYFUNCTION("""COMPUTED_VALUE"""),"2036 - Prácticas Intermedias")</f>
        <v>2036 - Prácticas Intermedias</v>
      </c>
      <c r="B52" s="71"/>
      <c r="I52" s="71" t="s">
        <v>116</v>
      </c>
      <c r="J52" s="71" t="str">
        <f>IFERROR(__xludf.DUMMYFUNCTION("""COMPUTED_VALUE"""),"Crear")</f>
        <v>Crear</v>
      </c>
      <c r="K52" s="71" t="str">
        <f>IFERROR(__xludf.DUMMYFUNCTION("""COMPUTED_VALUE"""),"Arquitecturar")</f>
        <v>Arquitecturar</v>
      </c>
      <c r="L52" s="71"/>
      <c r="N52" s="71"/>
      <c r="P52" s="71" t="str">
        <f>IFERROR(__xludf.DUMMYFUNCTION("""COMPUTED_VALUE"""),"FERNANDO JOSÉ PAZ GONZÁLEZ")</f>
        <v>FERNANDO JOSÉ PAZ GONZÁLEZ</v>
      </c>
    </row>
    <row r="53">
      <c r="A53" s="71" t="str">
        <f>IFERROR(__xludf.DUMMYFUNCTION("""COMPUTED_VALUE"""),"285 - Sistemas Operativos 2")</f>
        <v>285 - Sistemas Operativos 2</v>
      </c>
      <c r="B53" s="71" t="str">
        <f>IFERROR(__xludf.DUMMYFUNCTION("""COMPUTED_VALUE"""),"1VCx3jdfVNJvtMfY5j_W624CAT1QxC-9qVw_ts_erFM8")</f>
        <v>1VCx3jdfVNJvtMfY5j_W624CAT1QxC-9qVw_ts_erFM8</v>
      </c>
      <c r="J53" s="71"/>
      <c r="K53" s="71"/>
      <c r="L53" s="71"/>
      <c r="N53" s="71"/>
      <c r="P53" s="71" t="str">
        <f>IFERROR(__xludf.DUMMYFUNCTION("""COMPUTED_VALUE"""),"BAYRON WOSVELY LOPEZ LOPEZ")</f>
        <v>BAYRON WOSVELY LOPEZ LOPEZ</v>
      </c>
    </row>
    <row r="54">
      <c r="A54" s="71" t="str">
        <f>IFERROR(__xludf.DUMMYFUNCTION("""COMPUTED_VALUE"""),"975 - Redes de Computadoras 2")</f>
        <v>975 - Redes de Computadoras 2</v>
      </c>
      <c r="B54" s="70" t="str">
        <f>IFERROR(__xludf.DUMMYFUNCTION("""COMPUTED_VALUE"""),"1JcTacSIMIoXQmOixc1cssvrK_MVzZYH-Yo4FFSny6Nk")</f>
        <v>1JcTacSIMIoXQmOixc1cssvrK_MVzZYH-Yo4FFSny6Nk</v>
      </c>
      <c r="J54" s="71"/>
      <c r="K54" s="71"/>
      <c r="L54" s="71"/>
      <c r="N54" s="71"/>
      <c r="P54" s="71" t="str">
        <f>IFERROR(__xludf.DUMMYFUNCTION("""COMPUTED_VALUE"""),"EDGAR RUBEN SABAN RAXON")</f>
        <v>EDGAR RUBEN SABAN RAXON</v>
      </c>
    </row>
    <row r="55">
      <c r="A55" s="71" t="str">
        <f>IFERROR(__xludf.DUMMYFUNCTION("""COMPUTED_VALUE"""),"775 - Sistemas de Bases de Datos 2")</f>
        <v>775 - Sistemas de Bases de Datos 2</v>
      </c>
      <c r="B55" s="71" t="str">
        <f>IFERROR(__xludf.DUMMYFUNCTION("""COMPUTED_VALUE"""),"1TCVGX95CGGMGYvyB2K8cDve9RSMthqD6Tc1-CrmctiM")</f>
        <v>1TCVGX95CGGMGYvyB2K8cDve9RSMthqD6Tc1-CrmctiM</v>
      </c>
      <c r="J55" s="71"/>
      <c r="K55" s="71"/>
      <c r="L55" s="71"/>
      <c r="N55" s="71"/>
      <c r="P55" s="71" t="str">
        <f>IFERROR(__xludf.DUMMYFUNCTION("""COMPUTED_VALUE"""),"LUIS FERNANDO ESPINO BARRIOS")</f>
        <v>LUIS FERNANDO ESPINO BARRIOS</v>
      </c>
    </row>
    <row r="56">
      <c r="A56" s="71" t="str">
        <f>IFERROR(__xludf.DUMMYFUNCTION("""COMPUTED_VALUE"""),"283 - Análisis y Diseño de Sistemas 1")</f>
        <v>283 - Análisis y Diseño de Sistemas 1</v>
      </c>
      <c r="B56" s="71" t="str">
        <f>IFERROR(__xludf.DUMMYFUNCTION("""COMPUTED_VALUE"""),"1Y3HF-OxPbgEhNi6pNhbpImrQsH3btlYO6xtsnryrunY")</f>
        <v>1Y3HF-OxPbgEhNi6pNhbpImrQsH3btlYO6xtsnryrunY</v>
      </c>
      <c r="J56" s="71"/>
      <c r="K56" s="71"/>
      <c r="L56" s="71"/>
      <c r="N56" s="71"/>
      <c r="P56" s="71" t="str">
        <f>IFERROR(__xludf.DUMMYFUNCTION("""COMPUTED_VALUE"""),"MANUEL HAROLDO CASTILLO REYNA")</f>
        <v>MANUEL HAROLDO CASTILLO REYNA</v>
      </c>
    </row>
    <row r="57">
      <c r="A57" s="71" t="str">
        <f>IFERROR(__xludf.DUMMYFUNCTION("""COMPUTED_VALUE"""),"797 - Seminario de Sistemas 1")</f>
        <v>797 - Seminario de Sistemas 1</v>
      </c>
      <c r="B57" s="71" t="str">
        <f>IFERROR(__xludf.DUMMYFUNCTION("""COMPUTED_VALUE"""),"1VXfuZgL8iNYOe8XfW_5s4rVnIq-_Xurqk8xlOGGexqY")</f>
        <v>1VXfuZgL8iNYOe8XfW_5s4rVnIq-_Xurqk8xlOGGexqY</v>
      </c>
      <c r="J57" s="71"/>
      <c r="K57" s="71"/>
      <c r="L57" s="71"/>
      <c r="N57" s="71"/>
      <c r="P57" s="71" t="str">
        <f>IFERROR(__xludf.DUMMYFUNCTION("""COMPUTED_VALUE"""),"Kevin Adiel Lajpop Ajpacajá")</f>
        <v>Kevin Adiel Lajpop Ajpacajá</v>
      </c>
    </row>
    <row r="58">
      <c r="A58" s="71" t="str">
        <f>IFERROR(__xludf.DUMMYFUNCTION("""COMPUTED_VALUE"""),"700 - Ingeniería Económica 1")</f>
        <v>700 - Ingeniería Económica 1</v>
      </c>
      <c r="B58" s="71"/>
      <c r="J58" s="71"/>
      <c r="K58" s="71"/>
      <c r="L58" s="71"/>
      <c r="N58" s="71"/>
      <c r="P58" s="71" t="str">
        <f>IFERROR(__xludf.DUMMYFUNCTION("""COMPUTED_VALUE"""),"MARIO JOSE BAUTISTA FUENTES")</f>
        <v>MARIO JOSE BAUTISTA FUENTES</v>
      </c>
    </row>
    <row r="59">
      <c r="A59" s="71" t="str">
        <f>IFERROR(__xludf.DUMMYFUNCTION("""COMPUTED_VALUE"""),"729 - Modelación y Simulación 1")</f>
        <v>729 - Modelación y Simulación 1</v>
      </c>
      <c r="B59" s="71" t="str">
        <f>IFERROR(__xludf.DUMMYFUNCTION("""COMPUTED_VALUE"""),"17u8GNz3HZ-i9KS-yxFiuJx9u7OawTwjyLcvLoG_x6W8")</f>
        <v>17u8GNz3HZ-i9KS-yxFiuJx9u7OawTwjyLcvLoG_x6W8</v>
      </c>
      <c r="J59" s="71"/>
      <c r="K59" s="71"/>
      <c r="L59" s="71"/>
      <c r="N59" s="71"/>
      <c r="P59" s="71" t="str">
        <f>IFERROR(__xludf.DUMMYFUNCTION("""COMPUTED_VALUE"""),"GUIPPSY JEANNIRA MENENDEZ PEREZ")</f>
        <v>GUIPPSY JEANNIRA MENENDEZ PEREZ</v>
      </c>
    </row>
    <row r="60">
      <c r="A60" s="71" t="str">
        <f>IFERROR(__xludf.DUMMYFUNCTION("""COMPUTED_VALUE"""),"786 - Sistemas Organizacionales y Gerenciales 1")</f>
        <v>786 - Sistemas Organizacionales y Gerenciales 1</v>
      </c>
      <c r="B60" s="71" t="str">
        <f>IFERROR(__xludf.DUMMYFUNCTION("""COMPUTED_VALUE"""),"1VTtCckO64u9REDx8UoxNJrYiavZGQU_hh4HvsOUiqlc")</f>
        <v>1VTtCckO64u9REDx8UoxNJrYiavZGQU_hh4HvsOUiqlc</v>
      </c>
      <c r="J60" s="71"/>
      <c r="K60" s="71"/>
      <c r="L60" s="71"/>
      <c r="N60" s="71"/>
      <c r="P60" s="71" t="str">
        <f>IFERROR(__xludf.DUMMYFUNCTION("""COMPUTED_VALUE"""),"JURGEN ANDONI RAMIREZ RAMIREZ")</f>
        <v>JURGEN ANDONI RAMIREZ RAMIREZ</v>
      </c>
    </row>
    <row r="61">
      <c r="A61" s="71" t="str">
        <f>IFERROR(__xludf.DUMMYFUNCTION("""COMPUTED_VALUE"""),"972 - Inteligencia Artificial 1")</f>
        <v>972 - Inteligencia Artificial 1</v>
      </c>
      <c r="B61" s="71" t="str">
        <f>IFERROR(__xludf.DUMMYFUNCTION("""COMPUTED_VALUE"""),"1C04a6qH3d2zJVb1hJwa6tsRQVM9LUb_nwyxMovG5tdI")</f>
        <v>1C04a6qH3d2zJVb1hJwa6tsRQVM9LUb_nwyxMovG5tdI</v>
      </c>
      <c r="J61" s="71"/>
      <c r="K61" s="71"/>
      <c r="L61" s="71"/>
      <c r="N61" s="71"/>
      <c r="P61" s="71" t="str">
        <f>IFERROR(__xludf.DUMMYFUNCTION("""COMPUTED_VALUE"""),"HERMAN IGOR VELIZ LINARES")</f>
        <v>HERMAN IGOR VELIZ LINARES</v>
      </c>
    </row>
    <row r="62">
      <c r="A62" s="71" t="str">
        <f>IFERROR(__xludf.DUMMYFUNCTION("""COMPUTED_VALUE"""),"966 - Seguridad y Auditoría de Redes de Computadoras")</f>
        <v>966 - Seguridad y Auditoría de Redes de Computadoras</v>
      </c>
      <c r="B62" s="71"/>
      <c r="J62" s="71"/>
      <c r="K62" s="71"/>
      <c r="L62" s="71"/>
      <c r="N62" s="71"/>
      <c r="P62" s="71" t="str">
        <f>IFERROR(__xludf.DUMMYFUNCTION("""COMPUTED_VALUE"""),"WILLIAM ESTUARDO ESCOBAR ARGUETA")</f>
        <v>WILLIAM ESTUARDO ESCOBAR ARGUETA</v>
      </c>
    </row>
    <row r="63">
      <c r="A63" s="71" t="str">
        <f>IFERROR(__xludf.DUMMYFUNCTION("""COMPUTED_VALUE"""),"785 - Análisis y Diseño de Sistemas 2")</f>
        <v>785 - Análisis y Diseño de Sistemas 2</v>
      </c>
      <c r="B63" s="71" t="str">
        <f>IFERROR(__xludf.DUMMYFUNCTION("""COMPUTED_VALUE"""),"1_ufF1kvClwUUTsCz0V0fLuXjs_JRZWRSMCWkUEd8co4")</f>
        <v>1_ufF1kvClwUUTsCz0V0fLuXjs_JRZWRSMCWkUEd8co4</v>
      </c>
      <c r="J63" s="71"/>
      <c r="K63" s="71"/>
      <c r="L63" s="71"/>
      <c r="N63" s="71"/>
      <c r="P63" s="71" t="str">
        <f>IFERROR(__xludf.DUMMYFUNCTION("""COMPUTED_VALUE"""),"HERMAN IGOR VELIZ LINARES")</f>
        <v>HERMAN IGOR VELIZ LINARES</v>
      </c>
    </row>
    <row r="64">
      <c r="A64" s="71" t="str">
        <f>IFERROR(__xludf.DUMMYFUNCTION("""COMPUTED_VALUE"""),"798 - Seminario de Sistemas 2")</f>
        <v>798 - Seminario de Sistemas 2</v>
      </c>
      <c r="B64" s="71" t="str">
        <f>IFERROR(__xludf.DUMMYFUNCTION("""COMPUTED_VALUE"""),"1v6hbJdWzxkj7s5D7oM894pu3kMAvhEZGXUMfRFv7yKQ")</f>
        <v>1v6hbJdWzxkj7s5D7oM894pu3kMAvhEZGXUMfRFv7yKQ</v>
      </c>
      <c r="J64" s="71"/>
      <c r="K64" s="71"/>
      <c r="L64" s="71"/>
      <c r="N64" s="71"/>
      <c r="P64" s="71" t="str">
        <f>IFERROR(__xludf.DUMMYFUNCTION("""COMPUTED_VALUE"""),"WILLIAM ESTUARDO ESCOBAR ARGUETA")</f>
        <v>WILLIAM ESTUARDO ESCOBAR ARGUETA</v>
      </c>
    </row>
    <row r="65">
      <c r="A65" s="71" t="str">
        <f>IFERROR(__xludf.DUMMYFUNCTION("""COMPUTED_VALUE"""),"788 - Sistemas Aplicados 1")</f>
        <v>788 - Sistemas Aplicados 1</v>
      </c>
      <c r="B65" s="71"/>
      <c r="J65" s="71"/>
      <c r="K65" s="71"/>
      <c r="L65" s="71"/>
      <c r="N65" s="71"/>
      <c r="P65" s="71" t="str">
        <f>IFERROR(__xludf.DUMMYFUNCTION("""COMPUTED_VALUE"""),"JURGEN ANDONI RAMIREZ RAMIREZ")</f>
        <v>JURGEN ANDONI RAMIREZ RAMIREZ</v>
      </c>
    </row>
    <row r="66">
      <c r="A66" s="71" t="str">
        <f>IFERROR(__xludf.DUMMYFUNCTION("""COMPUTED_VALUE"""),"776 - Bases de Datos Avanzadas")</f>
        <v>776 - Bases de Datos Avanzadas</v>
      </c>
      <c r="B66" s="71" t="str">
        <f>IFERROR(__xludf.DUMMYFUNCTION("""COMPUTED_VALUE"""),"1SZ2dJz29IsruB5vMYQ514xwGe6wyVx6cjMu_iwnHpFo")</f>
        <v>1SZ2dJz29IsruB5vMYQ514xwGe6wyVx6cjMu_iwnHpFo</v>
      </c>
      <c r="J66" s="71"/>
      <c r="K66" s="71"/>
      <c r="L66" s="71"/>
      <c r="N66" s="71"/>
      <c r="P66" s="71" t="str">
        <f>IFERROR(__xludf.DUMMYFUNCTION("""COMPUTED_VALUE"""),"HERMAN IGOR VELIZ LINARES")</f>
        <v>HERMAN IGOR VELIZ LINARES</v>
      </c>
    </row>
    <row r="67">
      <c r="A67" s="71" t="str">
        <f>IFERROR(__xludf.DUMMYFUNCTION("""COMPUTED_VALUE"""),"2009 - Prácticas Finales Ingeniería Ciencias y Sistemas")</f>
        <v>2009 - Prácticas Finales Ingeniería Ciencias y Sistemas</v>
      </c>
      <c r="B67" s="71"/>
      <c r="J67" s="71"/>
      <c r="K67" s="71"/>
      <c r="L67" s="71"/>
      <c r="N67" s="71"/>
      <c r="P67" s="71" t="str">
        <f>IFERROR(__xludf.DUMMYFUNCTION("""COMPUTED_VALUE"""),"HERMAN IGOR VELIZ LINARES")</f>
        <v>HERMAN IGOR VELIZ LINARES</v>
      </c>
    </row>
    <row r="68">
      <c r="A68" s="71" t="str">
        <f>IFERROR(__xludf.DUMMYFUNCTION("""COMPUTED_VALUE"""),"720 - Modelación y Simulación 2")</f>
        <v>720 - Modelación y Simulación 2</v>
      </c>
      <c r="B68" s="71" t="str">
        <f>IFERROR(__xludf.DUMMYFUNCTION("""COMPUTED_VALUE"""),"1ebc3-I4AbsLDHtzhtolQz7pqZDPvmSE0yZJu1xY6lLY")</f>
        <v>1ebc3-I4AbsLDHtzhtolQz7pqZDPvmSE0yZJu1xY6lLY</v>
      </c>
      <c r="J68" s="71"/>
      <c r="K68" s="71"/>
      <c r="L68" s="71"/>
      <c r="N68" s="71"/>
      <c r="P68" s="71" t="str">
        <f>IFERROR(__xludf.DUMMYFUNCTION("""COMPUTED_VALUE"""),"JOSE ANIBAL SILVA DE LOS ANGELES")</f>
        <v>JOSE ANIBAL SILVA DE LOS ANGELES</v>
      </c>
    </row>
    <row r="69">
      <c r="A69" s="71" t="str">
        <f>IFERROR(__xludf.DUMMYFUNCTION("""COMPUTED_VALUE"""),"787 - Sistemas Organizacionales y Gerenciales 2")</f>
        <v>787 - Sistemas Organizacionales y Gerenciales 2</v>
      </c>
      <c r="B69" s="71" t="str">
        <f>IFERROR(__xludf.DUMMYFUNCTION("""COMPUTED_VALUE"""),"1KpYHYX_EAJ-h4GLtSoCT8Rqz-xU4Qh5pUnEiPyxmEZA")</f>
        <v>1KpYHYX_EAJ-h4GLtSoCT8Rqz-xU4Qh5pUnEiPyxmEZA</v>
      </c>
      <c r="J69" s="71"/>
      <c r="K69" s="71"/>
      <c r="L69" s="71"/>
      <c r="N69" s="71"/>
      <c r="P69" s="71" t="str">
        <f>IFERROR(__xludf.DUMMYFUNCTION("""COMPUTED_VALUE"""),"WILLIAM ESTUARDO ESCOBAR ARGUETA")</f>
        <v>WILLIAM ESTUARDO ESCOBAR ARGUETA</v>
      </c>
    </row>
    <row r="70">
      <c r="A70" s="71" t="str">
        <f>IFERROR(__xludf.DUMMYFUNCTION("""COMPUTED_VALUE"""),"790 - Emprendedores de Negocios Informáticos")</f>
        <v>790 - Emprendedores de Negocios Informáticos</v>
      </c>
      <c r="B70" s="71"/>
      <c r="J70" s="71"/>
      <c r="K70" s="71"/>
      <c r="L70" s="71"/>
      <c r="N70" s="71"/>
      <c r="P70" s="71" t="str">
        <f>IFERROR(__xludf.DUMMYFUNCTION("""COMPUTED_VALUE"""),"LUIS FERNANDO ESPINO BARRIOS")</f>
        <v>LUIS FERNANDO ESPINO BARRIOS</v>
      </c>
    </row>
    <row r="71">
      <c r="A71" s="71" t="str">
        <f>IFERROR(__xludf.DUMMYFUNCTION("""COMPUTED_VALUE"""),"968 - Inteligencia Artificial 2")</f>
        <v>968 - Inteligencia Artificial 2</v>
      </c>
      <c r="B71" s="71"/>
      <c r="J71" s="71"/>
      <c r="K71" s="71"/>
      <c r="L71" s="71"/>
      <c r="N71" s="71"/>
      <c r="P71" s="71" t="str">
        <f>IFERROR(__xludf.DUMMYFUNCTION("""COMPUTED_VALUE"""),"PEDRO PABLO HERNANDEZ RAMIREZ")</f>
        <v>PEDRO PABLO HERNANDEZ RAMIREZ</v>
      </c>
    </row>
    <row r="72">
      <c r="A72" s="71" t="str">
        <f>IFERROR(__xludf.DUMMYFUNCTION("""COMPUTED_VALUE"""),"974 - Redes de Nueva Generación")</f>
        <v>974 - Redes de Nueva Generación</v>
      </c>
      <c r="B72" s="71"/>
      <c r="J72" s="71"/>
      <c r="K72" s="71"/>
      <c r="L72" s="71"/>
      <c r="N72" s="71"/>
      <c r="P72" s="71" t="str">
        <f>IFERROR(__xludf.DUMMYFUNCTION("""COMPUTED_VALUE"""),"ALLAN ALBERTO MORATAYA")</f>
        <v>ALLAN ALBERTO MORATAYA</v>
      </c>
    </row>
    <row r="73">
      <c r="A73" s="71" t="str">
        <f>IFERROR(__xludf.DUMMYFUNCTION("""COMPUTED_VALUE"""),"780 - Software Avanzado")</f>
        <v>780 - Software Avanzado</v>
      </c>
      <c r="B73" s="71" t="str">
        <f>IFERROR(__xludf.DUMMYFUNCTION("""COMPUTED_VALUE"""),"1SZ2dJz29IsruB5vMYQ514xwGe6wyVx6cjMu_iwnHpFo")</f>
        <v>1SZ2dJz29IsruB5vMYQ514xwGe6wyVx6cjMu_iwnHpFo</v>
      </c>
      <c r="J73" s="71"/>
      <c r="K73" s="71"/>
      <c r="L73" s="71"/>
      <c r="N73" s="71"/>
      <c r="P73" s="71" t="str">
        <f>IFERROR(__xludf.DUMMYFUNCTION("""COMPUTED_VALUE"""),"MANUEL FERNANDO LOPEZ FERNANDEZ")</f>
        <v>MANUEL FERNANDO LOPEZ FERNANDEZ</v>
      </c>
    </row>
    <row r="74">
      <c r="A74" s="71" t="str">
        <f>IFERROR(__xludf.DUMMYFUNCTION("""COMPUTED_VALUE"""),"789 - Sistemas Aplicados 2")</f>
        <v>789 - Sistemas Aplicados 2</v>
      </c>
      <c r="B74" s="71"/>
      <c r="J74" s="71"/>
      <c r="K74" s="71"/>
      <c r="L74" s="71"/>
      <c r="N74" s="71"/>
      <c r="P74" s="71" t="str">
        <f>IFERROR(__xludf.DUMMYFUNCTION("""COMPUTED_VALUE"""),"LUDWING FEDERICO ALTAN SAC")</f>
        <v>LUDWING FEDERICO ALTAN SAC</v>
      </c>
    </row>
    <row r="75">
      <c r="A75" s="71" t="str">
        <f>IFERROR(__xludf.DUMMYFUNCTION("""COMPUTED_VALUE"""),"735 - Auditoría de Proyectos de Software")</f>
        <v>735 - Auditoría de Proyectos de Software</v>
      </c>
      <c r="B75" s="71"/>
      <c r="J75" s="71"/>
      <c r="K75" s="71"/>
      <c r="L75" s="71"/>
      <c r="N75" s="71"/>
      <c r="P75" s="71" t="str">
        <f>IFERROR(__xludf.DUMMYFUNCTION("""COMPUTED_VALUE"""),"LUIS ALBERTO VETTORAZZI ESPANA")</f>
        <v>LUIS ALBERTO VETTORAZZI ESPANA</v>
      </c>
    </row>
    <row r="76">
      <c r="A76" s="71" t="str">
        <f>IFERROR(__xludf.DUMMYFUNCTION("""COMPUTED_VALUE"""),"7999 - Seminario de Investigación EPS Sistemas")</f>
        <v>7999 - Seminario de Investigación EPS Sistemas</v>
      </c>
      <c r="B76" s="71"/>
      <c r="J76" s="71"/>
      <c r="K76" s="71"/>
      <c r="L76" s="71"/>
      <c r="N76" s="71"/>
      <c r="P76" s="71" t="str">
        <f>IFERROR(__xludf.DUMMYFUNCTION("""COMPUTED_VALUE"""),"FERNANDO JOSÉ PAZ GONZÁLEZ")</f>
        <v>FERNANDO JOSÉ PAZ GONZÁLEZ</v>
      </c>
    </row>
    <row r="77">
      <c r="A77" s="71" t="str">
        <f>IFERROR(__xludf.DUMMYFUNCTION("""COMPUTED_VALUE"""),"799 - Seminario de Investigación")</f>
        <v>799 - Seminario de Investigación</v>
      </c>
      <c r="B77" s="71"/>
      <c r="J77" s="71"/>
      <c r="K77" s="71"/>
      <c r="L77" s="71"/>
      <c r="N77" s="71"/>
      <c r="P77" s="71" t="str">
        <f>IFERROR(__xludf.DUMMYFUNCTION("""COMPUTED_VALUE"""),"Jesús Alberto Guzmán Polanco")</f>
        <v>Jesús Alberto Guzmán Polanco</v>
      </c>
    </row>
    <row r="78">
      <c r="A78" s="71" t="str">
        <f>IFERROR(__xludf.DUMMYFUNCTION("""COMPUTED_VALUE"""),"90 - Programacion de Computadoras 1")</f>
        <v>90 - Programacion de Computadoras 1</v>
      </c>
      <c r="B78" s="71" t="str">
        <f>IFERROR(__xludf.DUMMYFUNCTION("""COMPUTED_VALUE"""),"1qvDDGj5yCc7f5CzNszeAsW2HPXfptQjvWIcbjskCMYM")</f>
        <v>1qvDDGj5yCc7f5CzNszeAsW2HPXfptQjvWIcbjskCMYM</v>
      </c>
      <c r="J78" s="71"/>
      <c r="K78" s="71"/>
      <c r="L78" s="71"/>
      <c r="N78" s="71"/>
      <c r="P78" s="71" t="str">
        <f>IFERROR(__xludf.DUMMYFUNCTION("""COMPUTED_VALUE"""),"EDGAR RENE ORNELIS HOIL")</f>
        <v>EDGAR RENE ORNELIS HOIL</v>
      </c>
    </row>
    <row r="79">
      <c r="A79" s="71" t="str">
        <f>IFERROR(__xludf.DUMMYFUNCTION("""COMPUTED_VALUE"""),"92 - Programacion de Computadoras 2")</f>
        <v>92 - Programacion de Computadoras 2</v>
      </c>
      <c r="B79" s="71" t="str">
        <f>IFERROR(__xludf.DUMMYFUNCTION("""COMPUTED_VALUE"""),"1SCiXODhHsEGBVGnnYk9ZrO_gSOSvcGwu7lDEJBfLaEw")</f>
        <v>1SCiXODhHsEGBVGnnYk9ZrO_gSOSvcGwu7lDEJBfLaEw</v>
      </c>
      <c r="J79" s="71"/>
      <c r="K79" s="71"/>
      <c r="L79" s="71"/>
      <c r="N79" s="71"/>
      <c r="P79" s="71" t="str">
        <f>IFERROR(__xludf.DUMMYFUNCTION("""COMPUTED_VALUE"""),"FERNANDO JOSÉ PAZ GONZÁLEZ")</f>
        <v>FERNANDO JOSÉ PAZ GONZÁLEZ</v>
      </c>
    </row>
    <row r="80">
      <c r="A80" s="71" t="str">
        <f>IFERROR(__xludf.DUMMYFUNCTION("""COMPUTED_VALUE"""),"667 - Programacion Comercial 1")</f>
        <v>667 - Programacion Comercial 1</v>
      </c>
      <c r="B80" s="71" t="str">
        <f>IFERROR(__xludf.DUMMYFUNCTION("""COMPUTED_VALUE"""),"1q-0CM7N_hXOxknvTAL7P8U9-t9hqpm1-3l5E6r3G-qg")</f>
        <v>1q-0CM7N_hXOxknvTAL7P8U9-t9hqpm1-3l5E6r3G-qg</v>
      </c>
      <c r="J80" s="71"/>
      <c r="K80" s="71"/>
      <c r="L80" s="71"/>
      <c r="N80" s="71"/>
      <c r="P80" s="71" t="str">
        <f>IFERROR(__xludf.DUMMYFUNCTION("""COMPUTED_VALUE"""),"EDWIN ESTUARDO ZAPETA GÓMEZ")</f>
        <v>EDWIN ESTUARDO ZAPETA GÓMEZ</v>
      </c>
    </row>
    <row r="81">
      <c r="A81" s="71" t="str">
        <f>IFERROR(__xludf.DUMMYFUNCTION("""COMPUTED_VALUE"""),"768 - Algoritmos")</f>
        <v>768 - Algoritmos</v>
      </c>
      <c r="B81" s="71" t="str">
        <f>IFERROR(__xludf.DUMMYFUNCTION("""COMPUTED_VALUE"""),"1SjAd6zUsLAnVyCAYH7AjoRBdaM836qJGVSbcpa5npcA")</f>
        <v>1SjAd6zUsLAnVyCAYH7AjoRBdaM836qJGVSbcpa5npcA</v>
      </c>
      <c r="J81" s="71"/>
      <c r="K81" s="71"/>
      <c r="L81" s="71"/>
      <c r="N81" s="71"/>
      <c r="P81" s="71" t="str">
        <f>IFERROR(__xludf.DUMMYFUNCTION("""COMPUTED_VALUE"""),"EVEREST DARWIN MEDINILLA RODRIGUEZ")</f>
        <v>EVEREST DARWIN MEDINILLA RODRIGUEZ</v>
      </c>
    </row>
    <row r="82">
      <c r="A82" s="71"/>
      <c r="B82" s="71"/>
      <c r="J82" s="71"/>
      <c r="K82" s="71"/>
      <c r="L82" s="71"/>
      <c r="N82" s="71"/>
      <c r="P82" s="71" t="str">
        <f>IFERROR(__xludf.DUMMYFUNCTION("""COMPUTED_VALUE"""),"Marco Tulio Aldana Prillwitz")</f>
        <v>Marco Tulio Aldana Prillwitz</v>
      </c>
    </row>
    <row r="83">
      <c r="A83" s="71"/>
      <c r="B83" s="71"/>
      <c r="J83" s="71"/>
      <c r="K83" s="71"/>
      <c r="L83" s="71"/>
      <c r="N83" s="71"/>
      <c r="P83" s="71" t="str">
        <f>IFERROR(__xludf.DUMMYFUNCTION("""COMPUTED_VALUE"""),"JORGE LUIS ALVAREZ MEJIA")</f>
        <v>JORGE LUIS ALVAREZ MEJIA</v>
      </c>
    </row>
    <row r="84">
      <c r="A84" s="71"/>
      <c r="B84" s="71"/>
      <c r="J84" s="71"/>
      <c r="K84" s="71"/>
      <c r="L84" s="71"/>
      <c r="N84" s="71"/>
      <c r="P84" s="71" t="str">
        <f>IFERROR(__xludf.DUMMYFUNCTION("""COMPUTED_VALUE"""),"JORGE LUIS ALVAREZ MEJIA")</f>
        <v>JORGE LUIS ALVAREZ MEJIA</v>
      </c>
    </row>
    <row r="85">
      <c r="A85" s="71"/>
      <c r="B85" s="71"/>
      <c r="J85" s="71"/>
      <c r="K85" s="71"/>
      <c r="L85" s="71"/>
      <c r="N85" s="71"/>
      <c r="P85" s="71"/>
    </row>
    <row r="86">
      <c r="A86" s="71"/>
      <c r="B86" s="71"/>
      <c r="J86" s="71"/>
      <c r="K86" s="71"/>
      <c r="L86" s="71"/>
      <c r="N86" s="71"/>
      <c r="P86" s="71"/>
    </row>
    <row r="87">
      <c r="A87" s="71"/>
      <c r="B87" s="71"/>
      <c r="J87" s="71"/>
      <c r="K87" s="71"/>
      <c r="L87" s="71"/>
      <c r="N87" s="71"/>
      <c r="P87" s="71"/>
    </row>
    <row r="88">
      <c r="A88" s="71"/>
      <c r="B88" s="71"/>
      <c r="J88" s="71"/>
      <c r="K88" s="71"/>
      <c r="L88" s="71"/>
      <c r="N88" s="71"/>
      <c r="P88" s="71"/>
    </row>
    <row r="89">
      <c r="A89" s="71"/>
      <c r="B89" s="71"/>
      <c r="J89" s="71"/>
      <c r="K89" s="71"/>
      <c r="L89" s="71"/>
      <c r="N89" s="71"/>
      <c r="P89" s="71"/>
    </row>
    <row r="90">
      <c r="A90" s="71"/>
      <c r="B90" s="71"/>
      <c r="J90" s="71"/>
      <c r="K90" s="71"/>
      <c r="L90" s="71"/>
      <c r="N90" s="71"/>
      <c r="P90" s="71"/>
    </row>
    <row r="91">
      <c r="A91" s="71"/>
      <c r="B91" s="71"/>
      <c r="J91" s="71"/>
      <c r="K91" s="71"/>
      <c r="L91" s="71"/>
      <c r="N91" s="71"/>
      <c r="P91" s="71"/>
    </row>
    <row r="92">
      <c r="A92" s="71"/>
      <c r="B92" s="71"/>
      <c r="J92" s="71"/>
      <c r="K92" s="71"/>
      <c r="L92" s="71"/>
      <c r="N92" s="71"/>
      <c r="P92" s="71"/>
    </row>
    <row r="93">
      <c r="A93" s="71"/>
      <c r="B93" s="71"/>
      <c r="J93" s="71"/>
      <c r="K93" s="71"/>
      <c r="L93" s="71"/>
      <c r="N93" s="71"/>
      <c r="P93" s="71"/>
    </row>
    <row r="94">
      <c r="A94" s="71"/>
      <c r="B94" s="71"/>
      <c r="J94" s="71"/>
      <c r="K94" s="71"/>
      <c r="L94" s="71"/>
      <c r="N94" s="71"/>
      <c r="P94" s="71"/>
    </row>
    <row r="95">
      <c r="A95" s="71"/>
      <c r="B95" s="71"/>
      <c r="J95" s="71"/>
      <c r="K95" s="71"/>
      <c r="L95" s="71"/>
      <c r="N95" s="71"/>
      <c r="P95" s="71"/>
    </row>
    <row r="96">
      <c r="A96" s="71"/>
      <c r="B96" s="71"/>
      <c r="J96" s="71"/>
      <c r="K96" s="71"/>
      <c r="L96" s="71"/>
      <c r="N96" s="71"/>
      <c r="P96" s="71"/>
    </row>
    <row r="97">
      <c r="A97" s="71"/>
      <c r="B97" s="71"/>
      <c r="J97" s="71"/>
      <c r="K97" s="71"/>
      <c r="L97" s="71"/>
      <c r="N97" s="71"/>
      <c r="P97" s="71"/>
    </row>
    <row r="98">
      <c r="A98" s="71"/>
      <c r="B98" s="71"/>
      <c r="J98" s="71"/>
      <c r="K98" s="71"/>
      <c r="L98" s="71"/>
      <c r="N98" s="71"/>
      <c r="P98" s="71"/>
    </row>
    <row r="99">
      <c r="A99" s="71"/>
      <c r="B99" s="71"/>
      <c r="J99" s="71"/>
      <c r="K99" s="71"/>
      <c r="L99" s="71"/>
      <c r="N99" s="71"/>
      <c r="P99" s="71"/>
    </row>
    <row r="100">
      <c r="A100" s="71"/>
      <c r="B100" s="71"/>
      <c r="J100" s="71"/>
      <c r="K100" s="71"/>
      <c r="L100" s="71"/>
      <c r="N100" s="71"/>
      <c r="P100" s="71"/>
    </row>
    <row r="101">
      <c r="A101" s="71"/>
      <c r="B101" s="71"/>
      <c r="J101" s="71"/>
      <c r="K101" s="71"/>
      <c r="L101" s="71"/>
      <c r="N101" s="71"/>
      <c r="P101" s="71"/>
    </row>
    <row r="102">
      <c r="A102" s="71"/>
      <c r="B102" s="71"/>
      <c r="J102" s="71"/>
      <c r="K102" s="71"/>
      <c r="L102" s="71"/>
      <c r="N102" s="71"/>
      <c r="P102" s="71"/>
    </row>
    <row r="103">
      <c r="A103" s="71"/>
      <c r="B103" s="71"/>
      <c r="J103" s="71"/>
      <c r="K103" s="71"/>
      <c r="L103" s="71"/>
      <c r="N103" s="71"/>
      <c r="P103" s="71"/>
    </row>
    <row r="104">
      <c r="A104" s="71"/>
      <c r="B104" s="71"/>
      <c r="J104" s="71"/>
      <c r="K104" s="71"/>
      <c r="L104" s="71"/>
      <c r="N104" s="71"/>
      <c r="P104" s="71"/>
    </row>
    <row r="105">
      <c r="A105" s="71"/>
      <c r="B105" s="71"/>
      <c r="J105" s="71"/>
      <c r="K105" s="71"/>
      <c r="L105" s="71"/>
      <c r="N105" s="71"/>
      <c r="P105" s="71"/>
    </row>
    <row r="106">
      <c r="A106" s="71"/>
      <c r="B106" s="71"/>
      <c r="J106" s="71"/>
      <c r="K106" s="71"/>
      <c r="L106" s="71"/>
      <c r="N106" s="71"/>
      <c r="P106" s="71"/>
    </row>
    <row r="107">
      <c r="A107" s="71"/>
      <c r="B107" s="71"/>
      <c r="J107" s="71"/>
      <c r="K107" s="71"/>
      <c r="L107" s="71"/>
      <c r="N107" s="71"/>
      <c r="P107" s="71"/>
    </row>
    <row r="108">
      <c r="A108" s="71"/>
      <c r="B108" s="71"/>
      <c r="J108" s="71"/>
      <c r="K108" s="71"/>
      <c r="L108" s="71"/>
      <c r="N108" s="71"/>
      <c r="P108" s="71"/>
    </row>
    <row r="109">
      <c r="A109" s="71"/>
      <c r="B109" s="71"/>
      <c r="J109" s="71"/>
      <c r="K109" s="71"/>
      <c r="L109" s="71"/>
      <c r="N109" s="71"/>
      <c r="P109" s="71"/>
    </row>
    <row r="110">
      <c r="A110" s="71"/>
      <c r="B110" s="71"/>
      <c r="J110" s="71"/>
      <c r="K110" s="71"/>
      <c r="L110" s="71"/>
      <c r="N110" s="71"/>
      <c r="P110" s="71"/>
    </row>
    <row r="111">
      <c r="A111" s="71"/>
      <c r="B111" s="71"/>
      <c r="J111" s="71"/>
      <c r="K111" s="71"/>
      <c r="L111" s="71"/>
      <c r="N111" s="71"/>
      <c r="P111" s="71"/>
    </row>
    <row r="112">
      <c r="A112" s="71"/>
      <c r="B112" s="71"/>
      <c r="J112" s="71"/>
      <c r="K112" s="71"/>
      <c r="L112" s="71"/>
      <c r="N112" s="71"/>
      <c r="P112" s="71"/>
    </row>
    <row r="113">
      <c r="A113" s="71"/>
      <c r="B113" s="71"/>
      <c r="J113" s="71"/>
      <c r="K113" s="71"/>
      <c r="L113" s="71"/>
      <c r="N113" s="71"/>
      <c r="P113" s="71"/>
    </row>
    <row r="114">
      <c r="A114" s="71"/>
      <c r="B114" s="71"/>
      <c r="J114" s="71"/>
      <c r="K114" s="71"/>
      <c r="L114" s="71"/>
      <c r="N114" s="71"/>
      <c r="P114" s="71"/>
    </row>
    <row r="115">
      <c r="A115" s="71"/>
      <c r="B115" s="71"/>
      <c r="J115" s="71"/>
      <c r="K115" s="71"/>
      <c r="L115" s="71"/>
      <c r="N115" s="71"/>
      <c r="P115" s="71"/>
    </row>
    <row r="116">
      <c r="A116" s="71"/>
      <c r="B116" s="71"/>
      <c r="J116" s="71"/>
      <c r="K116" s="71"/>
      <c r="L116" s="71"/>
      <c r="N116" s="71"/>
      <c r="P116" s="71"/>
    </row>
    <row r="117">
      <c r="A117" s="71"/>
      <c r="B117" s="71"/>
      <c r="J117" s="71"/>
      <c r="K117" s="71"/>
      <c r="L117" s="71"/>
      <c r="N117" s="71"/>
      <c r="P117" s="71"/>
    </row>
    <row r="118">
      <c r="A118" s="71"/>
      <c r="B118" s="71"/>
      <c r="J118" s="71"/>
      <c r="K118" s="71"/>
      <c r="L118" s="71"/>
      <c r="N118" s="71"/>
      <c r="P118" s="71"/>
    </row>
    <row r="119">
      <c r="A119" s="71"/>
      <c r="B119" s="71"/>
      <c r="J119" s="71"/>
      <c r="K119" s="71"/>
      <c r="L119" s="71"/>
      <c r="N119" s="71"/>
      <c r="P119" s="71"/>
    </row>
    <row r="120">
      <c r="A120" s="71"/>
      <c r="B120" s="71"/>
      <c r="J120" s="71"/>
      <c r="K120" s="71"/>
      <c r="L120" s="71"/>
      <c r="N120" s="71"/>
      <c r="P120" s="71"/>
    </row>
    <row r="121">
      <c r="A121" s="71"/>
      <c r="B121" s="71"/>
      <c r="J121" s="71"/>
      <c r="K121" s="71"/>
      <c r="L121" s="71"/>
      <c r="N121" s="71"/>
      <c r="P121" s="71"/>
    </row>
    <row r="122">
      <c r="A122" s="71"/>
      <c r="B122" s="71"/>
      <c r="J122" s="71"/>
      <c r="K122" s="71"/>
      <c r="L122" s="71"/>
      <c r="N122" s="71"/>
      <c r="P122" s="71"/>
    </row>
    <row r="123">
      <c r="A123" s="71"/>
      <c r="B123" s="71"/>
      <c r="J123" s="71"/>
      <c r="K123" s="71"/>
      <c r="L123" s="71"/>
      <c r="N123" s="71"/>
      <c r="P123" s="71"/>
    </row>
    <row r="124">
      <c r="A124" s="71"/>
      <c r="B124" s="71"/>
      <c r="J124" s="71"/>
      <c r="K124" s="71"/>
      <c r="L124" s="71"/>
      <c r="N124" s="71"/>
      <c r="P124" s="71"/>
    </row>
    <row r="125">
      <c r="A125" s="71"/>
      <c r="B125" s="71"/>
      <c r="J125" s="71"/>
      <c r="K125" s="71"/>
      <c r="L125" s="71"/>
      <c r="N125" s="71"/>
      <c r="P125" s="71"/>
    </row>
    <row r="126">
      <c r="A126" s="71"/>
      <c r="B126" s="71"/>
      <c r="J126" s="71"/>
      <c r="K126" s="71"/>
      <c r="L126" s="71"/>
      <c r="N126" s="71"/>
      <c r="P126" s="71"/>
    </row>
    <row r="127">
      <c r="A127" s="71"/>
      <c r="B127" s="71"/>
      <c r="J127" s="71"/>
      <c r="K127" s="71"/>
      <c r="L127" s="71"/>
      <c r="N127" s="71"/>
      <c r="P127" s="71"/>
    </row>
    <row r="128">
      <c r="A128" s="71"/>
      <c r="B128" s="71"/>
      <c r="J128" s="71"/>
      <c r="K128" s="71"/>
      <c r="L128" s="71"/>
      <c r="N128" s="71"/>
      <c r="P128" s="71"/>
    </row>
    <row r="129">
      <c r="A129" s="71"/>
      <c r="B129" s="71"/>
      <c r="J129" s="71"/>
      <c r="K129" s="71"/>
      <c r="L129" s="71"/>
      <c r="N129" s="71"/>
      <c r="P129" s="71"/>
    </row>
    <row r="130">
      <c r="A130" s="71"/>
      <c r="B130" s="71"/>
      <c r="J130" s="71"/>
      <c r="K130" s="71"/>
      <c r="L130" s="71"/>
      <c r="N130" s="71"/>
      <c r="P130" s="71"/>
    </row>
    <row r="131">
      <c r="A131" s="71"/>
      <c r="B131" s="71"/>
      <c r="J131" s="71"/>
      <c r="K131" s="71"/>
      <c r="L131" s="71"/>
      <c r="N131" s="71"/>
      <c r="P131" s="71"/>
    </row>
    <row r="132">
      <c r="A132" s="71"/>
      <c r="B132" s="71"/>
      <c r="J132" s="71"/>
      <c r="K132" s="71"/>
      <c r="L132" s="71"/>
      <c r="N132" s="71"/>
      <c r="P132" s="71"/>
    </row>
    <row r="133">
      <c r="A133" s="71"/>
      <c r="B133" s="71"/>
      <c r="J133" s="71"/>
      <c r="K133" s="71"/>
      <c r="L133" s="71"/>
      <c r="N133" s="71"/>
      <c r="P133" s="71"/>
    </row>
    <row r="134">
      <c r="A134" s="71"/>
      <c r="B134" s="71"/>
      <c r="J134" s="71"/>
      <c r="K134" s="71"/>
      <c r="L134" s="71"/>
      <c r="N134" s="71"/>
      <c r="P134" s="71"/>
    </row>
    <row r="135">
      <c r="A135" s="71"/>
      <c r="B135" s="71"/>
      <c r="J135" s="71"/>
      <c r="K135" s="71"/>
      <c r="L135" s="71"/>
      <c r="N135" s="71"/>
      <c r="P135" s="71"/>
    </row>
    <row r="136">
      <c r="A136" s="71"/>
      <c r="B136" s="71"/>
      <c r="J136" s="71"/>
      <c r="K136" s="71"/>
      <c r="L136" s="71"/>
      <c r="N136" s="71"/>
      <c r="P136" s="71"/>
    </row>
    <row r="137">
      <c r="A137" s="71"/>
      <c r="B137" s="71"/>
      <c r="J137" s="71"/>
      <c r="K137" s="71"/>
      <c r="L137" s="71"/>
      <c r="N137" s="71"/>
      <c r="P137" s="71"/>
    </row>
    <row r="138">
      <c r="A138" s="71"/>
      <c r="B138" s="71"/>
      <c r="J138" s="71"/>
      <c r="K138" s="71"/>
      <c r="L138" s="71"/>
      <c r="N138" s="71"/>
      <c r="P138" s="71"/>
    </row>
    <row r="139">
      <c r="A139" s="71"/>
      <c r="B139" s="71"/>
      <c r="J139" s="71"/>
      <c r="K139" s="71"/>
      <c r="L139" s="71"/>
      <c r="N139" s="71"/>
      <c r="P139" s="71"/>
    </row>
    <row r="140">
      <c r="A140" s="71"/>
      <c r="B140" s="71"/>
      <c r="J140" s="71"/>
      <c r="K140" s="71"/>
      <c r="L140" s="71"/>
      <c r="N140" s="71"/>
      <c r="P140" s="71"/>
    </row>
    <row r="141">
      <c r="A141" s="71"/>
      <c r="B141" s="71"/>
      <c r="J141" s="71"/>
      <c r="K141" s="71"/>
      <c r="L141" s="71"/>
      <c r="N141" s="71"/>
      <c r="P141" s="71"/>
    </row>
    <row r="142">
      <c r="A142" s="71"/>
      <c r="B142" s="71"/>
      <c r="J142" s="71"/>
      <c r="K142" s="71"/>
      <c r="L142" s="71"/>
      <c r="N142" s="71"/>
      <c r="P142" s="71"/>
    </row>
    <row r="143">
      <c r="A143" s="71"/>
      <c r="B143" s="71"/>
      <c r="J143" s="71"/>
      <c r="K143" s="71"/>
      <c r="L143" s="71"/>
      <c r="N143" s="71"/>
      <c r="P143" s="71"/>
    </row>
    <row r="144">
      <c r="A144" s="71"/>
      <c r="B144" s="71"/>
      <c r="J144" s="71"/>
      <c r="K144" s="71"/>
      <c r="L144" s="71"/>
      <c r="N144" s="71"/>
      <c r="P144" s="71"/>
    </row>
    <row r="145">
      <c r="A145" s="71"/>
      <c r="B145" s="71"/>
      <c r="J145" s="71"/>
      <c r="K145" s="71"/>
      <c r="L145" s="71"/>
      <c r="N145" s="71"/>
      <c r="P145" s="71"/>
    </row>
    <row r="146">
      <c r="A146" s="71"/>
      <c r="B146" s="71"/>
      <c r="J146" s="71"/>
      <c r="K146" s="71"/>
      <c r="L146" s="71"/>
      <c r="N146" s="71"/>
      <c r="P146" s="71"/>
    </row>
    <row r="147">
      <c r="A147" s="71"/>
      <c r="B147" s="71"/>
      <c r="J147" s="71"/>
      <c r="K147" s="71"/>
      <c r="L147" s="71"/>
      <c r="N147" s="71"/>
      <c r="P147" s="71"/>
    </row>
    <row r="148">
      <c r="A148" s="71"/>
      <c r="B148" s="71"/>
      <c r="J148" s="71"/>
      <c r="K148" s="71"/>
      <c r="L148" s="71"/>
      <c r="N148" s="71"/>
      <c r="P148" s="71"/>
    </row>
    <row r="149">
      <c r="A149" s="71"/>
      <c r="B149" s="71"/>
      <c r="J149" s="71"/>
      <c r="K149" s="71"/>
      <c r="L149" s="71"/>
      <c r="N149" s="71"/>
      <c r="P149" s="71"/>
    </row>
    <row r="150">
      <c r="A150" s="71"/>
      <c r="B150" s="71"/>
      <c r="J150" s="71"/>
      <c r="K150" s="71"/>
      <c r="L150" s="71"/>
      <c r="N150" s="71"/>
      <c r="P150" s="71"/>
    </row>
    <row r="151">
      <c r="A151" s="71"/>
      <c r="B151" s="71"/>
      <c r="J151" s="71"/>
      <c r="K151" s="71"/>
      <c r="L151" s="71"/>
      <c r="N151" s="71"/>
      <c r="P151" s="71"/>
    </row>
    <row r="152">
      <c r="A152" s="71"/>
      <c r="B152" s="71"/>
      <c r="J152" s="71"/>
      <c r="K152" s="71"/>
      <c r="L152" s="71"/>
      <c r="N152" s="71"/>
      <c r="P152" s="71"/>
    </row>
    <row r="153">
      <c r="A153" s="71"/>
      <c r="B153" s="71"/>
      <c r="J153" s="71"/>
      <c r="K153" s="71"/>
      <c r="L153" s="71"/>
      <c r="N153" s="71"/>
      <c r="P153" s="71"/>
    </row>
    <row r="154">
      <c r="A154" s="71"/>
      <c r="B154" s="71"/>
      <c r="J154" s="71"/>
      <c r="K154" s="71"/>
      <c r="L154" s="71"/>
      <c r="N154" s="71"/>
      <c r="P154" s="71"/>
    </row>
    <row r="155">
      <c r="A155" s="71"/>
      <c r="B155" s="71"/>
      <c r="J155" s="71"/>
      <c r="K155" s="71"/>
      <c r="L155" s="71"/>
      <c r="N155" s="71"/>
      <c r="P155" s="71"/>
    </row>
    <row r="156">
      <c r="A156" s="71"/>
      <c r="B156" s="71"/>
      <c r="J156" s="71"/>
      <c r="K156" s="71"/>
      <c r="L156" s="71"/>
      <c r="N156" s="71"/>
      <c r="P156" s="71"/>
    </row>
    <row r="157">
      <c r="A157" s="71"/>
      <c r="B157" s="71"/>
      <c r="J157" s="71"/>
      <c r="K157" s="71"/>
      <c r="L157" s="71"/>
      <c r="N157" s="71"/>
      <c r="P157" s="71"/>
    </row>
    <row r="158">
      <c r="A158" s="71"/>
      <c r="B158" s="71"/>
      <c r="J158" s="71"/>
      <c r="K158" s="71"/>
      <c r="L158" s="71"/>
      <c r="N158" s="71"/>
      <c r="P158" s="71"/>
    </row>
    <row r="159">
      <c r="A159" s="71"/>
      <c r="B159" s="71"/>
      <c r="J159" s="71"/>
      <c r="K159" s="71"/>
      <c r="L159" s="71"/>
      <c r="N159" s="71"/>
      <c r="P159" s="71"/>
    </row>
    <row r="160">
      <c r="A160" s="71"/>
      <c r="B160" s="71"/>
      <c r="J160" s="71"/>
      <c r="K160" s="71"/>
      <c r="L160" s="71"/>
      <c r="N160" s="71"/>
      <c r="P160" s="71"/>
    </row>
    <row r="161">
      <c r="A161" s="71"/>
      <c r="B161" s="71"/>
      <c r="J161" s="71"/>
      <c r="K161" s="71"/>
      <c r="L161" s="71"/>
      <c r="N161" s="71"/>
      <c r="P161" s="71"/>
    </row>
    <row r="162">
      <c r="A162" s="71"/>
      <c r="B162" s="71"/>
      <c r="J162" s="71"/>
      <c r="K162" s="71"/>
      <c r="L162" s="71"/>
      <c r="N162" s="71"/>
      <c r="P162" s="71"/>
    </row>
    <row r="163">
      <c r="A163" s="71"/>
      <c r="B163" s="71"/>
      <c r="J163" s="71"/>
      <c r="K163" s="71"/>
      <c r="L163" s="71"/>
      <c r="N163" s="71"/>
      <c r="P163" s="71"/>
    </row>
    <row r="164">
      <c r="A164" s="71"/>
      <c r="B164" s="71"/>
      <c r="J164" s="71"/>
      <c r="K164" s="71"/>
      <c r="L164" s="71"/>
      <c r="N164" s="71"/>
      <c r="P164" s="71"/>
    </row>
    <row r="165">
      <c r="A165" s="71"/>
      <c r="B165" s="71"/>
      <c r="J165" s="71"/>
      <c r="K165" s="71"/>
      <c r="L165" s="71"/>
      <c r="N165" s="71"/>
      <c r="P165" s="71"/>
    </row>
    <row r="166">
      <c r="A166" s="71"/>
      <c r="B166" s="71"/>
      <c r="J166" s="71"/>
      <c r="K166" s="71"/>
      <c r="L166" s="71"/>
      <c r="N166" s="71"/>
      <c r="P166" s="71"/>
    </row>
    <row r="167">
      <c r="A167" s="71"/>
      <c r="B167" s="71"/>
      <c r="J167" s="71"/>
      <c r="K167" s="71"/>
      <c r="L167" s="71"/>
      <c r="N167" s="71"/>
      <c r="P167" s="71"/>
    </row>
    <row r="168">
      <c r="A168" s="71"/>
      <c r="B168" s="71"/>
      <c r="J168" s="71"/>
      <c r="K168" s="71"/>
      <c r="L168" s="71"/>
      <c r="N168" s="71"/>
      <c r="P168" s="71"/>
    </row>
    <row r="169">
      <c r="A169" s="71"/>
      <c r="B169" s="71"/>
      <c r="J169" s="71"/>
      <c r="K169" s="71"/>
      <c r="L169" s="71"/>
      <c r="N169" s="71"/>
      <c r="P169" s="71"/>
    </row>
    <row r="170">
      <c r="A170" s="71"/>
      <c r="B170" s="71"/>
      <c r="J170" s="71"/>
      <c r="K170" s="71"/>
      <c r="L170" s="71"/>
      <c r="N170" s="71"/>
      <c r="P170" s="71"/>
    </row>
    <row r="171">
      <c r="A171" s="71"/>
      <c r="B171" s="71"/>
      <c r="J171" s="71"/>
      <c r="K171" s="71"/>
      <c r="L171" s="71"/>
      <c r="N171" s="71"/>
      <c r="P171" s="71"/>
    </row>
    <row r="172">
      <c r="A172" s="71"/>
      <c r="B172" s="71"/>
      <c r="J172" s="71"/>
      <c r="K172" s="71"/>
      <c r="L172" s="71"/>
      <c r="N172" s="71"/>
      <c r="P172" s="71"/>
    </row>
    <row r="173">
      <c r="A173" s="71"/>
      <c r="B173" s="71"/>
      <c r="J173" s="71"/>
      <c r="K173" s="71"/>
      <c r="L173" s="71"/>
      <c r="N173" s="71"/>
      <c r="P173" s="71"/>
    </row>
    <row r="174">
      <c r="A174" s="71"/>
      <c r="B174" s="71"/>
      <c r="J174" s="71"/>
      <c r="K174" s="71"/>
      <c r="L174" s="71"/>
      <c r="N174" s="71"/>
      <c r="P174" s="71"/>
    </row>
    <row r="175">
      <c r="A175" s="71"/>
      <c r="B175" s="71"/>
      <c r="J175" s="71"/>
      <c r="K175" s="71"/>
      <c r="L175" s="71"/>
      <c r="N175" s="71"/>
      <c r="P175" s="71"/>
    </row>
    <row r="176">
      <c r="A176" s="71"/>
      <c r="B176" s="71"/>
      <c r="J176" s="71"/>
      <c r="K176" s="71"/>
      <c r="L176" s="71"/>
      <c r="N176" s="71"/>
      <c r="P176" s="71"/>
    </row>
    <row r="177">
      <c r="A177" s="71"/>
      <c r="B177" s="71"/>
      <c r="J177" s="71"/>
      <c r="K177" s="71"/>
      <c r="L177" s="71"/>
      <c r="N177" s="71"/>
      <c r="P177" s="71"/>
    </row>
    <row r="178">
      <c r="A178" s="71"/>
      <c r="B178" s="71"/>
      <c r="J178" s="71"/>
      <c r="K178" s="71"/>
      <c r="L178" s="71"/>
      <c r="N178" s="71"/>
      <c r="P178" s="71"/>
    </row>
    <row r="179">
      <c r="A179" s="71"/>
      <c r="B179" s="71"/>
      <c r="J179" s="71"/>
      <c r="K179" s="71"/>
      <c r="L179" s="71"/>
      <c r="N179" s="71"/>
      <c r="P179" s="71"/>
    </row>
    <row r="180">
      <c r="A180" s="71"/>
      <c r="B180" s="71"/>
      <c r="J180" s="71"/>
      <c r="K180" s="71"/>
      <c r="L180" s="71"/>
      <c r="N180" s="71"/>
      <c r="P180" s="71"/>
    </row>
    <row r="181">
      <c r="A181" s="71"/>
      <c r="B181" s="71"/>
      <c r="J181" s="71"/>
      <c r="K181" s="71"/>
      <c r="L181" s="71"/>
      <c r="N181" s="71"/>
      <c r="P181" s="71"/>
    </row>
    <row r="182">
      <c r="A182" s="71"/>
      <c r="B182" s="71"/>
      <c r="J182" s="71"/>
      <c r="K182" s="71"/>
      <c r="L182" s="71"/>
      <c r="N182" s="71"/>
      <c r="P182" s="71"/>
    </row>
    <row r="183">
      <c r="A183" s="71"/>
      <c r="B183" s="71"/>
      <c r="J183" s="71"/>
      <c r="K183" s="71"/>
      <c r="L183" s="71"/>
      <c r="N183" s="71"/>
      <c r="P183" s="71"/>
    </row>
    <row r="184">
      <c r="A184" s="71"/>
      <c r="B184" s="71"/>
      <c r="J184" s="71"/>
      <c r="K184" s="71"/>
      <c r="L184" s="71"/>
      <c r="N184" s="71"/>
      <c r="P184" s="71"/>
    </row>
    <row r="185">
      <c r="A185" s="71"/>
      <c r="B185" s="71"/>
      <c r="J185" s="71"/>
      <c r="K185" s="71"/>
      <c r="L185" s="71"/>
      <c r="N185" s="71"/>
      <c r="P185" s="71"/>
    </row>
    <row r="186">
      <c r="A186" s="71"/>
      <c r="B186" s="71"/>
      <c r="J186" s="71"/>
      <c r="K186" s="71"/>
      <c r="L186" s="71"/>
      <c r="N186" s="71"/>
      <c r="P186" s="71"/>
    </row>
    <row r="187">
      <c r="A187" s="71"/>
      <c r="B187" s="71"/>
      <c r="J187" s="71"/>
      <c r="K187" s="71"/>
      <c r="L187" s="71"/>
      <c r="N187" s="71"/>
      <c r="P187" s="71"/>
    </row>
    <row r="188">
      <c r="A188" s="71"/>
      <c r="B188" s="71"/>
      <c r="J188" s="71"/>
      <c r="K188" s="71"/>
      <c r="L188" s="71"/>
      <c r="N188" s="71"/>
      <c r="P188" s="71"/>
    </row>
    <row r="189">
      <c r="A189" s="71"/>
      <c r="B189" s="71"/>
      <c r="J189" s="71"/>
      <c r="K189" s="71"/>
      <c r="L189" s="71"/>
      <c r="N189" s="71"/>
      <c r="P189" s="71"/>
    </row>
    <row r="190">
      <c r="A190" s="71"/>
      <c r="B190" s="71"/>
      <c r="J190" s="71"/>
      <c r="K190" s="71"/>
      <c r="L190" s="71"/>
      <c r="N190" s="71"/>
      <c r="P190" s="71"/>
    </row>
    <row r="191">
      <c r="A191" s="71"/>
      <c r="B191" s="71"/>
      <c r="J191" s="71"/>
      <c r="K191" s="71"/>
      <c r="L191" s="71"/>
      <c r="N191" s="71"/>
      <c r="P191" s="71"/>
    </row>
    <row r="192">
      <c r="A192" s="71"/>
      <c r="B192" s="71"/>
      <c r="J192" s="71"/>
      <c r="K192" s="71"/>
      <c r="L192" s="71"/>
      <c r="N192" s="71"/>
      <c r="P192" s="71"/>
    </row>
    <row r="193">
      <c r="A193" s="71"/>
      <c r="B193" s="71"/>
      <c r="J193" s="71"/>
      <c r="K193" s="71"/>
      <c r="L193" s="71"/>
      <c r="N193" s="71"/>
      <c r="P193" s="71"/>
    </row>
    <row r="194">
      <c r="A194" s="71"/>
      <c r="B194" s="71"/>
      <c r="J194" s="71"/>
      <c r="K194" s="71"/>
      <c r="L194" s="71"/>
      <c r="N194" s="71"/>
      <c r="P194" s="71"/>
    </row>
    <row r="195">
      <c r="A195" s="71"/>
      <c r="B195" s="71"/>
      <c r="J195" s="71"/>
      <c r="K195" s="71"/>
      <c r="L195" s="71"/>
      <c r="N195" s="71"/>
      <c r="P195" s="71"/>
    </row>
    <row r="196">
      <c r="A196" s="71"/>
      <c r="B196" s="71"/>
      <c r="J196" s="71"/>
      <c r="K196" s="71"/>
      <c r="L196" s="71"/>
      <c r="N196" s="71"/>
      <c r="P196" s="71"/>
    </row>
    <row r="197">
      <c r="A197" s="71"/>
      <c r="B197" s="71"/>
      <c r="J197" s="71"/>
      <c r="K197" s="71"/>
      <c r="L197" s="71"/>
      <c r="N197" s="71"/>
      <c r="P197" s="71"/>
    </row>
    <row r="198">
      <c r="A198" s="71"/>
      <c r="B198" s="71"/>
      <c r="J198" s="71"/>
      <c r="K198" s="71"/>
      <c r="L198" s="71"/>
      <c r="N198" s="71"/>
      <c r="P198" s="71"/>
    </row>
    <row r="199">
      <c r="A199" s="71"/>
      <c r="B199" s="71"/>
      <c r="J199" s="71"/>
      <c r="K199" s="71"/>
      <c r="L199" s="71"/>
      <c r="N199" s="71"/>
      <c r="P199" s="71"/>
    </row>
    <row r="200">
      <c r="A200" s="71"/>
      <c r="B200" s="71"/>
      <c r="J200" s="71"/>
      <c r="K200" s="71"/>
      <c r="L200" s="71"/>
      <c r="N200" s="71"/>
      <c r="P200" s="71"/>
    </row>
    <row r="201">
      <c r="A201" s="71"/>
      <c r="B201" s="71"/>
      <c r="J201" s="71"/>
      <c r="K201" s="71"/>
      <c r="L201" s="71"/>
      <c r="N201" s="71"/>
      <c r="P201" s="71"/>
    </row>
    <row r="202">
      <c r="A202" s="71"/>
      <c r="B202" s="71"/>
      <c r="J202" s="71"/>
      <c r="K202" s="71"/>
      <c r="L202" s="71"/>
      <c r="N202" s="71"/>
      <c r="P202" s="71"/>
    </row>
    <row r="203">
      <c r="A203" s="71"/>
      <c r="B203" s="71"/>
      <c r="J203" s="71"/>
      <c r="K203" s="71"/>
      <c r="L203" s="71"/>
      <c r="N203" s="71"/>
      <c r="P203" s="71"/>
    </row>
    <row r="204">
      <c r="A204" s="71"/>
      <c r="B204" s="71"/>
      <c r="J204" s="71"/>
      <c r="K204" s="71"/>
      <c r="L204" s="71"/>
      <c r="N204" s="71"/>
      <c r="P204" s="71"/>
    </row>
    <row r="205">
      <c r="A205" s="71"/>
      <c r="B205" s="71"/>
      <c r="J205" s="71"/>
      <c r="K205" s="71"/>
      <c r="L205" s="71"/>
      <c r="N205" s="71"/>
      <c r="P205" s="71"/>
    </row>
    <row r="206">
      <c r="A206" s="71"/>
      <c r="B206" s="71"/>
      <c r="J206" s="71"/>
      <c r="K206" s="71"/>
      <c r="L206" s="71"/>
      <c r="N206" s="71"/>
      <c r="P206" s="71"/>
    </row>
    <row r="207">
      <c r="A207" s="71"/>
      <c r="B207" s="71"/>
      <c r="J207" s="71"/>
      <c r="K207" s="71"/>
      <c r="L207" s="71"/>
      <c r="N207" s="71"/>
      <c r="P207" s="71"/>
    </row>
    <row r="208">
      <c r="A208" s="71"/>
      <c r="B208" s="71"/>
      <c r="J208" s="71"/>
      <c r="K208" s="71"/>
      <c r="L208" s="71"/>
      <c r="N208" s="71"/>
      <c r="P208" s="71"/>
    </row>
    <row r="209">
      <c r="A209" s="71"/>
      <c r="B209" s="71"/>
      <c r="J209" s="71"/>
      <c r="K209" s="71"/>
      <c r="L209" s="71"/>
      <c r="N209" s="71"/>
      <c r="P209" s="71"/>
    </row>
    <row r="210">
      <c r="A210" s="71"/>
      <c r="B210" s="71"/>
      <c r="J210" s="71"/>
      <c r="K210" s="71"/>
      <c r="L210" s="71"/>
      <c r="N210" s="71"/>
      <c r="P210" s="71"/>
    </row>
    <row r="211">
      <c r="A211" s="71"/>
      <c r="B211" s="71"/>
      <c r="J211" s="71"/>
      <c r="K211" s="71"/>
      <c r="L211" s="71"/>
      <c r="N211" s="71"/>
      <c r="P211" s="71"/>
    </row>
    <row r="212">
      <c r="A212" s="71"/>
      <c r="B212" s="71"/>
      <c r="J212" s="71"/>
      <c r="K212" s="71"/>
      <c r="L212" s="71"/>
      <c r="N212" s="71"/>
      <c r="P212" s="71"/>
    </row>
    <row r="213">
      <c r="A213" s="71"/>
      <c r="B213" s="71"/>
      <c r="J213" s="71"/>
      <c r="K213" s="71"/>
      <c r="L213" s="71"/>
      <c r="N213" s="71"/>
      <c r="P213" s="71"/>
    </row>
    <row r="214">
      <c r="A214" s="71"/>
      <c r="B214" s="71"/>
      <c r="J214" s="71"/>
      <c r="K214" s="71"/>
      <c r="L214" s="71"/>
      <c r="N214" s="71"/>
      <c r="P214" s="71"/>
    </row>
    <row r="215">
      <c r="A215" s="71"/>
      <c r="B215" s="71"/>
      <c r="J215" s="71"/>
      <c r="K215" s="71"/>
      <c r="L215" s="71"/>
      <c r="N215" s="71"/>
      <c r="P215" s="71"/>
    </row>
    <row r="216">
      <c r="A216" s="71"/>
      <c r="B216" s="71"/>
      <c r="J216" s="71"/>
      <c r="K216" s="71"/>
      <c r="L216" s="71"/>
      <c r="N216" s="71"/>
      <c r="P216" s="71"/>
    </row>
    <row r="217">
      <c r="A217" s="71"/>
      <c r="B217" s="71"/>
      <c r="J217" s="71"/>
      <c r="K217" s="71"/>
      <c r="L217" s="71"/>
      <c r="N217" s="71"/>
      <c r="P217" s="71"/>
    </row>
    <row r="218">
      <c r="A218" s="71"/>
      <c r="B218" s="71"/>
      <c r="J218" s="71"/>
      <c r="K218" s="71"/>
      <c r="L218" s="71"/>
      <c r="N218" s="71"/>
      <c r="P218" s="71"/>
    </row>
    <row r="219">
      <c r="A219" s="71"/>
      <c r="B219" s="71"/>
      <c r="J219" s="71"/>
      <c r="K219" s="71"/>
      <c r="L219" s="71"/>
      <c r="N219" s="71"/>
      <c r="P219" s="71"/>
    </row>
    <row r="220">
      <c r="A220" s="71"/>
      <c r="B220" s="71"/>
      <c r="J220" s="71"/>
      <c r="K220" s="71"/>
      <c r="L220" s="71"/>
      <c r="N220" s="71"/>
      <c r="P220" s="71"/>
    </row>
    <row r="221">
      <c r="A221" s="71"/>
      <c r="B221" s="71"/>
      <c r="J221" s="71"/>
      <c r="K221" s="71"/>
      <c r="L221" s="71"/>
      <c r="N221" s="71"/>
      <c r="P221" s="71"/>
    </row>
    <row r="222">
      <c r="A222" s="71"/>
      <c r="B222" s="71"/>
      <c r="J222" s="71"/>
      <c r="K222" s="71"/>
      <c r="L222" s="71"/>
      <c r="N222" s="71"/>
      <c r="P222" s="71"/>
    </row>
    <row r="223">
      <c r="A223" s="71"/>
      <c r="B223" s="71"/>
      <c r="J223" s="71"/>
      <c r="K223" s="71"/>
      <c r="L223" s="71"/>
      <c r="N223" s="71"/>
      <c r="P223" s="71"/>
    </row>
    <row r="224">
      <c r="A224" s="71"/>
      <c r="B224" s="71"/>
      <c r="J224" s="71"/>
      <c r="K224" s="71"/>
      <c r="L224" s="71"/>
      <c r="N224" s="71"/>
      <c r="P224" s="71"/>
    </row>
    <row r="225">
      <c r="A225" s="71"/>
      <c r="B225" s="71"/>
      <c r="J225" s="71"/>
      <c r="K225" s="71"/>
      <c r="L225" s="71"/>
      <c r="N225" s="71"/>
      <c r="P225" s="71"/>
    </row>
    <row r="226">
      <c r="A226" s="71"/>
      <c r="B226" s="71"/>
      <c r="J226" s="71"/>
      <c r="K226" s="71"/>
      <c r="L226" s="71"/>
      <c r="N226" s="71"/>
      <c r="P226" s="71"/>
    </row>
    <row r="227">
      <c r="A227" s="71"/>
      <c r="B227" s="71"/>
      <c r="J227" s="71"/>
      <c r="K227" s="71"/>
      <c r="L227" s="71"/>
      <c r="N227" s="71"/>
      <c r="P227" s="71"/>
    </row>
    <row r="228">
      <c r="A228" s="71"/>
      <c r="B228" s="71"/>
      <c r="J228" s="71"/>
      <c r="K228" s="71"/>
      <c r="L228" s="71"/>
      <c r="N228" s="71"/>
      <c r="P228" s="71"/>
    </row>
    <row r="229">
      <c r="A229" s="71"/>
      <c r="B229" s="71"/>
      <c r="J229" s="71"/>
      <c r="K229" s="71"/>
      <c r="L229" s="71"/>
      <c r="N229" s="71"/>
      <c r="P229" s="71"/>
    </row>
    <row r="230">
      <c r="A230" s="71"/>
      <c r="B230" s="71"/>
      <c r="J230" s="71"/>
      <c r="K230" s="71"/>
      <c r="L230" s="71"/>
      <c r="N230" s="71"/>
      <c r="P230" s="71"/>
    </row>
    <row r="231">
      <c r="A231" s="71"/>
      <c r="B231" s="71"/>
      <c r="J231" s="71"/>
      <c r="K231" s="71"/>
      <c r="L231" s="71"/>
      <c r="N231" s="71"/>
      <c r="P231" s="71"/>
    </row>
    <row r="232">
      <c r="A232" s="71"/>
      <c r="B232" s="71"/>
      <c r="J232" s="71"/>
      <c r="K232" s="71"/>
      <c r="L232" s="71"/>
      <c r="N232" s="71"/>
      <c r="P232" s="71"/>
    </row>
    <row r="233">
      <c r="A233" s="71"/>
      <c r="B233" s="71"/>
      <c r="J233" s="71"/>
      <c r="K233" s="71"/>
      <c r="L233" s="71"/>
      <c r="N233" s="71"/>
      <c r="P233" s="71"/>
    </row>
    <row r="234">
      <c r="A234" s="71"/>
      <c r="B234" s="71"/>
      <c r="J234" s="71"/>
      <c r="K234" s="71"/>
      <c r="L234" s="71"/>
      <c r="N234" s="71"/>
      <c r="P234" s="71"/>
    </row>
    <row r="235">
      <c r="A235" s="71"/>
      <c r="B235" s="71"/>
      <c r="J235" s="71"/>
      <c r="K235" s="71"/>
      <c r="L235" s="71"/>
      <c r="N235" s="71"/>
      <c r="P235" s="71"/>
    </row>
    <row r="236">
      <c r="A236" s="71"/>
      <c r="B236" s="71"/>
      <c r="J236" s="71"/>
      <c r="K236" s="71"/>
      <c r="L236" s="71"/>
      <c r="N236" s="71"/>
      <c r="P236" s="71"/>
    </row>
    <row r="237">
      <c r="A237" s="71"/>
      <c r="B237" s="71"/>
      <c r="J237" s="71"/>
      <c r="K237" s="71"/>
      <c r="L237" s="71"/>
      <c r="N237" s="71"/>
      <c r="P237" s="71"/>
    </row>
    <row r="238">
      <c r="A238" s="71"/>
      <c r="B238" s="71"/>
      <c r="J238" s="71"/>
      <c r="K238" s="71"/>
      <c r="L238" s="71"/>
      <c r="N238" s="71"/>
      <c r="P238" s="71"/>
    </row>
    <row r="239">
      <c r="A239" s="71"/>
      <c r="B239" s="71"/>
      <c r="J239" s="71"/>
      <c r="K239" s="71"/>
      <c r="L239" s="71"/>
      <c r="N239" s="71"/>
      <c r="P239" s="71"/>
    </row>
    <row r="240">
      <c r="A240" s="71"/>
      <c r="B240" s="71"/>
      <c r="J240" s="71"/>
      <c r="K240" s="71"/>
      <c r="L240" s="71"/>
      <c r="N240" s="71"/>
      <c r="P240" s="71"/>
    </row>
    <row r="241">
      <c r="A241" s="71"/>
      <c r="B241" s="71"/>
      <c r="J241" s="71"/>
      <c r="K241" s="71"/>
      <c r="L241" s="71"/>
      <c r="N241" s="71"/>
      <c r="P241" s="71"/>
    </row>
    <row r="242">
      <c r="A242" s="71"/>
      <c r="B242" s="71"/>
      <c r="J242" s="71"/>
      <c r="K242" s="71"/>
      <c r="L242" s="71"/>
      <c r="N242" s="71"/>
      <c r="P242" s="71"/>
    </row>
    <row r="243">
      <c r="A243" s="71"/>
      <c r="B243" s="71"/>
      <c r="J243" s="71"/>
      <c r="K243" s="71"/>
      <c r="L243" s="71"/>
      <c r="N243" s="71"/>
      <c r="P243" s="71"/>
    </row>
    <row r="244">
      <c r="A244" s="71"/>
      <c r="B244" s="71"/>
      <c r="J244" s="71"/>
      <c r="K244" s="71"/>
      <c r="L244" s="71"/>
      <c r="N244" s="71"/>
      <c r="P244" s="71"/>
    </row>
    <row r="245">
      <c r="A245" s="71"/>
      <c r="B245" s="71"/>
      <c r="J245" s="71"/>
      <c r="K245" s="71"/>
      <c r="L245" s="71"/>
      <c r="N245" s="71"/>
      <c r="P245" s="71"/>
    </row>
    <row r="246">
      <c r="A246" s="71"/>
      <c r="B246" s="71"/>
      <c r="J246" s="71"/>
      <c r="K246" s="71"/>
      <c r="L246" s="71"/>
      <c r="N246" s="71"/>
      <c r="P246" s="71"/>
    </row>
    <row r="247">
      <c r="A247" s="71"/>
      <c r="B247" s="71"/>
      <c r="J247" s="71"/>
      <c r="K247" s="71"/>
      <c r="L247" s="71"/>
      <c r="N247" s="71"/>
      <c r="P247" s="71"/>
    </row>
    <row r="248">
      <c r="A248" s="71"/>
      <c r="B248" s="71"/>
      <c r="J248" s="71"/>
      <c r="K248" s="71"/>
      <c r="L248" s="71"/>
      <c r="N248" s="71"/>
      <c r="P248" s="71"/>
    </row>
    <row r="249">
      <c r="A249" s="71"/>
      <c r="B249" s="71"/>
      <c r="J249" s="71"/>
      <c r="K249" s="71"/>
      <c r="L249" s="71"/>
      <c r="N249" s="71"/>
      <c r="P249" s="71"/>
    </row>
    <row r="250">
      <c r="A250" s="71"/>
      <c r="B250" s="71"/>
      <c r="J250" s="71"/>
      <c r="K250" s="71"/>
      <c r="L250" s="71"/>
      <c r="N250" s="71"/>
      <c r="P250" s="71"/>
    </row>
    <row r="251">
      <c r="A251" s="71"/>
      <c r="B251" s="71"/>
      <c r="J251" s="71"/>
      <c r="K251" s="71"/>
      <c r="L251" s="71"/>
      <c r="N251" s="71"/>
      <c r="P251" s="71"/>
    </row>
    <row r="252">
      <c r="A252" s="71"/>
      <c r="B252" s="71"/>
      <c r="J252" s="71"/>
      <c r="K252" s="71"/>
      <c r="L252" s="71"/>
      <c r="N252" s="71"/>
      <c r="P252" s="71"/>
    </row>
    <row r="253">
      <c r="A253" s="71"/>
      <c r="B253" s="71"/>
      <c r="J253" s="71"/>
      <c r="K253" s="71"/>
      <c r="L253" s="71"/>
      <c r="N253" s="71"/>
      <c r="P253" s="71"/>
    </row>
    <row r="254">
      <c r="A254" s="71"/>
      <c r="B254" s="71"/>
      <c r="J254" s="71"/>
      <c r="K254" s="71"/>
      <c r="L254" s="71"/>
      <c r="N254" s="71"/>
      <c r="P254" s="71"/>
    </row>
    <row r="255">
      <c r="A255" s="71"/>
      <c r="B255" s="71"/>
      <c r="J255" s="71"/>
      <c r="K255" s="71"/>
      <c r="L255" s="71"/>
      <c r="N255" s="71"/>
      <c r="P255" s="71"/>
    </row>
    <row r="256">
      <c r="A256" s="71"/>
      <c r="B256" s="71"/>
      <c r="J256" s="71"/>
      <c r="K256" s="71"/>
      <c r="L256" s="71"/>
      <c r="N256" s="71"/>
      <c r="P256" s="71"/>
    </row>
    <row r="257">
      <c r="A257" s="71"/>
      <c r="B257" s="71"/>
      <c r="J257" s="71"/>
      <c r="K257" s="71"/>
      <c r="L257" s="71"/>
      <c r="N257" s="71"/>
      <c r="P257" s="71"/>
    </row>
    <row r="258">
      <c r="A258" s="71"/>
      <c r="B258" s="71"/>
      <c r="J258" s="71"/>
      <c r="K258" s="71"/>
      <c r="L258" s="71"/>
      <c r="N258" s="71"/>
      <c r="P258" s="71"/>
    </row>
    <row r="259">
      <c r="A259" s="71"/>
      <c r="B259" s="71"/>
      <c r="J259" s="71"/>
      <c r="K259" s="71"/>
      <c r="L259" s="71"/>
      <c r="N259" s="71"/>
      <c r="P259" s="71"/>
    </row>
    <row r="260">
      <c r="A260" s="71"/>
      <c r="B260" s="71"/>
      <c r="J260" s="71"/>
      <c r="K260" s="71"/>
      <c r="L260" s="71"/>
      <c r="N260" s="71"/>
      <c r="P260" s="71"/>
    </row>
    <row r="261">
      <c r="A261" s="71"/>
      <c r="B261" s="71"/>
      <c r="J261" s="71"/>
      <c r="K261" s="71"/>
      <c r="L261" s="71"/>
      <c r="N261" s="71"/>
      <c r="P261" s="71"/>
    </row>
    <row r="262">
      <c r="A262" s="71"/>
      <c r="B262" s="71"/>
      <c r="J262" s="71"/>
      <c r="K262" s="71"/>
      <c r="L262" s="71"/>
      <c r="N262" s="71"/>
      <c r="P262" s="71"/>
    </row>
    <row r="263">
      <c r="A263" s="71"/>
      <c r="B263" s="71"/>
      <c r="J263" s="71"/>
      <c r="K263" s="71"/>
      <c r="L263" s="71"/>
      <c r="N263" s="71"/>
      <c r="P263" s="71"/>
    </row>
    <row r="264">
      <c r="A264" s="71"/>
      <c r="B264" s="71"/>
      <c r="J264" s="71"/>
      <c r="K264" s="71"/>
      <c r="L264" s="71"/>
      <c r="N264" s="71"/>
      <c r="P264" s="71"/>
    </row>
    <row r="265">
      <c r="A265" s="71"/>
      <c r="B265" s="71"/>
      <c r="J265" s="71"/>
      <c r="K265" s="71"/>
      <c r="L265" s="71"/>
      <c r="N265" s="71"/>
      <c r="P265" s="71"/>
    </row>
    <row r="266">
      <c r="A266" s="71"/>
      <c r="B266" s="71"/>
      <c r="J266" s="71"/>
      <c r="K266" s="71"/>
      <c r="L266" s="71"/>
      <c r="N266" s="71"/>
      <c r="P266" s="71"/>
    </row>
    <row r="267">
      <c r="A267" s="71"/>
      <c r="B267" s="71"/>
      <c r="J267" s="71"/>
      <c r="K267" s="71"/>
      <c r="L267" s="71"/>
      <c r="N267" s="71"/>
      <c r="P267" s="71"/>
    </row>
    <row r="268">
      <c r="A268" s="71"/>
      <c r="B268" s="71"/>
      <c r="J268" s="71"/>
      <c r="K268" s="71"/>
      <c r="L268" s="71"/>
      <c r="N268" s="71"/>
      <c r="P268" s="71"/>
    </row>
    <row r="269">
      <c r="A269" s="71"/>
      <c r="B269" s="71"/>
      <c r="J269" s="71"/>
      <c r="K269" s="71"/>
      <c r="L269" s="71"/>
      <c r="N269" s="71"/>
      <c r="P269" s="71"/>
    </row>
    <row r="270">
      <c r="A270" s="71"/>
      <c r="B270" s="71"/>
      <c r="J270" s="71"/>
      <c r="K270" s="71"/>
      <c r="L270" s="71"/>
      <c r="N270" s="71"/>
      <c r="P270" s="71"/>
    </row>
    <row r="271">
      <c r="A271" s="71"/>
      <c r="B271" s="71"/>
      <c r="J271" s="71"/>
      <c r="K271" s="71"/>
      <c r="L271" s="71"/>
      <c r="N271" s="71"/>
      <c r="P271" s="71"/>
    </row>
    <row r="272">
      <c r="A272" s="71"/>
      <c r="B272" s="71"/>
      <c r="J272" s="71"/>
      <c r="K272" s="71"/>
      <c r="L272" s="71"/>
      <c r="N272" s="71"/>
      <c r="P272" s="71"/>
    </row>
    <row r="273">
      <c r="A273" s="71"/>
      <c r="B273" s="71"/>
      <c r="J273" s="71"/>
      <c r="K273" s="71"/>
      <c r="L273" s="71"/>
      <c r="N273" s="71"/>
      <c r="P273" s="71"/>
    </row>
    <row r="274">
      <c r="A274" s="71"/>
      <c r="B274" s="71"/>
      <c r="J274" s="71"/>
      <c r="K274" s="71"/>
      <c r="L274" s="71"/>
      <c r="N274" s="71"/>
      <c r="P274" s="71"/>
    </row>
    <row r="275">
      <c r="A275" s="71"/>
      <c r="B275" s="71"/>
      <c r="J275" s="71"/>
      <c r="K275" s="71"/>
      <c r="L275" s="71"/>
      <c r="N275" s="71"/>
      <c r="P275" s="71"/>
    </row>
    <row r="276">
      <c r="A276" s="71"/>
      <c r="B276" s="71"/>
      <c r="J276" s="71"/>
      <c r="K276" s="71"/>
      <c r="L276" s="71"/>
      <c r="N276" s="71"/>
      <c r="P276" s="71"/>
    </row>
    <row r="277">
      <c r="A277" s="71"/>
      <c r="B277" s="71"/>
      <c r="J277" s="71"/>
      <c r="K277" s="71"/>
      <c r="L277" s="71"/>
      <c r="N277" s="71"/>
      <c r="P277" s="71"/>
    </row>
    <row r="278">
      <c r="A278" s="71"/>
      <c r="B278" s="71"/>
      <c r="J278" s="71"/>
      <c r="K278" s="71"/>
      <c r="L278" s="71"/>
      <c r="N278" s="71"/>
      <c r="P278" s="71"/>
    </row>
    <row r="279">
      <c r="A279" s="71"/>
      <c r="B279" s="71"/>
      <c r="J279" s="71"/>
      <c r="K279" s="71"/>
      <c r="L279" s="71"/>
      <c r="N279" s="71"/>
      <c r="P279" s="71"/>
    </row>
    <row r="280">
      <c r="A280" s="71"/>
      <c r="B280" s="71"/>
      <c r="J280" s="71"/>
      <c r="K280" s="71"/>
      <c r="L280" s="71"/>
      <c r="N280" s="71"/>
      <c r="P280" s="71"/>
    </row>
    <row r="281">
      <c r="A281" s="71"/>
      <c r="B281" s="71"/>
      <c r="J281" s="71"/>
      <c r="K281" s="71"/>
      <c r="L281" s="71"/>
      <c r="N281" s="71"/>
      <c r="P281" s="71"/>
    </row>
    <row r="282">
      <c r="A282" s="71"/>
      <c r="B282" s="71"/>
      <c r="J282" s="71"/>
      <c r="K282" s="71"/>
      <c r="L282" s="71"/>
      <c r="N282" s="71"/>
      <c r="P282" s="71"/>
    </row>
    <row r="283">
      <c r="A283" s="71"/>
      <c r="B283" s="71"/>
      <c r="J283" s="71"/>
      <c r="K283" s="71"/>
      <c r="L283" s="71"/>
      <c r="N283" s="71"/>
      <c r="P283" s="71"/>
    </row>
    <row r="284">
      <c r="A284" s="71"/>
      <c r="B284" s="71"/>
      <c r="J284" s="71"/>
      <c r="K284" s="71"/>
      <c r="L284" s="71"/>
      <c r="N284" s="71"/>
      <c r="P284" s="71"/>
    </row>
    <row r="285">
      <c r="A285" s="71"/>
      <c r="B285" s="71"/>
      <c r="J285" s="71"/>
      <c r="K285" s="71"/>
      <c r="L285" s="71"/>
      <c r="N285" s="71"/>
      <c r="P285" s="71"/>
    </row>
    <row r="286">
      <c r="A286" s="71"/>
      <c r="B286" s="71"/>
      <c r="J286" s="71"/>
      <c r="K286" s="71"/>
      <c r="L286" s="71"/>
      <c r="N286" s="71"/>
      <c r="P286" s="71"/>
    </row>
    <row r="287">
      <c r="A287" s="71"/>
      <c r="B287" s="71"/>
      <c r="J287" s="71"/>
      <c r="K287" s="71"/>
      <c r="L287" s="71"/>
      <c r="N287" s="71"/>
      <c r="P287" s="71"/>
    </row>
    <row r="288">
      <c r="A288" s="71"/>
      <c r="B288" s="71"/>
      <c r="J288" s="71"/>
      <c r="K288" s="71"/>
      <c r="L288" s="71"/>
      <c r="N288" s="71"/>
      <c r="P288" s="71"/>
    </row>
    <row r="289">
      <c r="A289" s="71"/>
      <c r="B289" s="71"/>
      <c r="J289" s="71"/>
      <c r="K289" s="71"/>
      <c r="L289" s="71"/>
      <c r="N289" s="71"/>
      <c r="P289" s="71"/>
    </row>
    <row r="290">
      <c r="A290" s="71"/>
      <c r="B290" s="71"/>
      <c r="J290" s="71"/>
      <c r="K290" s="71"/>
      <c r="L290" s="71"/>
      <c r="N290" s="71"/>
      <c r="P290" s="71"/>
    </row>
    <row r="291">
      <c r="A291" s="71"/>
      <c r="B291" s="71"/>
      <c r="J291" s="71"/>
      <c r="K291" s="71"/>
      <c r="L291" s="71"/>
      <c r="N291" s="71"/>
      <c r="P291" s="71"/>
    </row>
    <row r="292">
      <c r="A292" s="71"/>
      <c r="B292" s="71"/>
      <c r="J292" s="71"/>
      <c r="K292" s="71"/>
      <c r="L292" s="71"/>
      <c r="N292" s="71"/>
      <c r="P292" s="71"/>
    </row>
    <row r="293">
      <c r="A293" s="71"/>
      <c r="B293" s="71"/>
      <c r="J293" s="71"/>
      <c r="K293" s="71"/>
      <c r="L293" s="71"/>
      <c r="N293" s="71"/>
      <c r="P293" s="71"/>
    </row>
    <row r="294">
      <c r="A294" s="71"/>
      <c r="B294" s="71"/>
      <c r="J294" s="71"/>
      <c r="K294" s="71"/>
      <c r="L294" s="71"/>
      <c r="N294" s="71"/>
      <c r="P294" s="71"/>
    </row>
    <row r="295">
      <c r="A295" s="71"/>
      <c r="B295" s="71"/>
      <c r="J295" s="71"/>
      <c r="K295" s="71"/>
      <c r="L295" s="71"/>
      <c r="N295" s="71"/>
      <c r="P295" s="71"/>
    </row>
    <row r="296">
      <c r="A296" s="71"/>
      <c r="B296" s="71"/>
      <c r="J296" s="71"/>
      <c r="K296" s="71"/>
      <c r="L296" s="71"/>
      <c r="N296" s="71"/>
      <c r="P296" s="71"/>
    </row>
    <row r="297">
      <c r="A297" s="71"/>
      <c r="B297" s="71"/>
      <c r="J297" s="71"/>
      <c r="K297" s="71"/>
      <c r="L297" s="71"/>
      <c r="N297" s="71"/>
      <c r="P297" s="71"/>
    </row>
    <row r="298">
      <c r="A298" s="71"/>
      <c r="B298" s="71"/>
      <c r="J298" s="71"/>
      <c r="K298" s="71"/>
      <c r="L298" s="71"/>
      <c r="N298" s="71"/>
      <c r="P298" s="71"/>
    </row>
    <row r="299">
      <c r="A299" s="71"/>
      <c r="B299" s="71"/>
      <c r="J299" s="71"/>
      <c r="K299" s="71"/>
      <c r="L299" s="71"/>
      <c r="N299" s="71"/>
      <c r="P299" s="71"/>
    </row>
    <row r="300">
      <c r="A300" s="71"/>
      <c r="B300" s="71"/>
      <c r="J300" s="71"/>
      <c r="K300" s="71"/>
      <c r="L300" s="71"/>
      <c r="N300" s="71"/>
      <c r="P300" s="71"/>
    </row>
    <row r="301">
      <c r="A301" s="71"/>
      <c r="B301" s="71"/>
      <c r="J301" s="71"/>
      <c r="K301" s="71"/>
      <c r="L301" s="71"/>
      <c r="N301" s="71"/>
      <c r="P301" s="71"/>
    </row>
    <row r="302">
      <c r="A302" s="71"/>
      <c r="B302" s="71"/>
      <c r="J302" s="71"/>
      <c r="K302" s="71"/>
      <c r="L302" s="71"/>
      <c r="N302" s="71"/>
      <c r="P302" s="71"/>
    </row>
    <row r="303">
      <c r="A303" s="71"/>
      <c r="B303" s="71"/>
      <c r="J303" s="71"/>
      <c r="K303" s="71"/>
      <c r="L303" s="71"/>
      <c r="N303" s="71"/>
      <c r="P303" s="71"/>
    </row>
    <row r="304">
      <c r="A304" s="71"/>
      <c r="B304" s="71"/>
      <c r="J304" s="71"/>
      <c r="K304" s="71"/>
      <c r="L304" s="71"/>
      <c r="N304" s="71"/>
      <c r="P304" s="71"/>
    </row>
    <row r="305">
      <c r="A305" s="71"/>
      <c r="B305" s="71"/>
      <c r="J305" s="71"/>
      <c r="K305" s="71"/>
      <c r="L305" s="71"/>
      <c r="N305" s="71"/>
      <c r="P305" s="71"/>
    </row>
    <row r="306">
      <c r="A306" s="71"/>
      <c r="B306" s="71"/>
      <c r="J306" s="71"/>
      <c r="K306" s="71"/>
      <c r="L306" s="71"/>
      <c r="N306" s="71"/>
      <c r="P306" s="71"/>
    </row>
    <row r="307">
      <c r="A307" s="71"/>
      <c r="B307" s="71"/>
      <c r="J307" s="71"/>
      <c r="K307" s="71"/>
      <c r="L307" s="71"/>
      <c r="N307" s="71"/>
      <c r="P307" s="71"/>
    </row>
    <row r="308">
      <c r="A308" s="71"/>
      <c r="B308" s="71"/>
      <c r="J308" s="71"/>
      <c r="K308" s="71"/>
      <c r="L308" s="71"/>
      <c r="N308" s="71"/>
      <c r="P308" s="71"/>
    </row>
    <row r="309">
      <c r="A309" s="71"/>
      <c r="B309" s="71"/>
      <c r="J309" s="71"/>
      <c r="K309" s="71"/>
      <c r="L309" s="71"/>
      <c r="N309" s="71"/>
      <c r="P309" s="71"/>
    </row>
    <row r="310">
      <c r="A310" s="71"/>
      <c r="B310" s="71"/>
      <c r="J310" s="71"/>
      <c r="K310" s="71"/>
      <c r="L310" s="71"/>
      <c r="N310" s="71"/>
      <c r="P310" s="71"/>
    </row>
    <row r="311">
      <c r="A311" s="71"/>
      <c r="B311" s="71"/>
      <c r="J311" s="71"/>
      <c r="K311" s="71"/>
      <c r="L311" s="71"/>
      <c r="N311" s="71"/>
      <c r="P311" s="71"/>
    </row>
    <row r="312">
      <c r="A312" s="71"/>
      <c r="B312" s="71"/>
      <c r="J312" s="71"/>
      <c r="K312" s="71"/>
      <c r="L312" s="71"/>
      <c r="N312" s="71"/>
      <c r="P312" s="71"/>
    </row>
    <row r="313">
      <c r="A313" s="71"/>
      <c r="B313" s="71"/>
      <c r="J313" s="71"/>
      <c r="K313" s="71"/>
      <c r="L313" s="71"/>
      <c r="N313" s="71"/>
      <c r="P313" s="71"/>
    </row>
    <row r="314">
      <c r="A314" s="71"/>
      <c r="B314" s="71"/>
      <c r="J314" s="71"/>
      <c r="K314" s="71"/>
      <c r="L314" s="71"/>
      <c r="N314" s="71"/>
      <c r="P314" s="71"/>
    </row>
    <row r="315">
      <c r="A315" s="71"/>
      <c r="B315" s="71"/>
      <c r="J315" s="71"/>
      <c r="K315" s="71"/>
      <c r="L315" s="71"/>
      <c r="N315" s="71"/>
      <c r="P315" s="71"/>
    </row>
    <row r="316">
      <c r="A316" s="71"/>
      <c r="B316" s="71"/>
      <c r="J316" s="71"/>
      <c r="K316" s="71"/>
      <c r="L316" s="71"/>
      <c r="N316" s="71"/>
      <c r="P316" s="71"/>
    </row>
    <row r="317">
      <c r="A317" s="71"/>
      <c r="B317" s="71"/>
      <c r="J317" s="71"/>
      <c r="K317" s="71"/>
      <c r="L317" s="71"/>
      <c r="N317" s="71"/>
      <c r="P317" s="71"/>
    </row>
    <row r="318">
      <c r="A318" s="71"/>
      <c r="B318" s="71"/>
      <c r="J318" s="71"/>
      <c r="K318" s="71"/>
      <c r="L318" s="71"/>
      <c r="N318" s="71"/>
      <c r="P318" s="71"/>
    </row>
    <row r="319">
      <c r="A319" s="71"/>
      <c r="B319" s="71"/>
      <c r="J319" s="71"/>
      <c r="K319" s="71"/>
      <c r="L319" s="71"/>
      <c r="N319" s="71"/>
      <c r="P319" s="71"/>
    </row>
    <row r="320">
      <c r="A320" s="71"/>
      <c r="B320" s="71"/>
      <c r="J320" s="71"/>
      <c r="K320" s="71"/>
      <c r="L320" s="71"/>
      <c r="N320" s="71"/>
      <c r="P320" s="71"/>
    </row>
    <row r="321">
      <c r="A321" s="71"/>
      <c r="B321" s="71"/>
      <c r="J321" s="71"/>
      <c r="K321" s="71"/>
      <c r="L321" s="71"/>
      <c r="N321" s="71"/>
      <c r="P321" s="71"/>
    </row>
    <row r="322">
      <c r="A322" s="71"/>
      <c r="B322" s="71"/>
      <c r="J322" s="71"/>
      <c r="K322" s="71"/>
      <c r="L322" s="71"/>
      <c r="N322" s="71"/>
      <c r="P322" s="71"/>
    </row>
    <row r="323">
      <c r="A323" s="71"/>
      <c r="B323" s="71"/>
      <c r="J323" s="71"/>
      <c r="K323" s="71"/>
      <c r="L323" s="71"/>
      <c r="N323" s="71"/>
      <c r="P323" s="71"/>
    </row>
    <row r="324">
      <c r="A324" s="71"/>
      <c r="B324" s="71"/>
      <c r="J324" s="71"/>
      <c r="K324" s="71"/>
      <c r="L324" s="71"/>
      <c r="N324" s="71"/>
      <c r="P324" s="71"/>
    </row>
    <row r="325">
      <c r="A325" s="71"/>
      <c r="B325" s="71"/>
      <c r="J325" s="71"/>
      <c r="K325" s="71"/>
      <c r="L325" s="71"/>
      <c r="N325" s="71"/>
      <c r="P325" s="71"/>
    </row>
    <row r="326">
      <c r="A326" s="71"/>
      <c r="B326" s="71"/>
      <c r="J326" s="71"/>
      <c r="K326" s="71"/>
      <c r="L326" s="71"/>
      <c r="N326" s="71"/>
      <c r="P326" s="71"/>
    </row>
    <row r="327">
      <c r="A327" s="71"/>
      <c r="B327" s="71"/>
      <c r="J327" s="71"/>
      <c r="K327" s="71"/>
      <c r="L327" s="71"/>
      <c r="N327" s="71"/>
      <c r="P327" s="71"/>
    </row>
    <row r="328">
      <c r="A328" s="71"/>
      <c r="B328" s="71"/>
      <c r="J328" s="71"/>
      <c r="K328" s="71"/>
      <c r="L328" s="71"/>
      <c r="N328" s="71"/>
      <c r="P328" s="71"/>
    </row>
    <row r="329">
      <c r="A329" s="71"/>
      <c r="B329" s="71"/>
      <c r="J329" s="71"/>
      <c r="K329" s="71"/>
      <c r="L329" s="71"/>
      <c r="N329" s="71"/>
      <c r="P329" s="71"/>
    </row>
    <row r="330">
      <c r="A330" s="71"/>
      <c r="B330" s="71"/>
      <c r="J330" s="71"/>
      <c r="K330" s="71"/>
      <c r="L330" s="71"/>
      <c r="N330" s="71"/>
      <c r="P330" s="71"/>
    </row>
    <row r="331">
      <c r="A331" s="71"/>
      <c r="B331" s="71"/>
      <c r="J331" s="71"/>
      <c r="K331" s="71"/>
      <c r="L331" s="71"/>
      <c r="N331" s="71"/>
      <c r="P331" s="71"/>
    </row>
    <row r="332">
      <c r="A332" s="71"/>
      <c r="B332" s="71"/>
      <c r="J332" s="71"/>
      <c r="K332" s="71"/>
      <c r="L332" s="71"/>
      <c r="N332" s="71"/>
      <c r="P332" s="71"/>
    </row>
    <row r="333">
      <c r="A333" s="71"/>
      <c r="B333" s="71"/>
      <c r="J333" s="71"/>
      <c r="K333" s="71"/>
      <c r="L333" s="71"/>
      <c r="N333" s="71"/>
      <c r="P333" s="71"/>
    </row>
    <row r="334">
      <c r="A334" s="71"/>
      <c r="B334" s="71"/>
      <c r="J334" s="71"/>
      <c r="K334" s="71"/>
      <c r="L334" s="71"/>
      <c r="N334" s="71"/>
      <c r="P334" s="71"/>
    </row>
    <row r="335">
      <c r="A335" s="71"/>
      <c r="B335" s="71"/>
      <c r="J335" s="71"/>
      <c r="K335" s="71"/>
      <c r="L335" s="71"/>
      <c r="N335" s="71"/>
      <c r="P335" s="71"/>
    </row>
    <row r="336">
      <c r="A336" s="71"/>
      <c r="B336" s="71"/>
      <c r="J336" s="71"/>
      <c r="K336" s="71"/>
      <c r="L336" s="71"/>
      <c r="N336" s="71"/>
      <c r="P336" s="71"/>
    </row>
    <row r="337">
      <c r="A337" s="71"/>
      <c r="B337" s="71"/>
      <c r="J337" s="71"/>
      <c r="K337" s="71"/>
      <c r="L337" s="71"/>
      <c r="N337" s="71"/>
      <c r="P337" s="71"/>
    </row>
    <row r="338">
      <c r="A338" s="71"/>
      <c r="B338" s="71"/>
      <c r="J338" s="71"/>
      <c r="K338" s="71"/>
      <c r="L338" s="71"/>
      <c r="N338" s="71"/>
      <c r="P338" s="71"/>
    </row>
    <row r="339">
      <c r="A339" s="71"/>
      <c r="B339" s="71"/>
      <c r="J339" s="71"/>
      <c r="K339" s="71"/>
      <c r="L339" s="71"/>
      <c r="N339" s="71"/>
      <c r="P339" s="71"/>
    </row>
    <row r="340">
      <c r="A340" s="71"/>
      <c r="B340" s="71"/>
      <c r="J340" s="71"/>
      <c r="K340" s="71"/>
      <c r="L340" s="71"/>
      <c r="N340" s="71"/>
      <c r="P340" s="71"/>
    </row>
    <row r="341">
      <c r="A341" s="71"/>
      <c r="B341" s="71"/>
      <c r="J341" s="71"/>
      <c r="K341" s="71"/>
      <c r="L341" s="71"/>
      <c r="N341" s="71"/>
      <c r="P341" s="71"/>
    </row>
    <row r="342">
      <c r="A342" s="71"/>
      <c r="B342" s="71"/>
      <c r="J342" s="71"/>
      <c r="K342" s="71"/>
      <c r="L342" s="71"/>
      <c r="N342" s="71"/>
      <c r="P342" s="71"/>
    </row>
    <row r="343">
      <c r="A343" s="71"/>
      <c r="B343" s="71"/>
      <c r="J343" s="71"/>
      <c r="K343" s="71"/>
      <c r="L343" s="71"/>
      <c r="N343" s="71"/>
      <c r="P343" s="71"/>
    </row>
    <row r="344">
      <c r="A344" s="71"/>
      <c r="B344" s="71"/>
      <c r="J344" s="71"/>
      <c r="K344" s="71"/>
      <c r="L344" s="71"/>
      <c r="N344" s="71"/>
      <c r="P344" s="71"/>
    </row>
    <row r="345">
      <c r="A345" s="71"/>
      <c r="B345" s="71"/>
      <c r="J345" s="71"/>
      <c r="K345" s="71"/>
      <c r="L345" s="71"/>
      <c r="N345" s="71"/>
      <c r="P345" s="71"/>
    </row>
    <row r="346">
      <c r="A346" s="71"/>
      <c r="B346" s="71"/>
      <c r="J346" s="71"/>
      <c r="K346" s="71"/>
      <c r="L346" s="71"/>
      <c r="N346" s="71"/>
      <c r="P346" s="71"/>
    </row>
    <row r="347">
      <c r="A347" s="71"/>
      <c r="B347" s="71"/>
      <c r="J347" s="71"/>
      <c r="K347" s="71"/>
      <c r="L347" s="71"/>
      <c r="N347" s="71"/>
      <c r="P347" s="71"/>
    </row>
    <row r="348">
      <c r="A348" s="71"/>
      <c r="B348" s="71"/>
      <c r="J348" s="71"/>
      <c r="K348" s="71"/>
      <c r="L348" s="71"/>
      <c r="N348" s="71"/>
      <c r="P348" s="71"/>
    </row>
    <row r="349">
      <c r="A349" s="71"/>
      <c r="B349" s="71"/>
      <c r="J349" s="71"/>
      <c r="K349" s="71"/>
      <c r="L349" s="71"/>
      <c r="N349" s="71"/>
      <c r="P349" s="71"/>
    </row>
    <row r="350">
      <c r="A350" s="71"/>
      <c r="B350" s="71"/>
      <c r="J350" s="71"/>
      <c r="K350" s="71"/>
      <c r="L350" s="71"/>
      <c r="N350" s="71"/>
      <c r="P350" s="71"/>
    </row>
    <row r="351">
      <c r="A351" s="71"/>
      <c r="B351" s="71"/>
      <c r="J351" s="71"/>
      <c r="K351" s="71"/>
      <c r="L351" s="71"/>
      <c r="N351" s="71"/>
      <c r="P351" s="71"/>
    </row>
    <row r="352">
      <c r="A352" s="71"/>
      <c r="B352" s="71"/>
      <c r="J352" s="71"/>
      <c r="K352" s="71"/>
      <c r="L352" s="71"/>
      <c r="N352" s="71"/>
      <c r="P352" s="71"/>
    </row>
    <row r="353">
      <c r="A353" s="71"/>
      <c r="B353" s="71"/>
      <c r="J353" s="71"/>
      <c r="K353" s="71"/>
      <c r="L353" s="71"/>
      <c r="N353" s="71"/>
      <c r="P353" s="71"/>
    </row>
    <row r="354">
      <c r="A354" s="71"/>
      <c r="B354" s="71"/>
      <c r="J354" s="71"/>
      <c r="K354" s="71"/>
      <c r="L354" s="71"/>
      <c r="N354" s="71"/>
      <c r="P354" s="71"/>
    </row>
    <row r="355">
      <c r="A355" s="71"/>
      <c r="B355" s="71"/>
      <c r="J355" s="71"/>
      <c r="K355" s="71"/>
      <c r="L355" s="71"/>
      <c r="N355" s="71"/>
      <c r="P355" s="71"/>
    </row>
    <row r="356">
      <c r="A356" s="71"/>
      <c r="B356" s="71"/>
      <c r="J356" s="71"/>
      <c r="K356" s="71"/>
      <c r="L356" s="71"/>
      <c r="N356" s="71"/>
      <c r="P356" s="71"/>
    </row>
    <row r="357">
      <c r="A357" s="71"/>
      <c r="B357" s="71"/>
      <c r="J357" s="71"/>
      <c r="K357" s="71"/>
      <c r="L357" s="71"/>
      <c r="N357" s="71"/>
      <c r="P357" s="71"/>
    </row>
    <row r="358">
      <c r="A358" s="71"/>
      <c r="B358" s="71"/>
      <c r="J358" s="71"/>
      <c r="K358" s="71"/>
      <c r="L358" s="71"/>
      <c r="N358" s="71"/>
      <c r="P358" s="71"/>
    </row>
    <row r="359">
      <c r="A359" s="71"/>
      <c r="B359" s="71"/>
      <c r="J359" s="71"/>
      <c r="K359" s="71"/>
      <c r="L359" s="71"/>
      <c r="N359" s="71"/>
      <c r="P359" s="71"/>
    </row>
    <row r="360">
      <c r="A360" s="71"/>
      <c r="B360" s="71"/>
      <c r="J360" s="71"/>
      <c r="K360" s="71"/>
      <c r="L360" s="71"/>
      <c r="N360" s="71"/>
      <c r="P360" s="71"/>
    </row>
    <row r="361">
      <c r="A361" s="71"/>
      <c r="B361" s="71"/>
      <c r="J361" s="71"/>
      <c r="K361" s="71"/>
      <c r="L361" s="71"/>
      <c r="N361" s="71"/>
      <c r="P361" s="71"/>
    </row>
    <row r="362">
      <c r="A362" s="71"/>
      <c r="B362" s="71"/>
      <c r="J362" s="71"/>
      <c r="K362" s="71"/>
      <c r="L362" s="71"/>
      <c r="N362" s="71"/>
      <c r="P362" s="71"/>
    </row>
    <row r="363">
      <c r="A363" s="71"/>
      <c r="B363" s="71"/>
      <c r="J363" s="71"/>
      <c r="K363" s="71"/>
      <c r="L363" s="71"/>
      <c r="N363" s="71"/>
      <c r="P363" s="71"/>
    </row>
    <row r="364">
      <c r="A364" s="71"/>
      <c r="B364" s="71"/>
      <c r="J364" s="71"/>
      <c r="K364" s="71"/>
      <c r="L364" s="71"/>
      <c r="N364" s="71"/>
      <c r="P364" s="71"/>
    </row>
    <row r="365">
      <c r="A365" s="71"/>
      <c r="B365" s="71"/>
      <c r="J365" s="71"/>
      <c r="K365" s="71"/>
      <c r="L365" s="71"/>
      <c r="N365" s="71"/>
      <c r="P365" s="71"/>
    </row>
    <row r="366">
      <c r="A366" s="71"/>
      <c r="B366" s="71"/>
      <c r="J366" s="71"/>
      <c r="K366" s="71"/>
      <c r="L366" s="71"/>
      <c r="N366" s="71"/>
      <c r="P366" s="71"/>
    </row>
    <row r="367">
      <c r="A367" s="71"/>
      <c r="B367" s="71"/>
      <c r="J367" s="71"/>
      <c r="K367" s="71"/>
      <c r="L367" s="71"/>
      <c r="N367" s="71"/>
      <c r="P367" s="71"/>
    </row>
    <row r="368">
      <c r="A368" s="71"/>
      <c r="B368" s="71"/>
      <c r="J368" s="71"/>
      <c r="K368" s="71"/>
      <c r="L368" s="71"/>
      <c r="N368" s="71"/>
      <c r="P368" s="71"/>
    </row>
    <row r="369">
      <c r="A369" s="71"/>
      <c r="B369" s="71"/>
      <c r="J369" s="71"/>
      <c r="K369" s="71"/>
      <c r="L369" s="71"/>
      <c r="N369" s="71"/>
      <c r="P369" s="71"/>
    </row>
    <row r="370">
      <c r="A370" s="71"/>
      <c r="B370" s="71"/>
      <c r="J370" s="71"/>
      <c r="K370" s="71"/>
      <c r="L370" s="71"/>
      <c r="N370" s="71"/>
      <c r="P370" s="71"/>
    </row>
    <row r="371">
      <c r="A371" s="71"/>
      <c r="B371" s="71"/>
      <c r="J371" s="71"/>
      <c r="K371" s="71"/>
      <c r="L371" s="71"/>
      <c r="N371" s="71"/>
      <c r="P371" s="71"/>
    </row>
    <row r="372">
      <c r="A372" s="71"/>
      <c r="B372" s="71"/>
      <c r="J372" s="71"/>
      <c r="K372" s="71"/>
      <c r="L372" s="71"/>
      <c r="N372" s="71"/>
      <c r="P372" s="71"/>
    </row>
    <row r="373">
      <c r="A373" s="71"/>
      <c r="B373" s="71"/>
      <c r="J373" s="71"/>
      <c r="K373" s="71"/>
      <c r="L373" s="71"/>
      <c r="N373" s="71"/>
      <c r="P373" s="71"/>
    </row>
    <row r="374">
      <c r="A374" s="71"/>
      <c r="B374" s="71"/>
      <c r="J374" s="71"/>
      <c r="K374" s="71"/>
      <c r="L374" s="71"/>
      <c r="N374" s="71"/>
      <c r="P374" s="71"/>
    </row>
    <row r="375">
      <c r="A375" s="71"/>
      <c r="B375" s="71"/>
      <c r="J375" s="71"/>
      <c r="K375" s="71"/>
      <c r="L375" s="71"/>
      <c r="N375" s="71"/>
      <c r="P375" s="71"/>
    </row>
    <row r="376">
      <c r="A376" s="71"/>
      <c r="B376" s="71"/>
      <c r="J376" s="71"/>
      <c r="K376" s="71"/>
      <c r="L376" s="71"/>
      <c r="N376" s="71"/>
      <c r="P376" s="71"/>
    </row>
    <row r="377">
      <c r="A377" s="71"/>
      <c r="B377" s="71"/>
      <c r="J377" s="71"/>
      <c r="K377" s="71"/>
      <c r="L377" s="71"/>
      <c r="N377" s="71"/>
      <c r="P377" s="71"/>
    </row>
    <row r="378">
      <c r="A378" s="71"/>
      <c r="B378" s="71"/>
      <c r="J378" s="71"/>
      <c r="K378" s="71"/>
      <c r="L378" s="71"/>
      <c r="N378" s="71"/>
      <c r="P378" s="71"/>
    </row>
    <row r="379">
      <c r="A379" s="71"/>
      <c r="B379" s="71"/>
      <c r="J379" s="71"/>
      <c r="K379" s="71"/>
      <c r="L379" s="71"/>
      <c r="N379" s="71"/>
      <c r="P379" s="71"/>
    </row>
    <row r="380">
      <c r="A380" s="71"/>
      <c r="B380" s="71"/>
      <c r="J380" s="71"/>
      <c r="K380" s="71"/>
      <c r="L380" s="71"/>
      <c r="N380" s="71"/>
      <c r="P380" s="71"/>
    </row>
    <row r="381">
      <c r="A381" s="71"/>
      <c r="B381" s="71"/>
      <c r="J381" s="71"/>
      <c r="K381" s="71"/>
      <c r="L381" s="71"/>
      <c r="N381" s="71"/>
      <c r="P381" s="71"/>
    </row>
    <row r="382">
      <c r="A382" s="71"/>
      <c r="B382" s="71"/>
      <c r="J382" s="71"/>
      <c r="K382" s="71"/>
      <c r="L382" s="71"/>
      <c r="N382" s="71"/>
      <c r="P382" s="71"/>
    </row>
    <row r="383">
      <c r="A383" s="71"/>
      <c r="B383" s="71"/>
      <c r="J383" s="71"/>
      <c r="K383" s="71"/>
      <c r="L383" s="71"/>
      <c r="N383" s="71"/>
      <c r="P383" s="71"/>
    </row>
    <row r="384">
      <c r="A384" s="71"/>
      <c r="B384" s="71"/>
      <c r="J384" s="71"/>
      <c r="K384" s="71"/>
      <c r="L384" s="71"/>
      <c r="N384" s="71"/>
      <c r="P384" s="71"/>
    </row>
    <row r="385">
      <c r="A385" s="71"/>
      <c r="B385" s="71"/>
      <c r="J385" s="71"/>
      <c r="K385" s="71"/>
      <c r="L385" s="71"/>
      <c r="N385" s="71"/>
      <c r="P385" s="71"/>
    </row>
    <row r="386">
      <c r="A386" s="71"/>
      <c r="B386" s="71"/>
      <c r="J386" s="71"/>
      <c r="K386" s="71"/>
      <c r="L386" s="71"/>
      <c r="N386" s="71"/>
      <c r="P386" s="71"/>
    </row>
    <row r="387">
      <c r="A387" s="71"/>
      <c r="B387" s="71"/>
      <c r="J387" s="71"/>
      <c r="K387" s="71"/>
      <c r="L387" s="71"/>
      <c r="N387" s="71"/>
      <c r="P387" s="71"/>
    </row>
    <row r="388">
      <c r="A388" s="71"/>
      <c r="B388" s="71"/>
      <c r="J388" s="71"/>
      <c r="K388" s="71"/>
      <c r="L388" s="71"/>
      <c r="N388" s="71"/>
      <c r="P388" s="71"/>
    </row>
    <row r="389">
      <c r="A389" s="71"/>
      <c r="B389" s="71"/>
      <c r="J389" s="71"/>
      <c r="K389" s="71"/>
      <c r="L389" s="71"/>
      <c r="N389" s="71"/>
      <c r="P389" s="71"/>
    </row>
    <row r="390">
      <c r="A390" s="71"/>
      <c r="B390" s="71"/>
      <c r="J390" s="71"/>
      <c r="K390" s="71"/>
      <c r="L390" s="71"/>
      <c r="N390" s="71"/>
      <c r="P390" s="71"/>
    </row>
    <row r="391">
      <c r="A391" s="71"/>
      <c r="B391" s="71"/>
      <c r="J391" s="71"/>
      <c r="K391" s="71"/>
      <c r="L391" s="71"/>
      <c r="N391" s="71"/>
      <c r="P391" s="71"/>
    </row>
    <row r="392">
      <c r="A392" s="71"/>
      <c r="B392" s="71"/>
      <c r="J392" s="71"/>
      <c r="K392" s="71"/>
      <c r="L392" s="71"/>
      <c r="N392" s="71"/>
      <c r="P392" s="71"/>
    </row>
    <row r="393">
      <c r="A393" s="71"/>
      <c r="B393" s="71"/>
      <c r="J393" s="71"/>
      <c r="K393" s="71"/>
      <c r="L393" s="71"/>
      <c r="N393" s="71"/>
      <c r="P393" s="71"/>
    </row>
    <row r="394">
      <c r="A394" s="71"/>
      <c r="B394" s="71"/>
      <c r="J394" s="71"/>
      <c r="K394" s="71"/>
      <c r="L394" s="71"/>
      <c r="N394" s="71"/>
      <c r="P394" s="71"/>
    </row>
    <row r="395">
      <c r="A395" s="71"/>
      <c r="B395" s="71"/>
      <c r="J395" s="71"/>
      <c r="K395" s="71"/>
      <c r="L395" s="71"/>
      <c r="N395" s="71"/>
      <c r="P395" s="71"/>
    </row>
    <row r="396">
      <c r="A396" s="71"/>
      <c r="B396" s="71"/>
      <c r="J396" s="71"/>
      <c r="K396" s="71"/>
      <c r="L396" s="71"/>
      <c r="N396" s="71"/>
      <c r="P396" s="71"/>
    </row>
    <row r="397">
      <c r="A397" s="71"/>
      <c r="B397" s="71"/>
      <c r="J397" s="71"/>
      <c r="K397" s="71"/>
      <c r="L397" s="71"/>
      <c r="N397" s="71"/>
      <c r="P397" s="71"/>
    </row>
    <row r="398">
      <c r="A398" s="71"/>
      <c r="B398" s="71"/>
      <c r="J398" s="71"/>
      <c r="K398" s="71"/>
      <c r="L398" s="71"/>
      <c r="N398" s="71"/>
      <c r="P398" s="71"/>
    </row>
    <row r="399">
      <c r="A399" s="71"/>
      <c r="B399" s="71"/>
      <c r="J399" s="71"/>
      <c r="K399" s="71"/>
      <c r="L399" s="71"/>
      <c r="N399" s="71"/>
      <c r="P399" s="71"/>
    </row>
    <row r="400">
      <c r="A400" s="71"/>
      <c r="B400" s="71"/>
      <c r="J400" s="71"/>
      <c r="K400" s="71"/>
      <c r="L400" s="71"/>
      <c r="N400" s="71"/>
      <c r="P400" s="71"/>
    </row>
    <row r="401">
      <c r="A401" s="71"/>
      <c r="B401" s="71"/>
      <c r="J401" s="71"/>
      <c r="K401" s="71"/>
      <c r="L401" s="71"/>
      <c r="N401" s="71"/>
      <c r="P401" s="71"/>
    </row>
    <row r="402">
      <c r="A402" s="71"/>
      <c r="B402" s="71"/>
      <c r="J402" s="71"/>
      <c r="K402" s="71"/>
      <c r="L402" s="71"/>
      <c r="N402" s="71"/>
      <c r="P402" s="71"/>
    </row>
    <row r="403">
      <c r="A403" s="71"/>
      <c r="B403" s="71"/>
      <c r="J403" s="71"/>
      <c r="K403" s="71"/>
      <c r="L403" s="71"/>
      <c r="N403" s="71"/>
      <c r="P403" s="71"/>
    </row>
    <row r="404">
      <c r="A404" s="71"/>
      <c r="B404" s="71"/>
      <c r="J404" s="71"/>
      <c r="K404" s="71"/>
      <c r="L404" s="71"/>
      <c r="N404" s="71"/>
      <c r="P404" s="71"/>
    </row>
    <row r="405">
      <c r="A405" s="71"/>
      <c r="B405" s="71"/>
      <c r="J405" s="71"/>
      <c r="K405" s="71"/>
      <c r="L405" s="71"/>
      <c r="N405" s="71"/>
      <c r="P405" s="71"/>
    </row>
    <row r="406">
      <c r="A406" s="71"/>
      <c r="B406" s="71"/>
      <c r="J406" s="71"/>
      <c r="K406" s="71"/>
      <c r="L406" s="71"/>
      <c r="N406" s="71"/>
      <c r="P406" s="71"/>
    </row>
    <row r="407">
      <c r="A407" s="71"/>
      <c r="B407" s="71"/>
      <c r="J407" s="71"/>
      <c r="K407" s="71"/>
      <c r="L407" s="71"/>
      <c r="N407" s="71"/>
      <c r="P407" s="71"/>
    </row>
    <row r="408">
      <c r="A408" s="71"/>
      <c r="B408" s="71"/>
      <c r="J408" s="71"/>
      <c r="K408" s="71"/>
      <c r="L408" s="71"/>
      <c r="N408" s="71"/>
      <c r="P408" s="71"/>
    </row>
    <row r="409">
      <c r="A409" s="71"/>
      <c r="B409" s="71"/>
      <c r="J409" s="71"/>
      <c r="K409" s="71"/>
      <c r="L409" s="71"/>
      <c r="N409" s="71"/>
      <c r="P409" s="71"/>
    </row>
    <row r="410">
      <c r="A410" s="71"/>
      <c r="B410" s="71"/>
      <c r="J410" s="71"/>
      <c r="K410" s="71"/>
      <c r="L410" s="71"/>
      <c r="N410" s="71"/>
      <c r="P410" s="71"/>
    </row>
    <row r="411">
      <c r="A411" s="71"/>
      <c r="B411" s="71"/>
      <c r="J411" s="71"/>
      <c r="K411" s="71"/>
      <c r="L411" s="71"/>
      <c r="N411" s="71"/>
      <c r="P411" s="71"/>
    </row>
    <row r="412">
      <c r="A412" s="71"/>
      <c r="B412" s="71"/>
      <c r="J412" s="71"/>
      <c r="K412" s="71"/>
      <c r="L412" s="71"/>
      <c r="N412" s="71"/>
      <c r="P412" s="71"/>
    </row>
    <row r="413">
      <c r="A413" s="71"/>
      <c r="B413" s="71"/>
      <c r="J413" s="71"/>
      <c r="K413" s="71"/>
      <c r="L413" s="71"/>
      <c r="N413" s="71"/>
      <c r="P413" s="71"/>
    </row>
    <row r="414">
      <c r="A414" s="71"/>
      <c r="B414" s="71"/>
      <c r="J414" s="71"/>
      <c r="K414" s="71"/>
      <c r="L414" s="71"/>
      <c r="N414" s="71"/>
      <c r="P414" s="71"/>
    </row>
    <row r="415">
      <c r="A415" s="71"/>
      <c r="B415" s="71"/>
      <c r="J415" s="71"/>
      <c r="K415" s="71"/>
      <c r="L415" s="71"/>
      <c r="N415" s="71"/>
      <c r="P415" s="71"/>
    </row>
    <row r="416">
      <c r="A416" s="71"/>
      <c r="B416" s="71"/>
      <c r="J416" s="71"/>
      <c r="K416" s="71"/>
      <c r="L416" s="71"/>
      <c r="N416" s="71"/>
      <c r="P416" s="71"/>
    </row>
    <row r="417">
      <c r="A417" s="71"/>
      <c r="B417" s="71"/>
      <c r="J417" s="71"/>
      <c r="K417" s="71"/>
      <c r="L417" s="71"/>
      <c r="N417" s="71"/>
      <c r="P417" s="71"/>
    </row>
    <row r="418">
      <c r="A418" s="71"/>
      <c r="B418" s="71"/>
      <c r="J418" s="71"/>
      <c r="K418" s="71"/>
      <c r="L418" s="71"/>
      <c r="N418" s="71"/>
      <c r="P418" s="71"/>
    </row>
    <row r="419">
      <c r="A419" s="71"/>
      <c r="B419" s="71"/>
      <c r="J419" s="71"/>
      <c r="K419" s="71"/>
      <c r="L419" s="71"/>
      <c r="N419" s="71"/>
      <c r="P419" s="71"/>
    </row>
    <row r="420">
      <c r="A420" s="71"/>
      <c r="B420" s="71"/>
      <c r="J420" s="71"/>
      <c r="K420" s="71"/>
      <c r="L420" s="71"/>
      <c r="N420" s="71"/>
      <c r="P420" s="71"/>
    </row>
    <row r="421">
      <c r="A421" s="71"/>
      <c r="B421" s="71"/>
      <c r="J421" s="71"/>
      <c r="K421" s="71"/>
      <c r="L421" s="71"/>
      <c r="N421" s="71"/>
      <c r="P421" s="71"/>
    </row>
    <row r="422">
      <c r="A422" s="71"/>
      <c r="B422" s="71"/>
      <c r="J422" s="71"/>
      <c r="K422" s="71"/>
      <c r="L422" s="71"/>
      <c r="N422" s="71"/>
      <c r="P422" s="71"/>
    </row>
    <row r="423">
      <c r="A423" s="71"/>
      <c r="B423" s="71"/>
      <c r="J423" s="71"/>
      <c r="K423" s="71"/>
      <c r="L423" s="71"/>
      <c r="N423" s="71"/>
      <c r="P423" s="71"/>
    </row>
    <row r="424">
      <c r="A424" s="71"/>
      <c r="B424" s="71"/>
      <c r="J424" s="71"/>
      <c r="K424" s="71"/>
      <c r="L424" s="71"/>
      <c r="N424" s="71"/>
      <c r="P424" s="71"/>
    </row>
    <row r="425">
      <c r="A425" s="71"/>
      <c r="B425" s="71"/>
      <c r="J425" s="71"/>
      <c r="K425" s="71"/>
      <c r="L425" s="71"/>
      <c r="N425" s="71"/>
      <c r="P425" s="71"/>
    </row>
    <row r="426">
      <c r="A426" s="71"/>
      <c r="B426" s="71"/>
      <c r="J426" s="71"/>
      <c r="K426" s="71"/>
      <c r="L426" s="71"/>
      <c r="N426" s="71"/>
      <c r="P426" s="71"/>
    </row>
    <row r="427">
      <c r="A427" s="71"/>
      <c r="B427" s="71"/>
      <c r="J427" s="71"/>
      <c r="K427" s="71"/>
      <c r="L427" s="71"/>
      <c r="N427" s="71"/>
      <c r="P427" s="71"/>
    </row>
    <row r="428">
      <c r="A428" s="71"/>
      <c r="B428" s="71"/>
      <c r="J428" s="71"/>
      <c r="K428" s="71"/>
      <c r="L428" s="71"/>
      <c r="N428" s="71"/>
      <c r="P428" s="71"/>
    </row>
    <row r="429">
      <c r="A429" s="71"/>
      <c r="B429" s="71"/>
      <c r="J429" s="71"/>
      <c r="K429" s="71"/>
      <c r="L429" s="71"/>
      <c r="N429" s="71"/>
      <c r="P429" s="71"/>
    </row>
    <row r="430">
      <c r="A430" s="71"/>
      <c r="B430" s="71"/>
      <c r="J430" s="71"/>
      <c r="K430" s="71"/>
      <c r="L430" s="71"/>
      <c r="N430" s="71"/>
      <c r="P430" s="71"/>
    </row>
    <row r="431">
      <c r="A431" s="71"/>
      <c r="B431" s="71"/>
      <c r="J431" s="71"/>
      <c r="K431" s="71"/>
      <c r="L431" s="71"/>
      <c r="N431" s="71"/>
      <c r="P431" s="71"/>
    </row>
    <row r="432">
      <c r="A432" s="71"/>
      <c r="B432" s="71"/>
      <c r="J432" s="71"/>
      <c r="K432" s="71"/>
      <c r="L432" s="71"/>
      <c r="N432" s="71"/>
      <c r="P432" s="71"/>
    </row>
    <row r="433">
      <c r="A433" s="71"/>
      <c r="B433" s="71"/>
      <c r="J433" s="71"/>
      <c r="K433" s="71"/>
      <c r="L433" s="71"/>
      <c r="N433" s="71"/>
      <c r="P433" s="71"/>
    </row>
    <row r="434">
      <c r="A434" s="71"/>
      <c r="B434" s="71"/>
      <c r="J434" s="71"/>
      <c r="K434" s="71"/>
      <c r="L434" s="71"/>
      <c r="N434" s="71"/>
      <c r="P434" s="71"/>
    </row>
    <row r="435">
      <c r="A435" s="71"/>
      <c r="B435" s="71"/>
      <c r="J435" s="71"/>
      <c r="K435" s="71"/>
      <c r="L435" s="71"/>
      <c r="N435" s="71"/>
      <c r="P435" s="71"/>
    </row>
    <row r="436">
      <c r="A436" s="71"/>
      <c r="B436" s="71"/>
      <c r="J436" s="71"/>
      <c r="K436" s="71"/>
      <c r="L436" s="71"/>
      <c r="N436" s="71"/>
      <c r="P436" s="71"/>
    </row>
    <row r="437">
      <c r="A437" s="71"/>
      <c r="B437" s="71"/>
      <c r="J437" s="71"/>
      <c r="K437" s="71"/>
      <c r="L437" s="71"/>
      <c r="N437" s="71"/>
      <c r="P437" s="71"/>
    </row>
    <row r="438">
      <c r="A438" s="71"/>
      <c r="B438" s="71"/>
      <c r="J438" s="71"/>
      <c r="K438" s="71"/>
      <c r="L438" s="71"/>
      <c r="N438" s="71"/>
      <c r="P438" s="71"/>
    </row>
    <row r="439">
      <c r="A439" s="71"/>
      <c r="B439" s="71"/>
      <c r="J439" s="71"/>
      <c r="K439" s="71"/>
      <c r="L439" s="71"/>
      <c r="N439" s="71"/>
      <c r="P439" s="71"/>
    </row>
    <row r="440">
      <c r="A440" s="71"/>
      <c r="B440" s="71"/>
      <c r="J440" s="71"/>
      <c r="K440" s="71"/>
      <c r="L440" s="71"/>
      <c r="N440" s="71"/>
      <c r="P440" s="71"/>
    </row>
    <row r="441">
      <c r="A441" s="71"/>
      <c r="B441" s="71"/>
      <c r="J441" s="71"/>
      <c r="K441" s="71"/>
      <c r="L441" s="71"/>
      <c r="N441" s="71"/>
      <c r="P441" s="71"/>
    </row>
    <row r="442">
      <c r="A442" s="71"/>
      <c r="B442" s="71"/>
      <c r="J442" s="71"/>
      <c r="K442" s="71"/>
      <c r="L442" s="71"/>
      <c r="N442" s="71"/>
      <c r="P442" s="71"/>
    </row>
    <row r="443">
      <c r="A443" s="71"/>
      <c r="B443" s="71"/>
      <c r="J443" s="71"/>
      <c r="K443" s="71"/>
      <c r="L443" s="71"/>
      <c r="N443" s="71"/>
      <c r="P443" s="71"/>
    </row>
    <row r="444">
      <c r="A444" s="71"/>
      <c r="B444" s="71"/>
      <c r="J444" s="71"/>
      <c r="K444" s="71"/>
      <c r="L444" s="71"/>
      <c r="N444" s="71"/>
      <c r="P444" s="71"/>
    </row>
    <row r="445">
      <c r="A445" s="71"/>
      <c r="B445" s="71"/>
      <c r="J445" s="71"/>
      <c r="K445" s="71"/>
      <c r="L445" s="71"/>
      <c r="N445" s="71"/>
      <c r="P445" s="71"/>
    </row>
    <row r="446">
      <c r="A446" s="71"/>
      <c r="B446" s="71"/>
      <c r="J446" s="71"/>
      <c r="K446" s="71"/>
      <c r="L446" s="71"/>
      <c r="N446" s="71"/>
      <c r="P446" s="71"/>
    </row>
    <row r="447">
      <c r="A447" s="71"/>
      <c r="B447" s="71"/>
      <c r="J447" s="71"/>
      <c r="K447" s="71"/>
      <c r="L447" s="71"/>
      <c r="N447" s="71"/>
      <c r="P447" s="71"/>
    </row>
    <row r="448">
      <c r="A448" s="71"/>
      <c r="B448" s="71"/>
      <c r="J448" s="71"/>
      <c r="K448" s="71"/>
      <c r="L448" s="71"/>
      <c r="N448" s="71"/>
      <c r="P448" s="71"/>
    </row>
    <row r="449">
      <c r="A449" s="71"/>
      <c r="B449" s="71"/>
      <c r="J449" s="71"/>
      <c r="K449" s="71"/>
      <c r="L449" s="71"/>
      <c r="N449" s="71"/>
      <c r="P449" s="71"/>
    </row>
    <row r="450">
      <c r="A450" s="71"/>
      <c r="B450" s="71"/>
      <c r="J450" s="71"/>
      <c r="K450" s="71"/>
      <c r="L450" s="71"/>
      <c r="N450" s="71"/>
      <c r="P450" s="71"/>
    </row>
    <row r="451">
      <c r="A451" s="71"/>
      <c r="B451" s="71"/>
      <c r="J451" s="71"/>
      <c r="K451" s="71"/>
      <c r="L451" s="71"/>
      <c r="N451" s="71"/>
      <c r="P451" s="71"/>
    </row>
    <row r="452">
      <c r="A452" s="71"/>
      <c r="B452" s="71"/>
      <c r="J452" s="71"/>
      <c r="K452" s="71"/>
      <c r="L452" s="71"/>
      <c r="N452" s="71"/>
      <c r="P452" s="71"/>
    </row>
    <row r="453">
      <c r="A453" s="71"/>
      <c r="B453" s="71"/>
      <c r="J453" s="71"/>
      <c r="K453" s="71"/>
      <c r="L453" s="71"/>
      <c r="N453" s="71"/>
      <c r="P453" s="71"/>
    </row>
    <row r="454">
      <c r="A454" s="71"/>
      <c r="B454" s="71"/>
      <c r="J454" s="71"/>
      <c r="K454" s="71"/>
      <c r="L454" s="71"/>
      <c r="N454" s="71"/>
      <c r="P454" s="71"/>
    </row>
    <row r="455">
      <c r="A455" s="71"/>
      <c r="B455" s="71"/>
      <c r="J455" s="71"/>
      <c r="K455" s="71"/>
      <c r="L455" s="71"/>
      <c r="N455" s="71"/>
      <c r="P455" s="71"/>
    </row>
    <row r="456">
      <c r="A456" s="71"/>
      <c r="B456" s="71"/>
      <c r="J456" s="71"/>
      <c r="K456" s="71"/>
      <c r="L456" s="71"/>
      <c r="N456" s="71"/>
      <c r="P456" s="71"/>
    </row>
    <row r="457">
      <c r="A457" s="71"/>
      <c r="B457" s="71"/>
      <c r="J457" s="71"/>
      <c r="K457" s="71"/>
      <c r="L457" s="71"/>
      <c r="N457" s="71"/>
      <c r="P457" s="71"/>
    </row>
    <row r="458">
      <c r="A458" s="71"/>
      <c r="B458" s="71"/>
      <c r="J458" s="71"/>
      <c r="K458" s="71"/>
      <c r="L458" s="71"/>
      <c r="N458" s="71"/>
      <c r="P458" s="71"/>
    </row>
    <row r="459">
      <c r="A459" s="71"/>
      <c r="B459" s="71"/>
      <c r="J459" s="71"/>
      <c r="K459" s="71"/>
      <c r="L459" s="71"/>
      <c r="N459" s="71"/>
      <c r="P459" s="71"/>
    </row>
    <row r="460">
      <c r="A460" s="71"/>
      <c r="B460" s="71"/>
      <c r="J460" s="71"/>
      <c r="K460" s="71"/>
      <c r="L460" s="71"/>
      <c r="N460" s="71"/>
      <c r="P460" s="71"/>
    </row>
    <row r="461">
      <c r="A461" s="71"/>
      <c r="B461" s="71"/>
      <c r="J461" s="71"/>
      <c r="K461" s="71"/>
      <c r="L461" s="71"/>
      <c r="N461" s="71"/>
      <c r="P461" s="71"/>
    </row>
    <row r="462">
      <c r="A462" s="71"/>
      <c r="B462" s="71"/>
      <c r="J462" s="71"/>
      <c r="K462" s="71"/>
      <c r="L462" s="71"/>
      <c r="N462" s="71"/>
      <c r="P462" s="71"/>
    </row>
    <row r="463">
      <c r="A463" s="71"/>
      <c r="B463" s="71"/>
      <c r="J463" s="71"/>
      <c r="K463" s="71"/>
      <c r="L463" s="71"/>
      <c r="N463" s="71"/>
      <c r="P463" s="71"/>
    </row>
    <row r="464">
      <c r="A464" s="71"/>
      <c r="B464" s="71"/>
      <c r="J464" s="71"/>
      <c r="K464" s="71"/>
      <c r="L464" s="71"/>
      <c r="N464" s="71"/>
      <c r="P464" s="71"/>
    </row>
    <row r="465">
      <c r="A465" s="71"/>
      <c r="B465" s="71"/>
      <c r="J465" s="71"/>
      <c r="K465" s="71"/>
      <c r="L465" s="71"/>
      <c r="N465" s="71"/>
      <c r="P465" s="71"/>
    </row>
    <row r="466">
      <c r="A466" s="71"/>
      <c r="B466" s="71"/>
      <c r="J466" s="71"/>
      <c r="K466" s="71"/>
      <c r="L466" s="71"/>
      <c r="N466" s="71"/>
      <c r="P466" s="71"/>
    </row>
    <row r="467">
      <c r="A467" s="71"/>
      <c r="B467" s="71"/>
      <c r="J467" s="71"/>
      <c r="K467" s="71"/>
      <c r="L467" s="71"/>
      <c r="N467" s="71"/>
      <c r="P467" s="71"/>
    </row>
    <row r="468">
      <c r="A468" s="71"/>
      <c r="B468" s="71"/>
      <c r="J468" s="71"/>
      <c r="K468" s="71"/>
      <c r="L468" s="71"/>
      <c r="N468" s="71"/>
      <c r="P468" s="71"/>
    </row>
    <row r="469">
      <c r="A469" s="71"/>
      <c r="B469" s="71"/>
      <c r="J469" s="71"/>
      <c r="K469" s="71"/>
      <c r="L469" s="71"/>
      <c r="N469" s="71"/>
      <c r="P469" s="71"/>
    </row>
    <row r="470">
      <c r="A470" s="71"/>
      <c r="B470" s="71"/>
      <c r="J470" s="71"/>
      <c r="K470" s="71"/>
      <c r="L470" s="71"/>
      <c r="N470" s="71"/>
      <c r="P470" s="71"/>
    </row>
    <row r="471">
      <c r="A471" s="71"/>
      <c r="B471" s="71"/>
      <c r="J471" s="71"/>
      <c r="K471" s="71"/>
      <c r="L471" s="71"/>
      <c r="N471" s="71"/>
      <c r="P471" s="71"/>
    </row>
    <row r="472">
      <c r="A472" s="71"/>
      <c r="B472" s="71"/>
      <c r="J472" s="71"/>
      <c r="K472" s="71"/>
      <c r="L472" s="71"/>
      <c r="N472" s="71"/>
      <c r="P472" s="71"/>
    </row>
    <row r="473">
      <c r="A473" s="71"/>
      <c r="B473" s="71"/>
      <c r="J473" s="71"/>
      <c r="K473" s="71"/>
      <c r="L473" s="71"/>
      <c r="N473" s="71"/>
      <c r="P473" s="71"/>
    </row>
    <row r="474">
      <c r="A474" s="71"/>
      <c r="B474" s="71"/>
      <c r="J474" s="71"/>
      <c r="K474" s="71"/>
      <c r="L474" s="71"/>
      <c r="N474" s="71"/>
      <c r="P474" s="71"/>
    </row>
    <row r="475">
      <c r="A475" s="71"/>
      <c r="B475" s="71"/>
      <c r="J475" s="71"/>
      <c r="K475" s="71"/>
      <c r="L475" s="71"/>
      <c r="N475" s="71"/>
      <c r="P475" s="71"/>
    </row>
    <row r="476">
      <c r="A476" s="71"/>
      <c r="B476" s="71"/>
      <c r="J476" s="71"/>
      <c r="K476" s="71"/>
      <c r="L476" s="71"/>
      <c r="N476" s="71"/>
      <c r="P476" s="71"/>
    </row>
    <row r="477">
      <c r="A477" s="71"/>
      <c r="B477" s="71"/>
      <c r="J477" s="71"/>
      <c r="K477" s="71"/>
      <c r="L477" s="71"/>
      <c r="N477" s="71"/>
      <c r="P477" s="71"/>
    </row>
    <row r="478">
      <c r="A478" s="71"/>
      <c r="B478" s="71"/>
      <c r="J478" s="71"/>
      <c r="K478" s="71"/>
      <c r="L478" s="71"/>
      <c r="N478" s="71"/>
      <c r="P478" s="71"/>
    </row>
    <row r="479">
      <c r="A479" s="71"/>
      <c r="B479" s="71"/>
      <c r="J479" s="71"/>
      <c r="K479" s="71"/>
      <c r="L479" s="71"/>
      <c r="N479" s="71"/>
      <c r="P479" s="71"/>
    </row>
    <row r="480">
      <c r="A480" s="71"/>
      <c r="B480" s="71"/>
      <c r="J480" s="71"/>
      <c r="K480" s="71"/>
      <c r="L480" s="71"/>
      <c r="N480" s="71"/>
      <c r="P480" s="71"/>
    </row>
    <row r="481">
      <c r="A481" s="71"/>
      <c r="B481" s="71"/>
      <c r="J481" s="71"/>
      <c r="K481" s="71"/>
      <c r="L481" s="71"/>
      <c r="N481" s="71"/>
      <c r="P481" s="71"/>
    </row>
    <row r="482">
      <c r="A482" s="71"/>
      <c r="B482" s="71"/>
      <c r="J482" s="71"/>
      <c r="K482" s="71"/>
      <c r="L482" s="71"/>
      <c r="N482" s="71"/>
      <c r="P482" s="71"/>
    </row>
    <row r="483">
      <c r="A483" s="71"/>
      <c r="B483" s="71"/>
      <c r="J483" s="71"/>
      <c r="K483" s="71"/>
      <c r="L483" s="71"/>
      <c r="N483" s="71"/>
      <c r="P483" s="71"/>
    </row>
    <row r="484">
      <c r="A484" s="71"/>
      <c r="B484" s="71"/>
      <c r="J484" s="71"/>
      <c r="K484" s="71"/>
      <c r="L484" s="71"/>
      <c r="N484" s="71"/>
      <c r="P484" s="71"/>
    </row>
    <row r="485">
      <c r="A485" s="71"/>
      <c r="B485" s="71"/>
      <c r="J485" s="71"/>
      <c r="K485" s="71"/>
      <c r="L485" s="71"/>
      <c r="N485" s="71"/>
      <c r="P485" s="71"/>
    </row>
    <row r="486">
      <c r="A486" s="71"/>
      <c r="B486" s="71"/>
      <c r="J486" s="71"/>
      <c r="K486" s="71"/>
      <c r="L486" s="71"/>
      <c r="N486" s="71"/>
      <c r="P486" s="71"/>
    </row>
    <row r="487">
      <c r="A487" s="71"/>
      <c r="B487" s="71"/>
      <c r="J487" s="71"/>
      <c r="K487" s="71"/>
      <c r="L487" s="71"/>
      <c r="N487" s="71"/>
      <c r="P487" s="71"/>
    </row>
    <row r="488">
      <c r="A488" s="71"/>
      <c r="B488" s="71"/>
      <c r="J488" s="71"/>
      <c r="K488" s="71"/>
      <c r="L488" s="71"/>
      <c r="N488" s="71"/>
      <c r="P488" s="71"/>
    </row>
    <row r="489">
      <c r="A489" s="71"/>
      <c r="B489" s="71"/>
      <c r="J489" s="71"/>
      <c r="K489" s="71"/>
      <c r="L489" s="71"/>
      <c r="N489" s="71"/>
      <c r="P489" s="71"/>
    </row>
    <row r="490">
      <c r="A490" s="71"/>
      <c r="B490" s="71"/>
      <c r="J490" s="71"/>
      <c r="K490" s="71"/>
      <c r="L490" s="71"/>
      <c r="N490" s="71"/>
      <c r="P490" s="71"/>
    </row>
    <row r="491">
      <c r="A491" s="71"/>
      <c r="B491" s="71"/>
      <c r="J491" s="71"/>
      <c r="K491" s="71"/>
      <c r="L491" s="71"/>
      <c r="N491" s="71"/>
      <c r="P491" s="71"/>
    </row>
    <row r="492">
      <c r="A492" s="71"/>
      <c r="B492" s="71"/>
      <c r="J492" s="71"/>
      <c r="K492" s="71"/>
      <c r="L492" s="71"/>
      <c r="N492" s="71"/>
      <c r="P492" s="71"/>
    </row>
    <row r="493">
      <c r="A493" s="71"/>
      <c r="B493" s="71"/>
      <c r="J493" s="71"/>
      <c r="K493" s="71"/>
      <c r="L493" s="71"/>
      <c r="N493" s="71"/>
      <c r="P493" s="71"/>
    </row>
    <row r="494">
      <c r="A494" s="71"/>
      <c r="B494" s="71"/>
      <c r="J494" s="71"/>
      <c r="K494" s="71"/>
      <c r="L494" s="71"/>
      <c r="N494" s="71"/>
      <c r="P494" s="71"/>
    </row>
    <row r="495">
      <c r="A495" s="71"/>
      <c r="B495" s="71"/>
      <c r="J495" s="71"/>
      <c r="K495" s="71"/>
      <c r="L495" s="71"/>
      <c r="N495" s="71"/>
      <c r="P495" s="71"/>
    </row>
    <row r="496">
      <c r="A496" s="71"/>
      <c r="B496" s="71"/>
      <c r="J496" s="71"/>
      <c r="K496" s="71"/>
      <c r="L496" s="71"/>
      <c r="N496" s="71"/>
      <c r="P496" s="71"/>
    </row>
    <row r="497">
      <c r="A497" s="71"/>
      <c r="B497" s="71"/>
      <c r="J497" s="71"/>
      <c r="K497" s="71"/>
      <c r="L497" s="71"/>
      <c r="N497" s="71"/>
      <c r="P497" s="71"/>
    </row>
    <row r="498">
      <c r="A498" s="71"/>
      <c r="B498" s="71"/>
      <c r="J498" s="71"/>
      <c r="K498" s="71"/>
      <c r="L498" s="71"/>
      <c r="N498" s="71"/>
      <c r="P498" s="71"/>
    </row>
    <row r="499">
      <c r="A499" s="71"/>
      <c r="B499" s="71"/>
      <c r="J499" s="71"/>
      <c r="K499" s="71"/>
      <c r="L499" s="71"/>
      <c r="N499" s="71"/>
      <c r="P499" s="71"/>
    </row>
    <row r="500">
      <c r="A500" s="71"/>
      <c r="B500" s="71"/>
      <c r="J500" s="71"/>
      <c r="K500" s="71"/>
      <c r="L500" s="71"/>
      <c r="N500" s="71"/>
      <c r="P500" s="71"/>
    </row>
    <row r="501">
      <c r="A501" s="71"/>
      <c r="B501" s="71"/>
      <c r="J501" s="71"/>
      <c r="K501" s="71"/>
      <c r="L501" s="71"/>
      <c r="N501" s="71"/>
      <c r="P501" s="71"/>
    </row>
    <row r="502">
      <c r="A502" s="71"/>
      <c r="B502" s="71"/>
      <c r="J502" s="71"/>
      <c r="K502" s="71"/>
      <c r="L502" s="71"/>
      <c r="N502" s="71"/>
      <c r="P502" s="71"/>
    </row>
    <row r="503">
      <c r="A503" s="71"/>
      <c r="B503" s="71"/>
      <c r="J503" s="71"/>
      <c r="K503" s="71"/>
      <c r="L503" s="71"/>
      <c r="N503" s="71"/>
      <c r="P503" s="71"/>
    </row>
    <row r="504">
      <c r="A504" s="71"/>
      <c r="B504" s="71"/>
      <c r="J504" s="71"/>
      <c r="K504" s="71"/>
      <c r="L504" s="71"/>
      <c r="N504" s="71"/>
      <c r="P504" s="71"/>
    </row>
    <row r="505">
      <c r="A505" s="71"/>
      <c r="B505" s="71"/>
      <c r="J505" s="71"/>
      <c r="K505" s="71"/>
      <c r="L505" s="71"/>
      <c r="N505" s="71"/>
      <c r="P505" s="71"/>
    </row>
    <row r="506">
      <c r="A506" s="71"/>
      <c r="B506" s="71"/>
      <c r="J506" s="71"/>
      <c r="K506" s="71"/>
      <c r="L506" s="71"/>
      <c r="N506" s="71"/>
      <c r="P506" s="71"/>
    </row>
    <row r="507">
      <c r="A507" s="71"/>
      <c r="B507" s="71"/>
      <c r="J507" s="71"/>
      <c r="K507" s="71"/>
      <c r="L507" s="71"/>
      <c r="N507" s="71"/>
      <c r="P507" s="71"/>
    </row>
    <row r="508">
      <c r="A508" s="71"/>
      <c r="B508" s="71"/>
      <c r="J508" s="71"/>
      <c r="K508" s="71"/>
      <c r="L508" s="71"/>
      <c r="N508" s="71"/>
      <c r="P508" s="71"/>
    </row>
    <row r="509">
      <c r="A509" s="71"/>
      <c r="B509" s="71"/>
      <c r="J509" s="71"/>
      <c r="K509" s="71"/>
      <c r="L509" s="71"/>
      <c r="N509" s="71"/>
      <c r="P509" s="71"/>
    </row>
    <row r="510">
      <c r="A510" s="71"/>
      <c r="B510" s="71"/>
      <c r="J510" s="71"/>
      <c r="K510" s="71"/>
      <c r="L510" s="71"/>
      <c r="N510" s="71"/>
      <c r="P510" s="71"/>
    </row>
    <row r="511">
      <c r="A511" s="71"/>
      <c r="B511" s="71"/>
      <c r="J511" s="71"/>
      <c r="K511" s="71"/>
      <c r="L511" s="71"/>
      <c r="N511" s="71"/>
      <c r="P511" s="71"/>
    </row>
    <row r="512">
      <c r="A512" s="71"/>
      <c r="B512" s="71"/>
      <c r="J512" s="71"/>
      <c r="K512" s="71"/>
      <c r="L512" s="71"/>
      <c r="N512" s="71"/>
      <c r="P512" s="71"/>
    </row>
    <row r="513">
      <c r="A513" s="71"/>
      <c r="B513" s="71"/>
      <c r="J513" s="71"/>
      <c r="K513" s="71"/>
      <c r="L513" s="71"/>
      <c r="N513" s="71"/>
      <c r="P513" s="71"/>
    </row>
    <row r="514">
      <c r="A514" s="71"/>
      <c r="B514" s="71"/>
      <c r="J514" s="71"/>
      <c r="K514" s="71"/>
      <c r="L514" s="71"/>
      <c r="N514" s="71"/>
      <c r="P514" s="71"/>
    </row>
    <row r="515">
      <c r="A515" s="71"/>
      <c r="B515" s="71"/>
      <c r="J515" s="71"/>
      <c r="K515" s="71"/>
      <c r="L515" s="71"/>
      <c r="N515" s="71"/>
      <c r="P515" s="71"/>
    </row>
    <row r="516">
      <c r="A516" s="71"/>
      <c r="B516" s="71"/>
      <c r="J516" s="71"/>
      <c r="K516" s="71"/>
      <c r="L516" s="71"/>
      <c r="N516" s="71"/>
      <c r="P516" s="71"/>
    </row>
    <row r="517">
      <c r="A517" s="71"/>
      <c r="B517" s="71"/>
      <c r="J517" s="71"/>
      <c r="K517" s="71"/>
      <c r="L517" s="71"/>
      <c r="N517" s="71"/>
      <c r="P517" s="71"/>
    </row>
    <row r="518">
      <c r="A518" s="71"/>
      <c r="B518" s="71"/>
      <c r="J518" s="71"/>
      <c r="K518" s="71"/>
      <c r="L518" s="71"/>
      <c r="N518" s="71"/>
      <c r="P518" s="71"/>
    </row>
    <row r="519">
      <c r="A519" s="71"/>
      <c r="B519" s="71"/>
      <c r="J519" s="71"/>
      <c r="K519" s="71"/>
      <c r="L519" s="71"/>
      <c r="N519" s="71"/>
      <c r="P519" s="71"/>
    </row>
    <row r="520">
      <c r="A520" s="71"/>
      <c r="B520" s="71"/>
      <c r="J520" s="71"/>
      <c r="K520" s="71"/>
      <c r="L520" s="71"/>
      <c r="N520" s="71"/>
      <c r="P520" s="71"/>
    </row>
    <row r="521">
      <c r="A521" s="71"/>
      <c r="B521" s="71"/>
      <c r="J521" s="71"/>
      <c r="K521" s="71"/>
      <c r="L521" s="71"/>
      <c r="N521" s="71"/>
      <c r="P521" s="71"/>
    </row>
    <row r="522">
      <c r="A522" s="71"/>
      <c r="B522" s="71"/>
      <c r="J522" s="71"/>
      <c r="K522" s="71"/>
      <c r="L522" s="71"/>
      <c r="N522" s="71"/>
      <c r="P522" s="71"/>
    </row>
    <row r="523">
      <c r="A523" s="71"/>
      <c r="B523" s="71"/>
      <c r="J523" s="71"/>
      <c r="K523" s="71"/>
      <c r="L523" s="71"/>
      <c r="N523" s="71"/>
      <c r="P523" s="71"/>
    </row>
    <row r="524">
      <c r="A524" s="71"/>
      <c r="B524" s="71"/>
      <c r="J524" s="71"/>
      <c r="K524" s="71"/>
      <c r="L524" s="71"/>
      <c r="N524" s="71"/>
      <c r="P524" s="71"/>
    </row>
    <row r="525">
      <c r="A525" s="71"/>
      <c r="B525" s="71"/>
      <c r="J525" s="71"/>
      <c r="K525" s="71"/>
      <c r="L525" s="71"/>
      <c r="N525" s="71"/>
      <c r="P525" s="71"/>
    </row>
    <row r="526">
      <c r="A526" s="71"/>
      <c r="B526" s="71"/>
      <c r="J526" s="71"/>
      <c r="K526" s="71"/>
      <c r="L526" s="71"/>
      <c r="N526" s="71"/>
      <c r="P526" s="71"/>
    </row>
    <row r="527">
      <c r="A527" s="71"/>
      <c r="B527" s="71"/>
      <c r="J527" s="71"/>
      <c r="K527" s="71"/>
      <c r="L527" s="71"/>
      <c r="N527" s="71"/>
      <c r="P527" s="71"/>
    </row>
    <row r="528">
      <c r="A528" s="71"/>
      <c r="B528" s="71"/>
      <c r="J528" s="71"/>
      <c r="K528" s="71"/>
      <c r="L528" s="71"/>
      <c r="N528" s="71"/>
      <c r="P528" s="71"/>
    </row>
    <row r="529">
      <c r="A529" s="71"/>
      <c r="B529" s="71"/>
      <c r="J529" s="71"/>
      <c r="K529" s="71"/>
      <c r="L529" s="71"/>
      <c r="N529" s="71"/>
      <c r="P529" s="71"/>
    </row>
    <row r="530">
      <c r="A530" s="71"/>
      <c r="B530" s="71"/>
      <c r="J530" s="71"/>
      <c r="K530" s="71"/>
      <c r="L530" s="71"/>
      <c r="N530" s="71"/>
      <c r="P530" s="71"/>
    </row>
    <row r="531">
      <c r="A531" s="71"/>
      <c r="B531" s="71"/>
      <c r="J531" s="71"/>
      <c r="K531" s="71"/>
      <c r="L531" s="71"/>
      <c r="N531" s="71"/>
      <c r="P531" s="71"/>
    </row>
    <row r="532">
      <c r="A532" s="71"/>
      <c r="B532" s="71"/>
      <c r="J532" s="71"/>
      <c r="K532" s="71"/>
      <c r="L532" s="71"/>
      <c r="N532" s="71"/>
      <c r="P532" s="71"/>
    </row>
    <row r="533">
      <c r="A533" s="71"/>
      <c r="B533" s="71"/>
      <c r="J533" s="71"/>
      <c r="K533" s="71"/>
      <c r="L533" s="71"/>
      <c r="N533" s="71"/>
      <c r="P533" s="71"/>
    </row>
    <row r="534">
      <c r="A534" s="71"/>
      <c r="B534" s="71"/>
      <c r="J534" s="71"/>
      <c r="K534" s="71"/>
      <c r="L534" s="71"/>
      <c r="N534" s="71"/>
      <c r="P534" s="71"/>
    </row>
    <row r="535">
      <c r="A535" s="71"/>
      <c r="B535" s="71"/>
      <c r="J535" s="71"/>
      <c r="K535" s="71"/>
      <c r="L535" s="71"/>
      <c r="N535" s="71"/>
      <c r="P535" s="71"/>
    </row>
    <row r="536">
      <c r="A536" s="71"/>
      <c r="B536" s="71"/>
      <c r="J536" s="71"/>
      <c r="K536" s="71"/>
      <c r="L536" s="71"/>
      <c r="N536" s="71"/>
      <c r="P536" s="71"/>
    </row>
    <row r="537">
      <c r="A537" s="71"/>
      <c r="B537" s="71"/>
      <c r="J537" s="71"/>
      <c r="K537" s="71"/>
      <c r="L537" s="71"/>
      <c r="N537" s="71"/>
      <c r="P537" s="71"/>
    </row>
    <row r="538">
      <c r="A538" s="71"/>
      <c r="B538" s="71"/>
      <c r="J538" s="71"/>
      <c r="K538" s="71"/>
      <c r="L538" s="71"/>
      <c r="N538" s="71"/>
      <c r="P538" s="71"/>
    </row>
    <row r="539">
      <c r="A539" s="71"/>
      <c r="B539" s="71"/>
      <c r="J539" s="71"/>
      <c r="K539" s="71"/>
      <c r="L539" s="71"/>
      <c r="N539" s="71"/>
      <c r="P539" s="71"/>
    </row>
    <row r="540">
      <c r="A540" s="71"/>
      <c r="B540" s="71"/>
      <c r="J540" s="71"/>
      <c r="K540" s="71"/>
      <c r="L540" s="71"/>
      <c r="N540" s="71"/>
      <c r="P540" s="71"/>
    </row>
    <row r="541">
      <c r="A541" s="71"/>
      <c r="B541" s="71"/>
      <c r="J541" s="71"/>
      <c r="K541" s="71"/>
      <c r="L541" s="71"/>
      <c r="N541" s="71"/>
      <c r="P541" s="71"/>
    </row>
    <row r="542">
      <c r="A542" s="71"/>
      <c r="B542" s="71"/>
      <c r="J542" s="71"/>
      <c r="K542" s="71"/>
      <c r="L542" s="71"/>
      <c r="N542" s="71"/>
      <c r="P542" s="71"/>
    </row>
    <row r="543">
      <c r="A543" s="71"/>
      <c r="B543" s="71"/>
      <c r="J543" s="71"/>
      <c r="K543" s="71"/>
      <c r="L543" s="71"/>
      <c r="N543" s="71"/>
      <c r="P543" s="71"/>
    </row>
    <row r="544">
      <c r="A544" s="71"/>
      <c r="B544" s="71"/>
      <c r="J544" s="71"/>
      <c r="K544" s="71"/>
      <c r="L544" s="71"/>
      <c r="N544" s="71"/>
      <c r="P544" s="71"/>
    </row>
    <row r="545">
      <c r="A545" s="71"/>
      <c r="B545" s="71"/>
      <c r="J545" s="71"/>
      <c r="K545" s="71"/>
      <c r="L545" s="71"/>
      <c r="N545" s="71"/>
      <c r="P545" s="71"/>
    </row>
    <row r="546">
      <c r="A546" s="71"/>
      <c r="B546" s="71"/>
      <c r="J546" s="71"/>
      <c r="K546" s="71"/>
      <c r="L546" s="71"/>
      <c r="N546" s="71"/>
      <c r="P546" s="71"/>
    </row>
    <row r="547">
      <c r="A547" s="71"/>
      <c r="B547" s="71"/>
      <c r="J547" s="71"/>
      <c r="K547" s="71"/>
      <c r="L547" s="71"/>
      <c r="N547" s="71"/>
      <c r="P547" s="71"/>
    </row>
    <row r="548">
      <c r="A548" s="71"/>
      <c r="B548" s="71"/>
      <c r="J548" s="71"/>
      <c r="K548" s="71"/>
      <c r="L548" s="71"/>
      <c r="N548" s="71"/>
      <c r="P548" s="71"/>
    </row>
    <row r="549">
      <c r="A549" s="71"/>
      <c r="B549" s="71"/>
      <c r="J549" s="71"/>
      <c r="K549" s="71"/>
      <c r="L549" s="71"/>
      <c r="N549" s="71"/>
      <c r="P549" s="71"/>
    </row>
    <row r="550">
      <c r="A550" s="71"/>
      <c r="B550" s="71"/>
      <c r="J550" s="71"/>
      <c r="K550" s="71"/>
      <c r="L550" s="71"/>
      <c r="N550" s="71"/>
      <c r="P550" s="71"/>
    </row>
    <row r="551">
      <c r="A551" s="71"/>
      <c r="B551" s="71"/>
      <c r="J551" s="71"/>
      <c r="K551" s="71"/>
      <c r="L551" s="71"/>
      <c r="N551" s="71"/>
      <c r="P551" s="71"/>
    </row>
    <row r="552">
      <c r="A552" s="71"/>
      <c r="B552" s="71"/>
      <c r="J552" s="71"/>
      <c r="K552" s="71"/>
      <c r="L552" s="71"/>
      <c r="N552" s="71"/>
      <c r="P552" s="71"/>
    </row>
    <row r="553">
      <c r="A553" s="71"/>
      <c r="B553" s="71"/>
      <c r="J553" s="71"/>
      <c r="K553" s="71"/>
      <c r="L553" s="71"/>
      <c r="N553" s="71"/>
      <c r="P553" s="71"/>
    </row>
    <row r="554">
      <c r="A554" s="71"/>
      <c r="B554" s="71"/>
      <c r="J554" s="71"/>
      <c r="K554" s="71"/>
      <c r="L554" s="71"/>
      <c r="N554" s="71"/>
      <c r="P554" s="71"/>
    </row>
    <row r="555">
      <c r="A555" s="71"/>
      <c r="B555" s="71"/>
      <c r="J555" s="71"/>
      <c r="K555" s="71"/>
      <c r="L555" s="71"/>
      <c r="N555" s="71"/>
      <c r="P555" s="71"/>
    </row>
    <row r="556">
      <c r="A556" s="71"/>
      <c r="B556" s="71"/>
      <c r="J556" s="71"/>
      <c r="K556" s="71"/>
      <c r="L556" s="71"/>
      <c r="N556" s="71"/>
      <c r="P556" s="71"/>
    </row>
    <row r="557">
      <c r="A557" s="71"/>
      <c r="B557" s="71"/>
      <c r="J557" s="71"/>
      <c r="K557" s="71"/>
      <c r="L557" s="71"/>
      <c r="N557" s="71"/>
      <c r="P557" s="71"/>
    </row>
    <row r="558">
      <c r="A558" s="71"/>
      <c r="B558" s="71"/>
      <c r="J558" s="71"/>
      <c r="K558" s="71"/>
      <c r="L558" s="71"/>
      <c r="N558" s="71"/>
      <c r="P558" s="71"/>
    </row>
    <row r="559">
      <c r="A559" s="71"/>
      <c r="B559" s="71"/>
      <c r="J559" s="71"/>
      <c r="K559" s="71"/>
      <c r="L559" s="71"/>
      <c r="N559" s="71"/>
      <c r="P559" s="71"/>
    </row>
    <row r="560">
      <c r="A560" s="71"/>
      <c r="B560" s="71"/>
      <c r="J560" s="71"/>
      <c r="K560" s="71"/>
      <c r="L560" s="71"/>
      <c r="N560" s="71"/>
      <c r="P560" s="71"/>
    </row>
    <row r="561">
      <c r="A561" s="71"/>
      <c r="B561" s="71"/>
      <c r="J561" s="71"/>
      <c r="K561" s="71"/>
      <c r="L561" s="71"/>
      <c r="N561" s="71"/>
      <c r="P561" s="71"/>
    </row>
    <row r="562">
      <c r="A562" s="71"/>
      <c r="B562" s="71"/>
      <c r="J562" s="71"/>
      <c r="K562" s="71"/>
      <c r="L562" s="71"/>
      <c r="N562" s="71"/>
      <c r="P562" s="71"/>
    </row>
    <row r="563">
      <c r="A563" s="71"/>
      <c r="B563" s="71"/>
      <c r="J563" s="71"/>
      <c r="K563" s="71"/>
      <c r="L563" s="71"/>
      <c r="N563" s="71"/>
      <c r="P563" s="71"/>
    </row>
    <row r="564">
      <c r="A564" s="71"/>
      <c r="B564" s="71"/>
      <c r="J564" s="71"/>
      <c r="K564" s="71"/>
      <c r="L564" s="71"/>
      <c r="N564" s="71"/>
      <c r="P564" s="71"/>
    </row>
    <row r="565">
      <c r="A565" s="71"/>
      <c r="B565" s="71"/>
      <c r="J565" s="71"/>
      <c r="K565" s="71"/>
      <c r="L565" s="71"/>
      <c r="N565" s="71"/>
      <c r="P565" s="71"/>
    </row>
    <row r="566">
      <c r="A566" s="71"/>
      <c r="B566" s="71"/>
      <c r="J566" s="71"/>
      <c r="K566" s="71"/>
      <c r="L566" s="71"/>
      <c r="N566" s="71"/>
      <c r="P566" s="71"/>
    </row>
    <row r="567">
      <c r="A567" s="71"/>
      <c r="B567" s="71"/>
      <c r="J567" s="71"/>
      <c r="K567" s="71"/>
      <c r="L567" s="71"/>
      <c r="N567" s="71"/>
      <c r="P567" s="71"/>
    </row>
    <row r="568">
      <c r="A568" s="71"/>
      <c r="B568" s="71"/>
      <c r="J568" s="71"/>
      <c r="K568" s="71"/>
      <c r="L568" s="71"/>
      <c r="N568" s="71"/>
      <c r="P568" s="71"/>
    </row>
    <row r="569">
      <c r="A569" s="71"/>
      <c r="B569" s="71"/>
      <c r="J569" s="71"/>
      <c r="K569" s="71"/>
      <c r="L569" s="71"/>
      <c r="N569" s="71"/>
      <c r="P569" s="71"/>
    </row>
    <row r="570">
      <c r="A570" s="71"/>
      <c r="B570" s="71"/>
      <c r="J570" s="71"/>
      <c r="K570" s="71"/>
      <c r="L570" s="71"/>
      <c r="N570" s="71"/>
      <c r="P570" s="71"/>
    </row>
    <row r="571">
      <c r="A571" s="71"/>
      <c r="B571" s="71"/>
      <c r="J571" s="71"/>
      <c r="K571" s="71"/>
      <c r="L571" s="71"/>
      <c r="N571" s="71"/>
      <c r="P571" s="71"/>
    </row>
    <row r="572">
      <c r="A572" s="71"/>
      <c r="B572" s="71"/>
      <c r="J572" s="71"/>
      <c r="K572" s="71"/>
      <c r="L572" s="71"/>
      <c r="N572" s="71"/>
      <c r="P572" s="71"/>
    </row>
    <row r="573">
      <c r="A573" s="71"/>
      <c r="B573" s="71"/>
      <c r="J573" s="71"/>
      <c r="K573" s="71"/>
      <c r="L573" s="71"/>
      <c r="N573" s="71"/>
      <c r="P573" s="71"/>
    </row>
    <row r="574">
      <c r="A574" s="71"/>
      <c r="B574" s="71"/>
      <c r="J574" s="71"/>
      <c r="K574" s="71"/>
      <c r="L574" s="71"/>
      <c r="N574" s="71"/>
      <c r="P574" s="71"/>
    </row>
    <row r="575">
      <c r="A575" s="71"/>
      <c r="B575" s="71"/>
      <c r="J575" s="71"/>
      <c r="K575" s="71"/>
      <c r="L575" s="71"/>
      <c r="N575" s="71"/>
      <c r="P575" s="71"/>
    </row>
    <row r="576">
      <c r="A576" s="71"/>
      <c r="B576" s="71"/>
      <c r="J576" s="71"/>
      <c r="K576" s="71"/>
      <c r="L576" s="71"/>
      <c r="N576" s="71"/>
      <c r="P576" s="71"/>
    </row>
    <row r="577">
      <c r="A577" s="71"/>
      <c r="B577" s="71"/>
      <c r="J577" s="71"/>
      <c r="K577" s="71"/>
      <c r="L577" s="71"/>
      <c r="N577" s="71"/>
      <c r="P577" s="71"/>
    </row>
    <row r="578">
      <c r="A578" s="71"/>
      <c r="B578" s="71"/>
      <c r="J578" s="71"/>
      <c r="K578" s="71"/>
      <c r="L578" s="71"/>
      <c r="N578" s="71"/>
      <c r="P578" s="71"/>
    </row>
    <row r="579">
      <c r="A579" s="71"/>
      <c r="B579" s="71"/>
      <c r="J579" s="71"/>
      <c r="K579" s="71"/>
      <c r="L579" s="71"/>
      <c r="N579" s="71"/>
      <c r="P579" s="71"/>
    </row>
    <row r="580">
      <c r="A580" s="71"/>
      <c r="B580" s="71"/>
      <c r="J580" s="71"/>
      <c r="K580" s="71"/>
      <c r="L580" s="71"/>
      <c r="N580" s="71"/>
      <c r="P580" s="71"/>
    </row>
    <row r="581">
      <c r="A581" s="71"/>
      <c r="B581" s="71"/>
      <c r="J581" s="71"/>
      <c r="K581" s="71"/>
      <c r="L581" s="71"/>
      <c r="N581" s="71"/>
      <c r="P581" s="71"/>
    </row>
    <row r="582">
      <c r="A582" s="71"/>
      <c r="B582" s="71"/>
      <c r="J582" s="71"/>
      <c r="K582" s="71"/>
      <c r="L582" s="71"/>
      <c r="N582" s="71"/>
      <c r="P582" s="71"/>
    </row>
    <row r="583">
      <c r="A583" s="71"/>
      <c r="B583" s="71"/>
      <c r="J583" s="71"/>
      <c r="K583" s="71"/>
      <c r="L583" s="71"/>
      <c r="N583" s="71"/>
      <c r="P583" s="71"/>
    </row>
    <row r="584">
      <c r="A584" s="71"/>
      <c r="B584" s="71"/>
      <c r="J584" s="71"/>
      <c r="K584" s="71"/>
      <c r="L584" s="71"/>
      <c r="N584" s="71"/>
      <c r="P584" s="71"/>
    </row>
    <row r="585">
      <c r="A585" s="71"/>
      <c r="B585" s="71"/>
      <c r="J585" s="71"/>
      <c r="K585" s="71"/>
      <c r="L585" s="71"/>
      <c r="N585" s="71"/>
      <c r="P585" s="71"/>
    </row>
    <row r="586">
      <c r="A586" s="71"/>
      <c r="B586" s="71"/>
      <c r="J586" s="71"/>
      <c r="K586" s="71"/>
      <c r="L586" s="71"/>
      <c r="N586" s="71"/>
      <c r="P586" s="71"/>
    </row>
    <row r="587">
      <c r="A587" s="71"/>
      <c r="B587" s="71"/>
      <c r="J587" s="71"/>
      <c r="K587" s="71"/>
      <c r="L587" s="71"/>
      <c r="N587" s="71"/>
      <c r="P587" s="71"/>
    </row>
    <row r="588">
      <c r="A588" s="71"/>
      <c r="B588" s="71"/>
      <c r="J588" s="71"/>
      <c r="K588" s="71"/>
      <c r="L588" s="71"/>
      <c r="N588" s="71"/>
      <c r="P588" s="71"/>
    </row>
    <row r="589">
      <c r="A589" s="71"/>
      <c r="B589" s="71"/>
      <c r="J589" s="71"/>
      <c r="K589" s="71"/>
      <c r="L589" s="71"/>
      <c r="N589" s="71"/>
      <c r="P589" s="71"/>
    </row>
    <row r="590">
      <c r="A590" s="71"/>
      <c r="B590" s="71"/>
      <c r="J590" s="71"/>
      <c r="K590" s="71"/>
      <c r="L590" s="71"/>
      <c r="N590" s="71"/>
      <c r="P590" s="71"/>
    </row>
    <row r="591">
      <c r="A591" s="71"/>
      <c r="B591" s="71"/>
      <c r="J591" s="71"/>
      <c r="K591" s="71"/>
      <c r="L591" s="71"/>
      <c r="N591" s="71"/>
      <c r="P591" s="71"/>
    </row>
    <row r="592">
      <c r="A592" s="71"/>
      <c r="B592" s="71"/>
      <c r="J592" s="71"/>
      <c r="K592" s="71"/>
      <c r="L592" s="71"/>
      <c r="N592" s="71"/>
      <c r="P592" s="71"/>
    </row>
    <row r="593">
      <c r="A593" s="71"/>
      <c r="B593" s="71"/>
      <c r="J593" s="71"/>
      <c r="K593" s="71"/>
      <c r="L593" s="71"/>
      <c r="N593" s="71"/>
      <c r="P593" s="71"/>
    </row>
    <row r="594">
      <c r="A594" s="71"/>
      <c r="B594" s="71"/>
      <c r="J594" s="71"/>
      <c r="K594" s="71"/>
      <c r="L594" s="71"/>
      <c r="N594" s="71"/>
      <c r="P594" s="71"/>
    </row>
    <row r="595">
      <c r="A595" s="71"/>
      <c r="B595" s="71"/>
      <c r="J595" s="71"/>
      <c r="K595" s="71"/>
      <c r="L595" s="71"/>
      <c r="N595" s="71"/>
      <c r="P595" s="71"/>
    </row>
    <row r="596">
      <c r="A596" s="71"/>
      <c r="B596" s="71"/>
      <c r="J596" s="71"/>
      <c r="K596" s="71"/>
      <c r="L596" s="71"/>
      <c r="N596" s="71"/>
      <c r="P596" s="71"/>
    </row>
    <row r="597">
      <c r="A597" s="71"/>
      <c r="B597" s="71"/>
      <c r="J597" s="71"/>
      <c r="K597" s="71"/>
      <c r="L597" s="71"/>
      <c r="N597" s="71"/>
      <c r="P597" s="71"/>
    </row>
    <row r="598">
      <c r="A598" s="71"/>
      <c r="B598" s="71"/>
      <c r="J598" s="71"/>
      <c r="K598" s="71"/>
      <c r="L598" s="71"/>
      <c r="N598" s="71"/>
      <c r="P598" s="71"/>
    </row>
    <row r="599">
      <c r="A599" s="71"/>
      <c r="B599" s="71"/>
      <c r="J599" s="71"/>
      <c r="K599" s="71"/>
      <c r="L599" s="71"/>
      <c r="N599" s="71"/>
      <c r="P599" s="71"/>
    </row>
    <row r="600">
      <c r="A600" s="71"/>
      <c r="B600" s="71"/>
      <c r="J600" s="71"/>
      <c r="K600" s="71"/>
      <c r="L600" s="71"/>
      <c r="N600" s="71"/>
      <c r="P600" s="71"/>
    </row>
    <row r="601">
      <c r="A601" s="71"/>
      <c r="B601" s="71"/>
      <c r="J601" s="71"/>
      <c r="K601" s="71"/>
      <c r="L601" s="71"/>
      <c r="N601" s="71"/>
      <c r="P601" s="71"/>
    </row>
    <row r="602">
      <c r="A602" s="71"/>
      <c r="B602" s="71"/>
      <c r="J602" s="71"/>
      <c r="K602" s="71"/>
      <c r="L602" s="71"/>
      <c r="N602" s="71"/>
      <c r="P602" s="71"/>
    </row>
    <row r="603">
      <c r="A603" s="71"/>
      <c r="B603" s="71"/>
      <c r="J603" s="71"/>
      <c r="K603" s="71"/>
      <c r="L603" s="71"/>
      <c r="N603" s="71"/>
      <c r="P603" s="71"/>
    </row>
    <row r="604">
      <c r="A604" s="71"/>
      <c r="B604" s="71"/>
      <c r="J604" s="71"/>
      <c r="K604" s="71"/>
      <c r="L604" s="71"/>
      <c r="N604" s="71"/>
      <c r="P604" s="71"/>
    </row>
    <row r="605">
      <c r="A605" s="71"/>
      <c r="B605" s="71"/>
      <c r="J605" s="71"/>
      <c r="K605" s="71"/>
      <c r="L605" s="71"/>
      <c r="N605" s="71"/>
      <c r="P605" s="71"/>
    </row>
    <row r="606">
      <c r="A606" s="71"/>
      <c r="B606" s="71"/>
      <c r="J606" s="71"/>
      <c r="K606" s="71"/>
      <c r="L606" s="71"/>
      <c r="N606" s="71"/>
      <c r="P606" s="71"/>
    </row>
    <row r="607">
      <c r="A607" s="71"/>
      <c r="B607" s="71"/>
      <c r="J607" s="71"/>
      <c r="K607" s="71"/>
      <c r="L607" s="71"/>
      <c r="N607" s="71"/>
      <c r="P607" s="71"/>
    </row>
    <row r="608">
      <c r="A608" s="71"/>
      <c r="B608" s="71"/>
      <c r="J608" s="71"/>
      <c r="K608" s="71"/>
      <c r="L608" s="71"/>
      <c r="N608" s="71"/>
      <c r="P608" s="71"/>
    </row>
    <row r="609">
      <c r="A609" s="71"/>
      <c r="B609" s="71"/>
      <c r="J609" s="71"/>
      <c r="K609" s="71"/>
      <c r="L609" s="71"/>
      <c r="N609" s="71"/>
      <c r="P609" s="71"/>
    </row>
    <row r="610">
      <c r="A610" s="71"/>
      <c r="B610" s="71"/>
      <c r="J610" s="71"/>
      <c r="K610" s="71"/>
      <c r="L610" s="71"/>
      <c r="N610" s="71"/>
      <c r="P610" s="71"/>
    </row>
    <row r="611">
      <c r="A611" s="71"/>
      <c r="B611" s="71"/>
      <c r="J611" s="71"/>
      <c r="K611" s="71"/>
      <c r="L611" s="71"/>
      <c r="N611" s="71"/>
      <c r="P611" s="71"/>
    </row>
    <row r="612">
      <c r="A612" s="71"/>
      <c r="B612" s="71"/>
      <c r="J612" s="71"/>
      <c r="K612" s="71"/>
      <c r="L612" s="71"/>
      <c r="N612" s="71"/>
      <c r="P612" s="71"/>
    </row>
    <row r="613">
      <c r="A613" s="71"/>
      <c r="B613" s="71"/>
      <c r="J613" s="71"/>
      <c r="K613" s="71"/>
      <c r="L613" s="71"/>
      <c r="N613" s="71"/>
      <c r="P613" s="71"/>
    </row>
    <row r="614">
      <c r="A614" s="71"/>
      <c r="B614" s="71"/>
      <c r="J614" s="71"/>
      <c r="K614" s="71"/>
      <c r="L614" s="71"/>
      <c r="N614" s="71"/>
      <c r="P614" s="71"/>
    </row>
    <row r="615">
      <c r="A615" s="71"/>
      <c r="B615" s="71"/>
      <c r="J615" s="71"/>
      <c r="K615" s="71"/>
      <c r="L615" s="71"/>
      <c r="N615" s="71"/>
      <c r="P615" s="71"/>
    </row>
    <row r="616">
      <c r="A616" s="71"/>
      <c r="B616" s="71"/>
      <c r="J616" s="71"/>
      <c r="K616" s="71"/>
      <c r="L616" s="71"/>
      <c r="N616" s="71"/>
      <c r="P616" s="71"/>
    </row>
    <row r="617">
      <c r="A617" s="71"/>
      <c r="B617" s="71"/>
      <c r="J617" s="71"/>
      <c r="K617" s="71"/>
      <c r="L617" s="71"/>
      <c r="N617" s="71"/>
      <c r="P617" s="71"/>
    </row>
    <row r="618">
      <c r="A618" s="71"/>
      <c r="B618" s="71"/>
      <c r="J618" s="71"/>
      <c r="K618" s="71"/>
      <c r="L618" s="71"/>
      <c r="N618" s="71"/>
      <c r="P618" s="71"/>
    </row>
    <row r="619">
      <c r="A619" s="71"/>
      <c r="B619" s="71"/>
      <c r="J619" s="71"/>
      <c r="K619" s="71"/>
      <c r="L619" s="71"/>
      <c r="N619" s="71"/>
      <c r="P619" s="71"/>
    </row>
    <row r="620">
      <c r="A620" s="71"/>
      <c r="B620" s="71"/>
      <c r="J620" s="71"/>
      <c r="K620" s="71"/>
      <c r="L620" s="71"/>
      <c r="N620" s="71"/>
      <c r="P620" s="71"/>
    </row>
    <row r="621">
      <c r="A621" s="71"/>
      <c r="B621" s="71"/>
      <c r="J621" s="71"/>
      <c r="K621" s="71"/>
      <c r="L621" s="71"/>
      <c r="N621" s="71"/>
      <c r="P621" s="71"/>
    </row>
    <row r="622">
      <c r="A622" s="71"/>
      <c r="B622" s="71"/>
      <c r="J622" s="71"/>
      <c r="K622" s="71"/>
      <c r="L622" s="71"/>
      <c r="N622" s="71"/>
      <c r="P622" s="71"/>
    </row>
    <row r="623">
      <c r="A623" s="71"/>
      <c r="B623" s="71"/>
      <c r="J623" s="71"/>
      <c r="K623" s="71"/>
      <c r="L623" s="71"/>
      <c r="N623" s="71"/>
      <c r="P623" s="71"/>
    </row>
    <row r="624">
      <c r="A624" s="71"/>
      <c r="B624" s="71"/>
      <c r="J624" s="71"/>
      <c r="K624" s="71"/>
      <c r="L624" s="71"/>
      <c r="N624" s="71"/>
      <c r="P624" s="71"/>
    </row>
    <row r="625">
      <c r="A625" s="71"/>
      <c r="B625" s="71"/>
      <c r="J625" s="71"/>
      <c r="K625" s="71"/>
      <c r="L625" s="71"/>
      <c r="N625" s="71"/>
      <c r="P625" s="71"/>
    </row>
    <row r="626">
      <c r="A626" s="71"/>
      <c r="B626" s="71"/>
      <c r="J626" s="71"/>
      <c r="K626" s="71"/>
      <c r="L626" s="71"/>
      <c r="N626" s="71"/>
      <c r="P626" s="71"/>
    </row>
    <row r="627">
      <c r="A627" s="71"/>
      <c r="B627" s="71"/>
      <c r="J627" s="71"/>
      <c r="K627" s="71"/>
      <c r="L627" s="71"/>
      <c r="N627" s="71"/>
      <c r="P627" s="71"/>
    </row>
    <row r="628">
      <c r="A628" s="71"/>
      <c r="B628" s="71"/>
      <c r="J628" s="71"/>
      <c r="K628" s="71"/>
      <c r="L628" s="71"/>
      <c r="N628" s="71"/>
      <c r="P628" s="71"/>
    </row>
    <row r="629">
      <c r="A629" s="71"/>
      <c r="B629" s="71"/>
      <c r="J629" s="71"/>
      <c r="K629" s="71"/>
      <c r="L629" s="71"/>
      <c r="N629" s="71"/>
      <c r="P629" s="71"/>
    </row>
    <row r="630">
      <c r="A630" s="71"/>
      <c r="B630" s="71"/>
      <c r="J630" s="71"/>
      <c r="K630" s="71"/>
      <c r="L630" s="71"/>
      <c r="N630" s="71"/>
      <c r="P630" s="71"/>
    </row>
    <row r="631">
      <c r="A631" s="71"/>
      <c r="B631" s="71"/>
      <c r="J631" s="71"/>
      <c r="K631" s="71"/>
      <c r="L631" s="71"/>
      <c r="N631" s="71"/>
      <c r="P631" s="71"/>
    </row>
    <row r="632">
      <c r="A632" s="71"/>
      <c r="B632" s="71"/>
      <c r="J632" s="71"/>
      <c r="K632" s="71"/>
      <c r="L632" s="71"/>
      <c r="N632" s="71"/>
      <c r="P632" s="71"/>
    </row>
    <row r="633">
      <c r="A633" s="71"/>
      <c r="B633" s="71"/>
      <c r="J633" s="71"/>
      <c r="K633" s="71"/>
      <c r="L633" s="71"/>
      <c r="N633" s="71"/>
      <c r="P633" s="71"/>
    </row>
    <row r="634">
      <c r="A634" s="71"/>
      <c r="B634" s="71"/>
      <c r="J634" s="71"/>
      <c r="K634" s="71"/>
      <c r="L634" s="71"/>
      <c r="N634" s="71"/>
      <c r="P634" s="71"/>
    </row>
    <row r="635">
      <c r="A635" s="71"/>
      <c r="B635" s="71"/>
      <c r="J635" s="71"/>
      <c r="K635" s="71"/>
      <c r="L635" s="71"/>
      <c r="N635" s="71"/>
      <c r="P635" s="71"/>
    </row>
    <row r="636">
      <c r="A636" s="71"/>
      <c r="B636" s="71"/>
      <c r="J636" s="71"/>
      <c r="K636" s="71"/>
      <c r="L636" s="71"/>
      <c r="N636" s="71"/>
      <c r="P636" s="71"/>
    </row>
    <row r="637">
      <c r="A637" s="71"/>
      <c r="B637" s="71"/>
      <c r="J637" s="71"/>
      <c r="K637" s="71"/>
      <c r="L637" s="71"/>
      <c r="N637" s="71"/>
      <c r="P637" s="71"/>
    </row>
    <row r="638">
      <c r="A638" s="71"/>
      <c r="B638" s="71"/>
      <c r="J638" s="71"/>
      <c r="K638" s="71"/>
      <c r="L638" s="71"/>
      <c r="N638" s="71"/>
      <c r="P638" s="71"/>
    </row>
    <row r="639">
      <c r="A639" s="71"/>
      <c r="B639" s="71"/>
      <c r="J639" s="71"/>
      <c r="K639" s="71"/>
      <c r="L639" s="71"/>
      <c r="N639" s="71"/>
      <c r="P639" s="71"/>
    </row>
    <row r="640">
      <c r="A640" s="71"/>
      <c r="B640" s="71"/>
      <c r="J640" s="71"/>
      <c r="K640" s="71"/>
      <c r="L640" s="71"/>
      <c r="N640" s="71"/>
      <c r="P640" s="71"/>
    </row>
    <row r="641">
      <c r="A641" s="71"/>
      <c r="B641" s="71"/>
      <c r="J641" s="71"/>
      <c r="K641" s="71"/>
      <c r="L641" s="71"/>
      <c r="N641" s="71"/>
      <c r="P641" s="71"/>
    </row>
    <row r="642">
      <c r="A642" s="71"/>
      <c r="B642" s="71"/>
      <c r="J642" s="71"/>
      <c r="K642" s="71"/>
      <c r="L642" s="71"/>
      <c r="N642" s="71"/>
      <c r="P642" s="71"/>
    </row>
    <row r="643">
      <c r="A643" s="71"/>
      <c r="B643" s="71"/>
      <c r="J643" s="71"/>
      <c r="K643" s="71"/>
      <c r="L643" s="71"/>
      <c r="N643" s="71"/>
      <c r="P643" s="71"/>
    </row>
    <row r="644">
      <c r="A644" s="71"/>
      <c r="B644" s="71"/>
      <c r="J644" s="71"/>
      <c r="K644" s="71"/>
      <c r="L644" s="71"/>
      <c r="N644" s="71"/>
      <c r="P644" s="71"/>
    </row>
    <row r="645">
      <c r="A645" s="71"/>
      <c r="B645" s="71"/>
      <c r="J645" s="71"/>
      <c r="K645" s="71"/>
      <c r="L645" s="71"/>
      <c r="N645" s="71"/>
      <c r="P645" s="71"/>
    </row>
    <row r="646">
      <c r="A646" s="71"/>
      <c r="B646" s="71"/>
      <c r="J646" s="71"/>
      <c r="K646" s="71"/>
      <c r="L646" s="71"/>
      <c r="N646" s="71"/>
      <c r="P646" s="71"/>
    </row>
    <row r="647">
      <c r="A647" s="71"/>
      <c r="B647" s="71"/>
      <c r="J647" s="71"/>
      <c r="K647" s="71"/>
      <c r="L647" s="71"/>
      <c r="N647" s="71"/>
      <c r="P647" s="71"/>
    </row>
    <row r="648">
      <c r="A648" s="71"/>
      <c r="B648" s="71"/>
      <c r="J648" s="71"/>
      <c r="K648" s="71"/>
      <c r="L648" s="71"/>
      <c r="N648" s="71"/>
      <c r="P648" s="71"/>
    </row>
    <row r="649">
      <c r="A649" s="71"/>
      <c r="B649" s="71"/>
      <c r="J649" s="71"/>
      <c r="K649" s="71"/>
      <c r="L649" s="71"/>
      <c r="N649" s="71"/>
      <c r="P649" s="71"/>
    </row>
    <row r="650">
      <c r="A650" s="71"/>
      <c r="B650" s="71"/>
      <c r="J650" s="71"/>
      <c r="K650" s="71"/>
      <c r="L650" s="71"/>
      <c r="N650" s="71"/>
      <c r="P650" s="71"/>
    </row>
    <row r="651">
      <c r="A651" s="71"/>
      <c r="B651" s="71"/>
      <c r="J651" s="71"/>
      <c r="K651" s="71"/>
      <c r="L651" s="71"/>
      <c r="N651" s="71"/>
      <c r="P651" s="71"/>
    </row>
    <row r="652">
      <c r="A652" s="71"/>
      <c r="B652" s="71"/>
      <c r="J652" s="71"/>
      <c r="K652" s="71"/>
      <c r="L652" s="71"/>
      <c r="N652" s="71"/>
      <c r="P652" s="71"/>
    </row>
    <row r="653">
      <c r="A653" s="71"/>
      <c r="B653" s="71"/>
      <c r="J653" s="71"/>
      <c r="K653" s="71"/>
      <c r="L653" s="71"/>
      <c r="N653" s="71"/>
      <c r="P653" s="71"/>
    </row>
    <row r="654">
      <c r="A654" s="71"/>
      <c r="B654" s="71"/>
      <c r="J654" s="71"/>
      <c r="K654" s="71"/>
      <c r="L654" s="71"/>
      <c r="N654" s="71"/>
      <c r="P654" s="71"/>
    </row>
    <row r="655">
      <c r="A655" s="71"/>
      <c r="B655" s="71"/>
      <c r="J655" s="71"/>
      <c r="K655" s="71"/>
      <c r="L655" s="71"/>
      <c r="N655" s="71"/>
      <c r="P655" s="71"/>
    </row>
    <row r="656">
      <c r="A656" s="71"/>
      <c r="B656" s="71"/>
      <c r="J656" s="71"/>
      <c r="K656" s="71"/>
      <c r="L656" s="71"/>
      <c r="N656" s="71"/>
      <c r="P656" s="71"/>
    </row>
    <row r="657">
      <c r="A657" s="71"/>
      <c r="B657" s="71"/>
      <c r="J657" s="71"/>
      <c r="K657" s="71"/>
      <c r="L657" s="71"/>
      <c r="N657" s="71"/>
      <c r="P657" s="71"/>
    </row>
    <row r="658">
      <c r="A658" s="71"/>
      <c r="B658" s="71"/>
      <c r="J658" s="71"/>
      <c r="K658" s="71"/>
      <c r="L658" s="71"/>
      <c r="N658" s="71"/>
      <c r="P658" s="71"/>
    </row>
    <row r="659">
      <c r="A659" s="71"/>
      <c r="B659" s="71"/>
      <c r="J659" s="71"/>
      <c r="K659" s="71"/>
      <c r="L659" s="71"/>
      <c r="N659" s="71"/>
      <c r="P659" s="71"/>
    </row>
    <row r="660">
      <c r="A660" s="71"/>
      <c r="B660" s="71"/>
      <c r="J660" s="71"/>
      <c r="K660" s="71"/>
      <c r="L660" s="71"/>
      <c r="N660" s="71"/>
      <c r="P660" s="71"/>
    </row>
    <row r="661">
      <c r="A661" s="71"/>
      <c r="B661" s="71"/>
      <c r="J661" s="71"/>
      <c r="K661" s="71"/>
      <c r="L661" s="71"/>
      <c r="N661" s="71"/>
      <c r="P661" s="71"/>
    </row>
    <row r="662">
      <c r="A662" s="71"/>
      <c r="B662" s="71"/>
      <c r="J662" s="71"/>
      <c r="K662" s="71"/>
      <c r="L662" s="71"/>
      <c r="N662" s="71"/>
      <c r="P662" s="71"/>
    </row>
    <row r="663">
      <c r="A663" s="71"/>
      <c r="B663" s="71"/>
      <c r="J663" s="71"/>
      <c r="K663" s="71"/>
      <c r="L663" s="71"/>
      <c r="N663" s="71"/>
      <c r="P663" s="71"/>
    </row>
    <row r="664">
      <c r="A664" s="71"/>
      <c r="B664" s="71"/>
      <c r="J664" s="71"/>
      <c r="K664" s="71"/>
      <c r="L664" s="71"/>
      <c r="N664" s="71"/>
      <c r="P664" s="71"/>
    </row>
    <row r="665">
      <c r="A665" s="71"/>
      <c r="B665" s="71"/>
      <c r="J665" s="71"/>
      <c r="K665" s="71"/>
      <c r="L665" s="71"/>
      <c r="N665" s="71"/>
      <c r="P665" s="71"/>
    </row>
    <row r="666">
      <c r="A666" s="71"/>
      <c r="B666" s="71"/>
      <c r="J666" s="71"/>
      <c r="K666" s="71"/>
      <c r="L666" s="71"/>
      <c r="N666" s="71"/>
      <c r="P666" s="71"/>
    </row>
    <row r="667">
      <c r="A667" s="71"/>
      <c r="B667" s="71"/>
      <c r="J667" s="71"/>
      <c r="K667" s="71"/>
      <c r="L667" s="71"/>
      <c r="N667" s="71"/>
      <c r="P667" s="71"/>
    </row>
    <row r="668">
      <c r="A668" s="71"/>
      <c r="B668" s="71"/>
      <c r="J668" s="71"/>
      <c r="K668" s="71"/>
      <c r="L668" s="71"/>
      <c r="N668" s="71"/>
      <c r="P668" s="71"/>
    </row>
    <row r="669">
      <c r="A669" s="71"/>
      <c r="B669" s="71"/>
      <c r="J669" s="71"/>
      <c r="K669" s="71"/>
      <c r="L669" s="71"/>
      <c r="N669" s="71"/>
      <c r="P669" s="71"/>
    </row>
    <row r="670">
      <c r="A670" s="71"/>
      <c r="B670" s="71"/>
      <c r="J670" s="71"/>
      <c r="K670" s="71"/>
      <c r="L670" s="71"/>
      <c r="N670" s="71"/>
      <c r="P670" s="71"/>
    </row>
    <row r="671">
      <c r="A671" s="71"/>
      <c r="B671" s="71"/>
      <c r="J671" s="71"/>
      <c r="K671" s="71"/>
      <c r="L671" s="71"/>
      <c r="N671" s="71"/>
      <c r="P671" s="71"/>
    </row>
    <row r="672">
      <c r="A672" s="71"/>
      <c r="B672" s="71"/>
      <c r="J672" s="71"/>
      <c r="K672" s="71"/>
      <c r="L672" s="71"/>
      <c r="N672" s="71"/>
      <c r="P672" s="71"/>
    </row>
    <row r="673">
      <c r="A673" s="71"/>
      <c r="B673" s="71"/>
      <c r="J673" s="71"/>
      <c r="K673" s="71"/>
      <c r="L673" s="71"/>
      <c r="N673" s="71"/>
      <c r="P673" s="71"/>
    </row>
    <row r="674">
      <c r="A674" s="71"/>
      <c r="B674" s="71"/>
      <c r="J674" s="71"/>
      <c r="K674" s="71"/>
      <c r="L674" s="71"/>
      <c r="N674" s="71"/>
      <c r="P674" s="71"/>
    </row>
    <row r="675">
      <c r="A675" s="71"/>
      <c r="B675" s="71"/>
      <c r="J675" s="71"/>
      <c r="K675" s="71"/>
      <c r="L675" s="71"/>
      <c r="N675" s="71"/>
      <c r="P675" s="71"/>
    </row>
    <row r="676">
      <c r="A676" s="71"/>
      <c r="B676" s="71"/>
      <c r="J676" s="71"/>
      <c r="K676" s="71"/>
      <c r="L676" s="71"/>
      <c r="N676" s="71"/>
      <c r="P676" s="71"/>
    </row>
    <row r="677">
      <c r="A677" s="71"/>
      <c r="B677" s="71"/>
      <c r="J677" s="71"/>
      <c r="K677" s="71"/>
      <c r="L677" s="71"/>
      <c r="N677" s="71"/>
      <c r="P677" s="71"/>
    </row>
    <row r="678">
      <c r="A678" s="71"/>
      <c r="B678" s="71"/>
      <c r="J678" s="71"/>
      <c r="K678" s="71"/>
      <c r="L678" s="71"/>
      <c r="N678" s="71"/>
      <c r="P678" s="71"/>
    </row>
    <row r="679">
      <c r="A679" s="71"/>
      <c r="B679" s="71"/>
      <c r="J679" s="71"/>
      <c r="K679" s="71"/>
      <c r="L679" s="71"/>
      <c r="N679" s="71"/>
      <c r="P679" s="71"/>
    </row>
    <row r="680">
      <c r="A680" s="71"/>
      <c r="B680" s="71"/>
      <c r="J680" s="71"/>
      <c r="K680" s="71"/>
      <c r="L680" s="71"/>
      <c r="N680" s="71"/>
      <c r="P680" s="71"/>
    </row>
    <row r="681">
      <c r="A681" s="71"/>
      <c r="B681" s="71"/>
      <c r="J681" s="71"/>
      <c r="K681" s="71"/>
      <c r="L681" s="71"/>
      <c r="N681" s="71"/>
      <c r="P681" s="71"/>
    </row>
    <row r="682">
      <c r="A682" s="71"/>
      <c r="B682" s="71"/>
      <c r="J682" s="71"/>
      <c r="K682" s="71"/>
      <c r="L682" s="71"/>
      <c r="N682" s="71"/>
      <c r="P682" s="71"/>
    </row>
    <row r="683">
      <c r="A683" s="71"/>
      <c r="B683" s="71"/>
      <c r="J683" s="71"/>
      <c r="K683" s="71"/>
      <c r="L683" s="71"/>
      <c r="N683" s="71"/>
      <c r="P683" s="71"/>
    </row>
    <row r="684">
      <c r="A684" s="71"/>
      <c r="B684" s="71"/>
      <c r="J684" s="71"/>
      <c r="K684" s="71"/>
      <c r="L684" s="71"/>
      <c r="N684" s="71"/>
      <c r="P684" s="71"/>
    </row>
    <row r="685">
      <c r="A685" s="71"/>
      <c r="B685" s="71"/>
      <c r="J685" s="71"/>
      <c r="K685" s="71"/>
      <c r="L685" s="71"/>
      <c r="N685" s="71"/>
      <c r="P685" s="71"/>
    </row>
    <row r="686">
      <c r="A686" s="71"/>
      <c r="B686" s="71"/>
      <c r="J686" s="71"/>
      <c r="K686" s="71"/>
      <c r="L686" s="71"/>
      <c r="N686" s="71"/>
      <c r="P686" s="71"/>
    </row>
    <row r="687">
      <c r="A687" s="71"/>
      <c r="B687" s="71"/>
      <c r="J687" s="71"/>
      <c r="K687" s="71"/>
      <c r="L687" s="71"/>
      <c r="N687" s="71"/>
      <c r="P687" s="71"/>
    </row>
    <row r="688">
      <c r="A688" s="71"/>
      <c r="B688" s="71"/>
      <c r="J688" s="71"/>
      <c r="K688" s="71"/>
      <c r="L688" s="71"/>
      <c r="N688" s="71"/>
      <c r="P688" s="71"/>
    </row>
    <row r="689">
      <c r="A689" s="71"/>
      <c r="B689" s="71"/>
      <c r="J689" s="71"/>
      <c r="K689" s="71"/>
      <c r="L689" s="71"/>
      <c r="N689" s="71"/>
      <c r="P689" s="71"/>
    </row>
    <row r="690">
      <c r="A690" s="71"/>
      <c r="B690" s="71"/>
      <c r="J690" s="71"/>
      <c r="K690" s="71"/>
      <c r="L690" s="71"/>
      <c r="N690" s="71"/>
      <c r="P690" s="71"/>
    </row>
    <row r="691">
      <c r="A691" s="71"/>
      <c r="B691" s="71"/>
      <c r="J691" s="71"/>
      <c r="K691" s="71"/>
      <c r="L691" s="71"/>
      <c r="N691" s="71"/>
      <c r="P691" s="71"/>
    </row>
    <row r="692">
      <c r="A692" s="71"/>
      <c r="B692" s="71"/>
      <c r="J692" s="71"/>
      <c r="K692" s="71"/>
      <c r="L692" s="71"/>
      <c r="N692" s="71"/>
      <c r="P692" s="71"/>
    </row>
    <row r="693">
      <c r="A693" s="71"/>
      <c r="B693" s="71"/>
      <c r="J693" s="71"/>
      <c r="K693" s="71"/>
      <c r="L693" s="71"/>
      <c r="N693" s="71"/>
      <c r="P693" s="71"/>
    </row>
    <row r="694">
      <c r="A694" s="71"/>
      <c r="B694" s="71"/>
      <c r="J694" s="71"/>
      <c r="K694" s="71"/>
      <c r="L694" s="71"/>
      <c r="N694" s="71"/>
      <c r="P694" s="71"/>
    </row>
    <row r="695">
      <c r="A695" s="71"/>
      <c r="B695" s="71"/>
      <c r="J695" s="71"/>
      <c r="K695" s="71"/>
      <c r="L695" s="71"/>
      <c r="N695" s="71"/>
      <c r="P695" s="71"/>
    </row>
    <row r="696">
      <c r="A696" s="71"/>
      <c r="B696" s="71"/>
      <c r="J696" s="71"/>
      <c r="K696" s="71"/>
      <c r="L696" s="71"/>
      <c r="N696" s="71"/>
      <c r="P696" s="71"/>
    </row>
    <row r="697">
      <c r="A697" s="71"/>
      <c r="B697" s="71"/>
      <c r="J697" s="71"/>
      <c r="K697" s="71"/>
      <c r="L697" s="71"/>
      <c r="N697" s="71"/>
      <c r="P697" s="71"/>
    </row>
    <row r="698">
      <c r="A698" s="71"/>
      <c r="B698" s="71"/>
      <c r="J698" s="71"/>
      <c r="K698" s="71"/>
      <c r="L698" s="71"/>
      <c r="N698" s="71"/>
      <c r="P698" s="71"/>
    </row>
    <row r="699">
      <c r="A699" s="71"/>
      <c r="B699" s="71"/>
      <c r="J699" s="71"/>
      <c r="K699" s="71"/>
      <c r="L699" s="71"/>
      <c r="N699" s="71"/>
      <c r="P699" s="71"/>
    </row>
    <row r="700">
      <c r="A700" s="71"/>
      <c r="B700" s="71"/>
      <c r="J700" s="71"/>
      <c r="K700" s="71"/>
      <c r="L700" s="71"/>
      <c r="N700" s="71"/>
      <c r="P700" s="71"/>
    </row>
    <row r="701">
      <c r="A701" s="71"/>
      <c r="B701" s="71"/>
      <c r="J701" s="71"/>
      <c r="K701" s="71"/>
      <c r="L701" s="71"/>
      <c r="N701" s="71"/>
      <c r="P701" s="71"/>
    </row>
    <row r="702">
      <c r="A702" s="71"/>
      <c r="B702" s="71"/>
      <c r="J702" s="71"/>
      <c r="K702" s="71"/>
      <c r="L702" s="71"/>
      <c r="N702" s="71"/>
      <c r="P702" s="71"/>
    </row>
    <row r="703">
      <c r="A703" s="71"/>
      <c r="B703" s="71"/>
      <c r="J703" s="71"/>
      <c r="K703" s="71"/>
      <c r="L703" s="71"/>
      <c r="N703" s="71"/>
      <c r="P703" s="71"/>
    </row>
    <row r="704">
      <c r="A704" s="71"/>
      <c r="B704" s="71"/>
      <c r="J704" s="71"/>
      <c r="K704" s="71"/>
      <c r="L704" s="71"/>
      <c r="N704" s="71"/>
      <c r="P704" s="71"/>
    </row>
    <row r="705">
      <c r="A705" s="71"/>
      <c r="B705" s="71"/>
      <c r="J705" s="71"/>
      <c r="K705" s="71"/>
      <c r="L705" s="71"/>
      <c r="N705" s="71"/>
      <c r="P705" s="71"/>
    </row>
    <row r="706">
      <c r="A706" s="71"/>
      <c r="B706" s="71"/>
      <c r="J706" s="71"/>
      <c r="K706" s="71"/>
      <c r="L706" s="71"/>
      <c r="N706" s="71"/>
      <c r="P706" s="71"/>
    </row>
    <row r="707">
      <c r="A707" s="71"/>
      <c r="B707" s="71"/>
      <c r="J707" s="71"/>
      <c r="K707" s="71"/>
      <c r="L707" s="71"/>
      <c r="N707" s="71"/>
      <c r="P707" s="71"/>
    </row>
    <row r="708">
      <c r="A708" s="71"/>
      <c r="B708" s="71"/>
      <c r="J708" s="71"/>
      <c r="K708" s="71"/>
      <c r="L708" s="71"/>
      <c r="N708" s="71"/>
      <c r="P708" s="71"/>
    </row>
    <row r="709">
      <c r="A709" s="71"/>
      <c r="B709" s="71"/>
      <c r="J709" s="71"/>
      <c r="K709" s="71"/>
      <c r="L709" s="71"/>
      <c r="N709" s="71"/>
      <c r="P709" s="71"/>
    </row>
    <row r="710">
      <c r="A710" s="71"/>
      <c r="B710" s="71"/>
      <c r="J710" s="71"/>
      <c r="K710" s="71"/>
      <c r="L710" s="71"/>
      <c r="N710" s="71"/>
      <c r="P710" s="71"/>
    </row>
    <row r="711">
      <c r="A711" s="71"/>
      <c r="B711" s="71"/>
      <c r="J711" s="71"/>
      <c r="K711" s="71"/>
      <c r="L711" s="71"/>
      <c r="N711" s="71"/>
      <c r="P711" s="71"/>
    </row>
    <row r="712">
      <c r="A712" s="71"/>
      <c r="B712" s="71"/>
      <c r="J712" s="71"/>
      <c r="K712" s="71"/>
      <c r="L712" s="71"/>
      <c r="N712" s="71"/>
      <c r="P712" s="71"/>
    </row>
    <row r="713">
      <c r="A713" s="71"/>
      <c r="B713" s="71"/>
      <c r="J713" s="71"/>
      <c r="K713" s="71"/>
      <c r="L713" s="71"/>
      <c r="N713" s="71"/>
      <c r="P713" s="71"/>
    </row>
    <row r="714">
      <c r="A714" s="71"/>
      <c r="B714" s="71"/>
      <c r="J714" s="71"/>
      <c r="K714" s="71"/>
      <c r="L714" s="71"/>
      <c r="N714" s="71"/>
      <c r="P714" s="71"/>
    </row>
    <row r="715">
      <c r="A715" s="71"/>
      <c r="B715" s="71"/>
      <c r="J715" s="71"/>
      <c r="K715" s="71"/>
      <c r="L715" s="71"/>
      <c r="N715" s="71"/>
      <c r="P715" s="71"/>
    </row>
    <row r="716">
      <c r="A716" s="71"/>
      <c r="B716" s="71"/>
      <c r="J716" s="71"/>
      <c r="K716" s="71"/>
      <c r="L716" s="71"/>
      <c r="N716" s="71"/>
      <c r="P716" s="71"/>
    </row>
    <row r="717">
      <c r="A717" s="71"/>
      <c r="B717" s="71"/>
      <c r="J717" s="71"/>
      <c r="K717" s="71"/>
      <c r="L717" s="71"/>
      <c r="N717" s="71"/>
      <c r="P717" s="71"/>
    </row>
    <row r="718">
      <c r="A718" s="71"/>
      <c r="B718" s="71"/>
      <c r="J718" s="71"/>
      <c r="K718" s="71"/>
      <c r="L718" s="71"/>
      <c r="N718" s="71"/>
      <c r="P718" s="71"/>
    </row>
    <row r="719">
      <c r="A719" s="71"/>
      <c r="B719" s="71"/>
      <c r="J719" s="71"/>
      <c r="K719" s="71"/>
      <c r="L719" s="71"/>
      <c r="N719" s="71"/>
      <c r="P719" s="71"/>
    </row>
    <row r="720">
      <c r="A720" s="71"/>
      <c r="B720" s="71"/>
      <c r="J720" s="71"/>
      <c r="K720" s="71"/>
      <c r="L720" s="71"/>
      <c r="N720" s="71"/>
      <c r="P720" s="71"/>
    </row>
    <row r="721">
      <c r="A721" s="71"/>
      <c r="B721" s="71"/>
      <c r="J721" s="71"/>
      <c r="K721" s="71"/>
      <c r="L721" s="71"/>
      <c r="N721" s="71"/>
      <c r="P721" s="71"/>
    </row>
    <row r="722">
      <c r="A722" s="71"/>
      <c r="B722" s="71"/>
      <c r="J722" s="71"/>
      <c r="K722" s="71"/>
      <c r="L722" s="71"/>
      <c r="N722" s="71"/>
      <c r="P722" s="71"/>
    </row>
    <row r="723">
      <c r="A723" s="71"/>
      <c r="B723" s="71"/>
      <c r="J723" s="71"/>
      <c r="K723" s="71"/>
      <c r="L723" s="71"/>
      <c r="N723" s="71"/>
      <c r="P723" s="71"/>
    </row>
    <row r="724">
      <c r="A724" s="71"/>
      <c r="B724" s="71"/>
      <c r="J724" s="71"/>
      <c r="K724" s="71"/>
      <c r="L724" s="71"/>
      <c r="N724" s="71"/>
      <c r="P724" s="71"/>
    </row>
    <row r="725">
      <c r="A725" s="71"/>
      <c r="B725" s="71"/>
      <c r="J725" s="71"/>
      <c r="K725" s="71"/>
      <c r="L725" s="71"/>
      <c r="N725" s="71"/>
      <c r="P725" s="71"/>
    </row>
    <row r="726">
      <c r="A726" s="71"/>
      <c r="B726" s="71"/>
      <c r="J726" s="71"/>
      <c r="K726" s="71"/>
      <c r="L726" s="71"/>
      <c r="N726" s="71"/>
      <c r="P726" s="71"/>
    </row>
    <row r="727">
      <c r="A727" s="71"/>
      <c r="B727" s="71"/>
      <c r="J727" s="71"/>
      <c r="K727" s="71"/>
      <c r="L727" s="71"/>
      <c r="N727" s="71"/>
      <c r="P727" s="71"/>
    </row>
    <row r="728">
      <c r="A728" s="71"/>
      <c r="B728" s="71"/>
      <c r="J728" s="71"/>
      <c r="K728" s="71"/>
      <c r="L728" s="71"/>
      <c r="N728" s="71"/>
      <c r="P728" s="71"/>
    </row>
    <row r="729">
      <c r="A729" s="71"/>
      <c r="B729" s="71"/>
      <c r="J729" s="71"/>
      <c r="K729" s="71"/>
      <c r="L729" s="71"/>
      <c r="N729" s="71"/>
      <c r="P729" s="71"/>
    </row>
    <row r="730">
      <c r="A730" s="71"/>
      <c r="B730" s="71"/>
      <c r="J730" s="71"/>
      <c r="K730" s="71"/>
      <c r="L730" s="71"/>
      <c r="N730" s="71"/>
      <c r="P730" s="71"/>
    </row>
    <row r="731">
      <c r="A731" s="71"/>
      <c r="B731" s="71"/>
      <c r="J731" s="71"/>
      <c r="K731" s="71"/>
      <c r="L731" s="71"/>
      <c r="N731" s="71"/>
      <c r="P731" s="71"/>
    </row>
    <row r="732">
      <c r="A732" s="71"/>
      <c r="B732" s="71"/>
      <c r="J732" s="71"/>
      <c r="K732" s="71"/>
      <c r="L732" s="71"/>
      <c r="N732" s="71"/>
      <c r="P732" s="71"/>
    </row>
    <row r="733">
      <c r="A733" s="71"/>
      <c r="B733" s="71"/>
      <c r="J733" s="71"/>
      <c r="K733" s="71"/>
      <c r="L733" s="71"/>
      <c r="N733" s="71"/>
      <c r="P733" s="71"/>
    </row>
    <row r="734">
      <c r="A734" s="71"/>
      <c r="B734" s="71"/>
      <c r="J734" s="71"/>
      <c r="K734" s="71"/>
      <c r="L734" s="71"/>
      <c r="N734" s="71"/>
      <c r="P734" s="71"/>
    </row>
    <row r="735">
      <c r="A735" s="71"/>
      <c r="B735" s="71"/>
      <c r="J735" s="71"/>
      <c r="K735" s="71"/>
      <c r="L735" s="71"/>
      <c r="N735" s="71"/>
      <c r="P735" s="71"/>
    </row>
    <row r="736">
      <c r="A736" s="71"/>
      <c r="B736" s="71"/>
      <c r="J736" s="71"/>
      <c r="K736" s="71"/>
      <c r="L736" s="71"/>
      <c r="N736" s="71"/>
      <c r="P736" s="71"/>
    </row>
    <row r="737">
      <c r="A737" s="71"/>
      <c r="B737" s="71"/>
      <c r="J737" s="71"/>
      <c r="K737" s="71"/>
      <c r="L737" s="71"/>
      <c r="N737" s="71"/>
      <c r="P737" s="71"/>
    </row>
    <row r="738">
      <c r="A738" s="71"/>
      <c r="B738" s="71"/>
      <c r="J738" s="71"/>
      <c r="K738" s="71"/>
      <c r="L738" s="71"/>
      <c r="N738" s="71"/>
      <c r="P738" s="71"/>
    </row>
    <row r="739">
      <c r="A739" s="71"/>
      <c r="B739" s="71"/>
      <c r="J739" s="71"/>
      <c r="K739" s="71"/>
      <c r="L739" s="71"/>
      <c r="N739" s="71"/>
      <c r="P739" s="71"/>
    </row>
    <row r="740">
      <c r="A740" s="71"/>
      <c r="B740" s="71"/>
      <c r="J740" s="71"/>
      <c r="K740" s="71"/>
      <c r="L740" s="71"/>
      <c r="N740" s="71"/>
      <c r="P740" s="71"/>
    </row>
    <row r="741">
      <c r="A741" s="71"/>
      <c r="B741" s="71"/>
      <c r="J741" s="71"/>
      <c r="K741" s="71"/>
      <c r="L741" s="71"/>
      <c r="N741" s="71"/>
      <c r="P741" s="71"/>
    </row>
    <row r="742">
      <c r="A742" s="71"/>
      <c r="B742" s="71"/>
      <c r="J742" s="71"/>
      <c r="K742" s="71"/>
      <c r="L742" s="71"/>
      <c r="N742" s="71"/>
      <c r="P742" s="71"/>
    </row>
    <row r="743">
      <c r="A743" s="71"/>
      <c r="B743" s="71"/>
      <c r="J743" s="71"/>
      <c r="K743" s="71"/>
      <c r="L743" s="71"/>
      <c r="N743" s="71"/>
      <c r="P743" s="71"/>
    </row>
    <row r="744">
      <c r="A744" s="71"/>
      <c r="B744" s="71"/>
      <c r="J744" s="71"/>
      <c r="K744" s="71"/>
      <c r="L744" s="71"/>
      <c r="N744" s="71"/>
      <c r="P744" s="71"/>
    </row>
    <row r="745">
      <c r="A745" s="71"/>
      <c r="B745" s="71"/>
      <c r="J745" s="71"/>
      <c r="K745" s="71"/>
      <c r="L745" s="71"/>
      <c r="N745" s="71"/>
      <c r="P745" s="71"/>
    </row>
    <row r="746">
      <c r="A746" s="71"/>
      <c r="B746" s="71"/>
      <c r="J746" s="71"/>
      <c r="K746" s="71"/>
      <c r="L746" s="71"/>
      <c r="N746" s="71"/>
      <c r="P746" s="71"/>
    </row>
    <row r="747">
      <c r="A747" s="71"/>
      <c r="B747" s="71"/>
      <c r="J747" s="71"/>
      <c r="K747" s="71"/>
      <c r="L747" s="71"/>
      <c r="N747" s="71"/>
      <c r="P747" s="71"/>
    </row>
    <row r="748">
      <c r="A748" s="71"/>
      <c r="B748" s="71"/>
      <c r="J748" s="71"/>
      <c r="K748" s="71"/>
      <c r="L748" s="71"/>
      <c r="N748" s="71"/>
      <c r="P748" s="71"/>
    </row>
    <row r="749">
      <c r="A749" s="71"/>
      <c r="B749" s="71"/>
      <c r="J749" s="71"/>
      <c r="K749" s="71"/>
      <c r="L749" s="71"/>
      <c r="N749" s="71"/>
      <c r="P749" s="71"/>
    </row>
    <row r="750">
      <c r="A750" s="71"/>
      <c r="B750" s="71"/>
      <c r="J750" s="71"/>
      <c r="K750" s="71"/>
      <c r="L750" s="71"/>
      <c r="N750" s="71"/>
      <c r="P750" s="71"/>
    </row>
    <row r="751">
      <c r="A751" s="71"/>
      <c r="B751" s="71"/>
      <c r="J751" s="71"/>
      <c r="K751" s="71"/>
      <c r="L751" s="71"/>
      <c r="N751" s="71"/>
      <c r="P751" s="71"/>
    </row>
    <row r="752">
      <c r="A752" s="71"/>
      <c r="B752" s="71"/>
      <c r="J752" s="71"/>
      <c r="K752" s="71"/>
      <c r="L752" s="71"/>
      <c r="N752" s="71"/>
      <c r="P752" s="71"/>
    </row>
    <row r="753">
      <c r="A753" s="71"/>
      <c r="B753" s="71"/>
      <c r="J753" s="71"/>
      <c r="K753" s="71"/>
      <c r="L753" s="71"/>
      <c r="N753" s="71"/>
      <c r="P753" s="71"/>
    </row>
    <row r="754">
      <c r="A754" s="71"/>
      <c r="B754" s="71"/>
      <c r="J754" s="71"/>
      <c r="K754" s="71"/>
      <c r="L754" s="71"/>
      <c r="N754" s="71"/>
      <c r="P754" s="71"/>
    </row>
    <row r="755">
      <c r="A755" s="71"/>
      <c r="B755" s="71"/>
      <c r="J755" s="71"/>
      <c r="K755" s="71"/>
      <c r="L755" s="71"/>
      <c r="N755" s="71"/>
      <c r="P755" s="71"/>
    </row>
    <row r="756">
      <c r="A756" s="71"/>
      <c r="B756" s="71"/>
      <c r="J756" s="71"/>
      <c r="K756" s="71"/>
      <c r="L756" s="71"/>
      <c r="N756" s="71"/>
      <c r="P756" s="71"/>
    </row>
    <row r="757">
      <c r="A757" s="71"/>
      <c r="B757" s="71"/>
      <c r="J757" s="71"/>
      <c r="K757" s="71"/>
      <c r="L757" s="71"/>
      <c r="N757" s="71"/>
      <c r="P757" s="71"/>
    </row>
    <row r="758">
      <c r="A758" s="71"/>
      <c r="B758" s="71"/>
      <c r="J758" s="71"/>
      <c r="K758" s="71"/>
      <c r="L758" s="71"/>
      <c r="N758" s="71"/>
      <c r="P758" s="71"/>
    </row>
    <row r="759">
      <c r="A759" s="71"/>
      <c r="B759" s="71"/>
      <c r="J759" s="71"/>
      <c r="K759" s="71"/>
      <c r="L759" s="71"/>
      <c r="N759" s="71"/>
      <c r="P759" s="71"/>
    </row>
    <row r="760">
      <c r="A760" s="71"/>
      <c r="B760" s="71"/>
      <c r="J760" s="71"/>
      <c r="K760" s="71"/>
      <c r="L760" s="71"/>
      <c r="N760" s="71"/>
      <c r="P760" s="71"/>
    </row>
    <row r="761">
      <c r="A761" s="71"/>
      <c r="B761" s="71"/>
      <c r="J761" s="71"/>
      <c r="K761" s="71"/>
      <c r="L761" s="71"/>
      <c r="N761" s="71"/>
      <c r="P761" s="71"/>
    </row>
    <row r="762">
      <c r="A762" s="71"/>
      <c r="B762" s="71"/>
      <c r="J762" s="71"/>
      <c r="K762" s="71"/>
      <c r="L762" s="71"/>
      <c r="N762" s="71"/>
      <c r="P762" s="71"/>
    </row>
    <row r="763">
      <c r="A763" s="71"/>
      <c r="B763" s="71"/>
      <c r="J763" s="71"/>
      <c r="K763" s="71"/>
      <c r="L763" s="71"/>
      <c r="N763" s="71"/>
      <c r="P763" s="71"/>
    </row>
    <row r="764">
      <c r="A764" s="71"/>
      <c r="B764" s="71"/>
      <c r="J764" s="71"/>
      <c r="K764" s="71"/>
      <c r="L764" s="71"/>
      <c r="N764" s="71"/>
      <c r="P764" s="71"/>
    </row>
    <row r="765">
      <c r="A765" s="71"/>
      <c r="B765" s="71"/>
      <c r="J765" s="71"/>
      <c r="K765" s="71"/>
      <c r="L765" s="71"/>
      <c r="N765" s="71"/>
      <c r="P765" s="71"/>
    </row>
    <row r="766">
      <c r="A766" s="71"/>
      <c r="B766" s="71"/>
      <c r="J766" s="71"/>
      <c r="K766" s="71"/>
      <c r="L766" s="71"/>
      <c r="N766" s="71"/>
      <c r="P766" s="71"/>
    </row>
    <row r="767">
      <c r="A767" s="71"/>
      <c r="B767" s="71"/>
      <c r="J767" s="71"/>
      <c r="K767" s="71"/>
      <c r="L767" s="71"/>
      <c r="N767" s="71"/>
      <c r="P767" s="71"/>
    </row>
    <row r="768">
      <c r="A768" s="71"/>
      <c r="B768" s="71"/>
      <c r="J768" s="71"/>
      <c r="K768" s="71"/>
      <c r="L768" s="71"/>
      <c r="N768" s="71"/>
      <c r="P768" s="71"/>
    </row>
    <row r="769">
      <c r="A769" s="71"/>
      <c r="B769" s="71"/>
      <c r="J769" s="71"/>
      <c r="K769" s="71"/>
      <c r="L769" s="71"/>
      <c r="N769" s="71"/>
      <c r="P769" s="71"/>
    </row>
    <row r="770">
      <c r="A770" s="71"/>
      <c r="B770" s="71"/>
      <c r="J770" s="71"/>
      <c r="K770" s="71"/>
      <c r="L770" s="71"/>
      <c r="N770" s="71"/>
      <c r="P770" s="71"/>
    </row>
    <row r="771">
      <c r="A771" s="71"/>
      <c r="B771" s="71"/>
      <c r="J771" s="71"/>
      <c r="K771" s="71"/>
      <c r="L771" s="71"/>
      <c r="N771" s="71"/>
      <c r="P771" s="71"/>
    </row>
    <row r="772">
      <c r="A772" s="71"/>
      <c r="B772" s="71"/>
      <c r="J772" s="71"/>
      <c r="K772" s="71"/>
      <c r="L772" s="71"/>
      <c r="N772" s="71"/>
      <c r="P772" s="71"/>
    </row>
    <row r="773">
      <c r="A773" s="71"/>
      <c r="B773" s="71"/>
      <c r="J773" s="71"/>
      <c r="K773" s="71"/>
      <c r="L773" s="71"/>
      <c r="N773" s="71"/>
      <c r="P773" s="71"/>
    </row>
    <row r="774">
      <c r="A774" s="71"/>
      <c r="B774" s="71"/>
      <c r="J774" s="71"/>
      <c r="K774" s="71"/>
      <c r="L774" s="71"/>
      <c r="N774" s="71"/>
      <c r="P774" s="71"/>
    </row>
    <row r="775">
      <c r="A775" s="71"/>
      <c r="B775" s="71"/>
      <c r="J775" s="71"/>
      <c r="K775" s="71"/>
      <c r="L775" s="71"/>
      <c r="N775" s="71"/>
      <c r="P775" s="71"/>
    </row>
    <row r="776">
      <c r="A776" s="71"/>
      <c r="B776" s="71"/>
      <c r="J776" s="71"/>
      <c r="K776" s="71"/>
      <c r="L776" s="71"/>
      <c r="N776" s="71"/>
      <c r="P776" s="71"/>
    </row>
    <row r="777">
      <c r="A777" s="71"/>
      <c r="B777" s="71"/>
      <c r="J777" s="71"/>
      <c r="K777" s="71"/>
      <c r="L777" s="71"/>
      <c r="N777" s="71"/>
      <c r="P777" s="71"/>
    </row>
    <row r="778">
      <c r="A778" s="71"/>
      <c r="B778" s="71"/>
      <c r="J778" s="71"/>
      <c r="K778" s="71"/>
      <c r="L778" s="71"/>
      <c r="N778" s="71"/>
      <c r="P778" s="71"/>
    </row>
    <row r="779">
      <c r="A779" s="71"/>
      <c r="B779" s="71"/>
      <c r="J779" s="71"/>
      <c r="K779" s="71"/>
      <c r="L779" s="71"/>
      <c r="N779" s="71"/>
      <c r="P779" s="71"/>
    </row>
    <row r="780">
      <c r="A780" s="71"/>
      <c r="B780" s="71"/>
      <c r="J780" s="71"/>
      <c r="K780" s="71"/>
      <c r="L780" s="71"/>
      <c r="N780" s="71"/>
      <c r="P780" s="71"/>
    </row>
    <row r="781">
      <c r="A781" s="71"/>
      <c r="B781" s="71"/>
      <c r="J781" s="71"/>
      <c r="K781" s="71"/>
      <c r="L781" s="71"/>
      <c r="N781" s="71"/>
      <c r="P781" s="71"/>
    </row>
    <row r="782">
      <c r="A782" s="71"/>
      <c r="B782" s="71"/>
      <c r="J782" s="71"/>
      <c r="K782" s="71"/>
      <c r="L782" s="71"/>
      <c r="N782" s="71"/>
      <c r="P782" s="71"/>
    </row>
    <row r="783">
      <c r="A783" s="71"/>
      <c r="B783" s="71"/>
      <c r="J783" s="71"/>
      <c r="K783" s="71"/>
      <c r="L783" s="71"/>
      <c r="N783" s="71"/>
      <c r="P783" s="71"/>
    </row>
    <row r="784">
      <c r="A784" s="71"/>
      <c r="B784" s="71"/>
      <c r="J784" s="71"/>
      <c r="K784" s="71"/>
      <c r="L784" s="71"/>
      <c r="N784" s="71"/>
      <c r="P784" s="71"/>
    </row>
    <row r="785">
      <c r="A785" s="71"/>
      <c r="B785" s="71"/>
      <c r="J785" s="71"/>
      <c r="K785" s="71"/>
      <c r="L785" s="71"/>
      <c r="N785" s="71"/>
      <c r="P785" s="71"/>
    </row>
    <row r="786">
      <c r="A786" s="71"/>
      <c r="B786" s="71"/>
      <c r="J786" s="71"/>
      <c r="K786" s="71"/>
      <c r="L786" s="71"/>
      <c r="N786" s="71"/>
      <c r="P786" s="71"/>
    </row>
    <row r="787">
      <c r="A787" s="71"/>
      <c r="B787" s="71"/>
      <c r="J787" s="71"/>
      <c r="K787" s="71"/>
      <c r="L787" s="71"/>
      <c r="N787" s="71"/>
      <c r="P787" s="71"/>
    </row>
    <row r="788">
      <c r="A788" s="71"/>
      <c r="B788" s="71"/>
      <c r="J788" s="71"/>
      <c r="K788" s="71"/>
      <c r="L788" s="71"/>
      <c r="N788" s="71"/>
      <c r="P788" s="71"/>
    </row>
    <row r="789">
      <c r="A789" s="71"/>
      <c r="B789" s="71"/>
      <c r="J789" s="71"/>
      <c r="K789" s="71"/>
      <c r="L789" s="71"/>
      <c r="N789" s="71"/>
      <c r="P789" s="71"/>
    </row>
    <row r="790">
      <c r="A790" s="71"/>
      <c r="B790" s="71"/>
      <c r="J790" s="71"/>
      <c r="K790" s="71"/>
      <c r="L790" s="71"/>
      <c r="N790" s="71"/>
      <c r="P790" s="71"/>
    </row>
    <row r="791">
      <c r="A791" s="71"/>
      <c r="B791" s="71"/>
      <c r="J791" s="71"/>
      <c r="K791" s="71"/>
      <c r="L791" s="71"/>
      <c r="N791" s="71"/>
      <c r="P791" s="71"/>
    </row>
    <row r="792">
      <c r="A792" s="71"/>
      <c r="B792" s="71"/>
      <c r="J792" s="71"/>
      <c r="K792" s="71"/>
      <c r="L792" s="71"/>
      <c r="N792" s="71"/>
      <c r="P792" s="71"/>
    </row>
    <row r="793">
      <c r="A793" s="71"/>
      <c r="B793" s="71"/>
      <c r="J793" s="71"/>
      <c r="K793" s="71"/>
      <c r="L793" s="71"/>
      <c r="N793" s="71"/>
      <c r="P793" s="71"/>
    </row>
    <row r="794">
      <c r="A794" s="71"/>
      <c r="B794" s="71"/>
      <c r="J794" s="71"/>
      <c r="K794" s="71"/>
      <c r="L794" s="71"/>
      <c r="N794" s="71"/>
      <c r="P794" s="71"/>
    </row>
    <row r="795">
      <c r="A795" s="71"/>
      <c r="B795" s="71"/>
      <c r="J795" s="71"/>
      <c r="K795" s="71"/>
      <c r="L795" s="71"/>
      <c r="N795" s="71"/>
      <c r="P795" s="71"/>
    </row>
    <row r="796">
      <c r="A796" s="71"/>
      <c r="B796" s="71"/>
      <c r="J796" s="71"/>
      <c r="K796" s="71"/>
      <c r="L796" s="71"/>
      <c r="N796" s="71"/>
      <c r="P796" s="71"/>
    </row>
    <row r="797">
      <c r="A797" s="71"/>
      <c r="B797" s="71"/>
      <c r="J797" s="71"/>
      <c r="K797" s="71"/>
      <c r="L797" s="71"/>
      <c r="N797" s="71"/>
      <c r="P797" s="71"/>
    </row>
    <row r="798">
      <c r="A798" s="71"/>
      <c r="B798" s="71"/>
      <c r="J798" s="71"/>
      <c r="K798" s="71"/>
      <c r="L798" s="71"/>
      <c r="N798" s="71"/>
      <c r="P798" s="71"/>
    </row>
    <row r="799">
      <c r="A799" s="71"/>
      <c r="B799" s="71"/>
      <c r="J799" s="71"/>
      <c r="K799" s="71"/>
      <c r="L799" s="71"/>
      <c r="N799" s="71"/>
      <c r="P799" s="71"/>
    </row>
    <row r="800">
      <c r="A800" s="71"/>
      <c r="B800" s="71"/>
      <c r="J800" s="71"/>
      <c r="K800" s="71"/>
      <c r="L800" s="71"/>
      <c r="N800" s="71"/>
      <c r="P800" s="71"/>
    </row>
    <row r="801">
      <c r="A801" s="71"/>
      <c r="B801" s="71"/>
      <c r="J801" s="71"/>
      <c r="K801" s="71"/>
      <c r="L801" s="71"/>
      <c r="N801" s="71"/>
      <c r="P801" s="71"/>
    </row>
    <row r="802">
      <c r="A802" s="71"/>
      <c r="B802" s="71"/>
      <c r="J802" s="71"/>
      <c r="K802" s="71"/>
      <c r="L802" s="71"/>
      <c r="N802" s="71"/>
      <c r="P802" s="71"/>
    </row>
    <row r="803">
      <c r="A803" s="71"/>
      <c r="B803" s="71"/>
      <c r="J803" s="71"/>
      <c r="K803" s="71"/>
      <c r="L803" s="71"/>
      <c r="N803" s="71"/>
      <c r="P803" s="71"/>
    </row>
    <row r="804">
      <c r="A804" s="71"/>
      <c r="B804" s="71"/>
      <c r="J804" s="71"/>
      <c r="K804" s="71"/>
      <c r="L804" s="71"/>
      <c r="N804" s="71"/>
      <c r="P804" s="71"/>
    </row>
    <row r="805">
      <c r="A805" s="71"/>
      <c r="B805" s="71"/>
      <c r="J805" s="71"/>
      <c r="K805" s="71"/>
      <c r="L805" s="71"/>
      <c r="N805" s="71"/>
      <c r="P805" s="71"/>
    </row>
    <row r="806">
      <c r="A806" s="71"/>
      <c r="B806" s="71"/>
      <c r="J806" s="71"/>
      <c r="K806" s="71"/>
      <c r="L806" s="71"/>
      <c r="N806" s="71"/>
      <c r="P806" s="71"/>
    </row>
    <row r="807">
      <c r="A807" s="71"/>
      <c r="B807" s="71"/>
      <c r="J807" s="71"/>
      <c r="K807" s="71"/>
      <c r="L807" s="71"/>
      <c r="N807" s="71"/>
      <c r="P807" s="71"/>
    </row>
    <row r="808">
      <c r="A808" s="71"/>
      <c r="B808" s="71"/>
      <c r="J808" s="71"/>
      <c r="K808" s="71"/>
      <c r="L808" s="71"/>
      <c r="N808" s="71"/>
      <c r="P808" s="71"/>
    </row>
    <row r="809">
      <c r="A809" s="71"/>
      <c r="B809" s="71"/>
      <c r="J809" s="71"/>
      <c r="K809" s="71"/>
      <c r="L809" s="71"/>
      <c r="N809" s="71"/>
      <c r="P809" s="71"/>
    </row>
    <row r="810">
      <c r="A810" s="71"/>
      <c r="B810" s="71"/>
      <c r="J810" s="71"/>
      <c r="K810" s="71"/>
      <c r="L810" s="71"/>
      <c r="N810" s="71"/>
      <c r="P810" s="71"/>
    </row>
    <row r="811">
      <c r="A811" s="71"/>
      <c r="B811" s="71"/>
      <c r="J811" s="71"/>
      <c r="K811" s="71"/>
      <c r="L811" s="71"/>
      <c r="N811" s="71"/>
      <c r="P811" s="71"/>
    </row>
    <row r="812">
      <c r="A812" s="71"/>
      <c r="B812" s="71"/>
      <c r="J812" s="71"/>
      <c r="K812" s="71"/>
      <c r="L812" s="71"/>
      <c r="N812" s="71"/>
      <c r="P812" s="71"/>
    </row>
    <row r="813">
      <c r="A813" s="71"/>
      <c r="B813" s="71"/>
      <c r="J813" s="71"/>
      <c r="K813" s="71"/>
      <c r="L813" s="71"/>
      <c r="N813" s="71"/>
      <c r="P813" s="71"/>
    </row>
    <row r="814">
      <c r="A814" s="71"/>
      <c r="B814" s="71"/>
      <c r="J814" s="71"/>
      <c r="K814" s="71"/>
      <c r="L814" s="71"/>
      <c r="N814" s="71"/>
      <c r="P814" s="71"/>
    </row>
    <row r="815">
      <c r="A815" s="71"/>
      <c r="B815" s="71"/>
      <c r="J815" s="71"/>
      <c r="K815" s="71"/>
      <c r="L815" s="71"/>
      <c r="N815" s="71"/>
      <c r="P815" s="71"/>
    </row>
    <row r="816">
      <c r="A816" s="71"/>
      <c r="B816" s="71"/>
      <c r="J816" s="71"/>
      <c r="K816" s="71"/>
      <c r="L816" s="71"/>
      <c r="N816" s="71"/>
      <c r="P816" s="71"/>
    </row>
    <row r="817">
      <c r="A817" s="71"/>
      <c r="B817" s="71"/>
      <c r="J817" s="71"/>
      <c r="K817" s="71"/>
      <c r="L817" s="71"/>
      <c r="N817" s="71"/>
      <c r="P817" s="71"/>
    </row>
    <row r="818">
      <c r="A818" s="71"/>
      <c r="B818" s="71"/>
      <c r="J818" s="71"/>
      <c r="K818" s="71"/>
      <c r="L818" s="71"/>
      <c r="N818" s="71"/>
      <c r="P818" s="71"/>
    </row>
    <row r="819">
      <c r="A819" s="71"/>
      <c r="B819" s="71"/>
      <c r="J819" s="71"/>
      <c r="K819" s="71"/>
      <c r="L819" s="71"/>
      <c r="N819" s="71"/>
      <c r="P819" s="71"/>
    </row>
    <row r="820">
      <c r="A820" s="71"/>
      <c r="B820" s="71"/>
      <c r="J820" s="71"/>
      <c r="K820" s="71"/>
      <c r="L820" s="71"/>
      <c r="N820" s="71"/>
      <c r="P820" s="71"/>
    </row>
    <row r="821">
      <c r="A821" s="71"/>
      <c r="B821" s="71"/>
      <c r="J821" s="71"/>
      <c r="K821" s="71"/>
      <c r="L821" s="71"/>
      <c r="N821" s="71"/>
      <c r="P821" s="71"/>
    </row>
    <row r="822">
      <c r="A822" s="71"/>
      <c r="B822" s="71"/>
      <c r="J822" s="71"/>
      <c r="K822" s="71"/>
      <c r="L822" s="71"/>
      <c r="N822" s="71"/>
      <c r="P822" s="71"/>
    </row>
    <row r="823">
      <c r="A823" s="71"/>
      <c r="B823" s="71"/>
      <c r="J823" s="71"/>
      <c r="K823" s="71"/>
      <c r="L823" s="71"/>
      <c r="N823" s="71"/>
      <c r="P823" s="71"/>
    </row>
    <row r="824">
      <c r="A824" s="71"/>
      <c r="B824" s="71"/>
      <c r="J824" s="71"/>
      <c r="K824" s="71"/>
      <c r="L824" s="71"/>
      <c r="N824" s="71"/>
      <c r="P824" s="71"/>
    </row>
    <row r="825">
      <c r="A825" s="71"/>
      <c r="B825" s="71"/>
      <c r="J825" s="71"/>
      <c r="K825" s="71"/>
      <c r="L825" s="71"/>
      <c r="N825" s="71"/>
      <c r="P825" s="71"/>
    </row>
    <row r="826">
      <c r="A826" s="71"/>
      <c r="B826" s="71"/>
      <c r="J826" s="71"/>
      <c r="K826" s="71"/>
      <c r="L826" s="71"/>
      <c r="N826" s="71"/>
      <c r="P826" s="71"/>
    </row>
    <row r="827">
      <c r="A827" s="71"/>
      <c r="B827" s="71"/>
      <c r="J827" s="71"/>
      <c r="K827" s="71"/>
      <c r="L827" s="71"/>
      <c r="N827" s="71"/>
      <c r="P827" s="71"/>
    </row>
    <row r="828">
      <c r="A828" s="71"/>
      <c r="B828" s="71"/>
      <c r="J828" s="71"/>
      <c r="K828" s="71"/>
      <c r="L828" s="71"/>
      <c r="N828" s="71"/>
      <c r="P828" s="71"/>
    </row>
    <row r="829">
      <c r="A829" s="71"/>
      <c r="B829" s="71"/>
      <c r="J829" s="71"/>
      <c r="K829" s="71"/>
      <c r="L829" s="71"/>
      <c r="N829" s="71"/>
      <c r="P829" s="71"/>
    </row>
    <row r="830">
      <c r="A830" s="71"/>
      <c r="B830" s="71"/>
      <c r="J830" s="71"/>
      <c r="K830" s="71"/>
      <c r="L830" s="71"/>
      <c r="N830" s="71"/>
      <c r="P830" s="71"/>
    </row>
    <row r="831">
      <c r="A831" s="71"/>
      <c r="B831" s="71"/>
      <c r="J831" s="71"/>
      <c r="K831" s="71"/>
      <c r="L831" s="71"/>
      <c r="N831" s="71"/>
      <c r="P831" s="71"/>
    </row>
    <row r="832">
      <c r="A832" s="71"/>
      <c r="B832" s="71"/>
      <c r="J832" s="71"/>
      <c r="K832" s="71"/>
      <c r="L832" s="71"/>
      <c r="N832" s="71"/>
      <c r="P832" s="71"/>
    </row>
    <row r="833">
      <c r="A833" s="71"/>
      <c r="B833" s="71"/>
      <c r="J833" s="71"/>
      <c r="K833" s="71"/>
      <c r="L833" s="71"/>
      <c r="N833" s="71"/>
      <c r="P833" s="71"/>
    </row>
    <row r="834">
      <c r="A834" s="71"/>
      <c r="B834" s="71"/>
      <c r="J834" s="71"/>
      <c r="K834" s="71"/>
      <c r="L834" s="71"/>
      <c r="N834" s="71"/>
      <c r="P834" s="71"/>
    </row>
    <row r="835">
      <c r="A835" s="71"/>
      <c r="B835" s="71"/>
      <c r="J835" s="71"/>
      <c r="K835" s="71"/>
      <c r="L835" s="71"/>
      <c r="N835" s="71"/>
      <c r="P835" s="71"/>
    </row>
    <row r="836">
      <c r="A836" s="71"/>
      <c r="B836" s="71"/>
      <c r="J836" s="71"/>
      <c r="K836" s="71"/>
      <c r="L836" s="71"/>
      <c r="N836" s="71"/>
      <c r="P836" s="71"/>
    </row>
    <row r="837">
      <c r="A837" s="71"/>
      <c r="B837" s="71"/>
      <c r="J837" s="71"/>
      <c r="K837" s="71"/>
      <c r="L837" s="71"/>
      <c r="N837" s="71"/>
      <c r="P837" s="71"/>
    </row>
    <row r="838">
      <c r="A838" s="71"/>
      <c r="B838" s="71"/>
      <c r="J838" s="71"/>
      <c r="K838" s="71"/>
      <c r="L838" s="71"/>
      <c r="N838" s="71"/>
      <c r="P838" s="71"/>
    </row>
    <row r="839">
      <c r="A839" s="71"/>
      <c r="B839" s="71"/>
      <c r="J839" s="71"/>
      <c r="K839" s="71"/>
      <c r="L839" s="71"/>
      <c r="N839" s="71"/>
      <c r="P839" s="71"/>
    </row>
    <row r="840">
      <c r="A840" s="71"/>
      <c r="B840" s="71"/>
      <c r="J840" s="71"/>
      <c r="K840" s="71"/>
      <c r="L840" s="71"/>
      <c r="N840" s="71"/>
      <c r="P840" s="71"/>
    </row>
    <row r="841">
      <c r="A841" s="71"/>
      <c r="B841" s="71"/>
      <c r="J841" s="71"/>
      <c r="K841" s="71"/>
      <c r="L841" s="71"/>
      <c r="N841" s="71"/>
      <c r="P841" s="71"/>
    </row>
    <row r="842">
      <c r="A842" s="71"/>
      <c r="B842" s="71"/>
      <c r="J842" s="71"/>
      <c r="K842" s="71"/>
      <c r="L842" s="71"/>
      <c r="N842" s="71"/>
      <c r="P842" s="71"/>
    </row>
    <row r="843">
      <c r="A843" s="71"/>
      <c r="B843" s="71"/>
      <c r="J843" s="71"/>
      <c r="K843" s="71"/>
      <c r="L843" s="71"/>
      <c r="N843" s="71"/>
      <c r="P843" s="71"/>
    </row>
    <row r="844">
      <c r="A844" s="71"/>
      <c r="B844" s="71"/>
      <c r="J844" s="71"/>
      <c r="K844" s="71"/>
      <c r="L844" s="71"/>
      <c r="N844" s="71"/>
      <c r="P844" s="71"/>
    </row>
    <row r="845">
      <c r="A845" s="71"/>
      <c r="B845" s="71"/>
      <c r="J845" s="71"/>
      <c r="K845" s="71"/>
      <c r="L845" s="71"/>
      <c r="N845" s="71"/>
      <c r="P845" s="71"/>
    </row>
    <row r="846">
      <c r="A846" s="71"/>
      <c r="B846" s="71"/>
      <c r="J846" s="71"/>
      <c r="K846" s="71"/>
      <c r="L846" s="71"/>
      <c r="N846" s="71"/>
      <c r="P846" s="71"/>
    </row>
    <row r="847">
      <c r="A847" s="71"/>
      <c r="B847" s="71"/>
      <c r="J847" s="71"/>
      <c r="K847" s="71"/>
      <c r="L847" s="71"/>
      <c r="N847" s="71"/>
      <c r="P847" s="71"/>
    </row>
    <row r="848">
      <c r="A848" s="71"/>
      <c r="B848" s="71"/>
      <c r="J848" s="71"/>
      <c r="K848" s="71"/>
      <c r="L848" s="71"/>
      <c r="N848" s="71"/>
      <c r="P848" s="71"/>
    </row>
    <row r="849">
      <c r="A849" s="71"/>
      <c r="B849" s="71"/>
      <c r="J849" s="71"/>
      <c r="K849" s="71"/>
      <c r="L849" s="71"/>
      <c r="N849" s="71"/>
      <c r="P849" s="71"/>
    </row>
    <row r="850">
      <c r="A850" s="71"/>
      <c r="B850" s="71"/>
      <c r="J850" s="71"/>
      <c r="K850" s="71"/>
      <c r="L850" s="71"/>
      <c r="N850" s="71"/>
      <c r="P850" s="71"/>
    </row>
    <row r="851">
      <c r="A851" s="71"/>
      <c r="B851" s="71"/>
      <c r="J851" s="71"/>
      <c r="K851" s="71"/>
      <c r="L851" s="71"/>
      <c r="N851" s="71"/>
      <c r="P851" s="71"/>
    </row>
    <row r="852">
      <c r="A852" s="71"/>
      <c r="B852" s="71"/>
      <c r="J852" s="71"/>
      <c r="K852" s="71"/>
      <c r="L852" s="71"/>
      <c r="N852" s="71"/>
      <c r="P852" s="71"/>
    </row>
    <row r="853">
      <c r="A853" s="71"/>
      <c r="B853" s="71"/>
      <c r="J853" s="71"/>
      <c r="K853" s="71"/>
      <c r="L853" s="71"/>
      <c r="N853" s="71"/>
      <c r="P853" s="71"/>
    </row>
    <row r="854">
      <c r="A854" s="71"/>
      <c r="B854" s="71"/>
      <c r="J854" s="71"/>
      <c r="K854" s="71"/>
      <c r="L854" s="71"/>
      <c r="N854" s="71"/>
      <c r="P854" s="71"/>
    </row>
    <row r="855">
      <c r="A855" s="71"/>
      <c r="B855" s="71"/>
      <c r="J855" s="71"/>
      <c r="K855" s="71"/>
      <c r="L855" s="71"/>
      <c r="N855" s="71"/>
      <c r="P855" s="71"/>
    </row>
    <row r="856">
      <c r="A856" s="71"/>
      <c r="B856" s="71"/>
      <c r="J856" s="71"/>
      <c r="K856" s="71"/>
      <c r="L856" s="71"/>
      <c r="N856" s="71"/>
      <c r="P856" s="71"/>
    </row>
    <row r="857">
      <c r="A857" s="71"/>
      <c r="B857" s="71"/>
      <c r="J857" s="71"/>
      <c r="K857" s="71"/>
      <c r="L857" s="71"/>
      <c r="N857" s="71"/>
      <c r="P857" s="71"/>
    </row>
    <row r="858">
      <c r="A858" s="71"/>
      <c r="B858" s="71"/>
      <c r="J858" s="71"/>
      <c r="K858" s="71"/>
      <c r="L858" s="71"/>
      <c r="N858" s="71"/>
      <c r="P858" s="71"/>
    </row>
    <row r="859">
      <c r="A859" s="71"/>
      <c r="B859" s="71"/>
      <c r="J859" s="71"/>
      <c r="K859" s="71"/>
      <c r="L859" s="71"/>
      <c r="N859" s="71"/>
      <c r="P859" s="71"/>
    </row>
    <row r="860">
      <c r="A860" s="71"/>
      <c r="B860" s="71"/>
      <c r="J860" s="71"/>
      <c r="K860" s="71"/>
      <c r="L860" s="71"/>
      <c r="N860" s="71"/>
      <c r="P860" s="71"/>
    </row>
    <row r="861">
      <c r="A861" s="71"/>
      <c r="B861" s="71"/>
      <c r="J861" s="71"/>
      <c r="K861" s="71"/>
      <c r="L861" s="71"/>
      <c r="N861" s="71"/>
      <c r="P861" s="71"/>
    </row>
    <row r="862">
      <c r="A862" s="71"/>
      <c r="B862" s="71"/>
      <c r="J862" s="71"/>
      <c r="K862" s="71"/>
      <c r="L862" s="71"/>
      <c r="N862" s="71"/>
      <c r="P862" s="71"/>
    </row>
    <row r="863">
      <c r="A863" s="71"/>
      <c r="B863" s="71"/>
      <c r="J863" s="71"/>
      <c r="K863" s="71"/>
      <c r="L863" s="71"/>
      <c r="N863" s="71"/>
      <c r="P863" s="71"/>
    </row>
    <row r="864">
      <c r="A864" s="71"/>
      <c r="B864" s="71"/>
      <c r="J864" s="71"/>
      <c r="K864" s="71"/>
      <c r="L864" s="71"/>
      <c r="N864" s="71"/>
      <c r="P864" s="71"/>
    </row>
    <row r="865">
      <c r="A865" s="71"/>
      <c r="B865" s="71"/>
      <c r="J865" s="71"/>
      <c r="K865" s="71"/>
      <c r="L865" s="71"/>
      <c r="N865" s="71"/>
      <c r="P865" s="71"/>
    </row>
    <row r="866">
      <c r="A866" s="71"/>
      <c r="B866" s="71"/>
      <c r="J866" s="71"/>
      <c r="K866" s="71"/>
      <c r="L866" s="71"/>
      <c r="N866" s="71"/>
      <c r="P866" s="71"/>
    </row>
    <row r="867">
      <c r="A867" s="71"/>
      <c r="B867" s="71"/>
      <c r="J867" s="71"/>
      <c r="K867" s="71"/>
      <c r="L867" s="71"/>
      <c r="N867" s="71"/>
      <c r="P867" s="71"/>
    </row>
    <row r="868">
      <c r="A868" s="71"/>
      <c r="B868" s="71"/>
      <c r="J868" s="71"/>
      <c r="K868" s="71"/>
      <c r="L868" s="71"/>
      <c r="N868" s="71"/>
      <c r="P868" s="71"/>
    </row>
    <row r="869">
      <c r="A869" s="71"/>
      <c r="B869" s="71"/>
      <c r="J869" s="71"/>
      <c r="K869" s="71"/>
      <c r="L869" s="71"/>
      <c r="N869" s="71"/>
      <c r="P869" s="71"/>
    </row>
    <row r="870">
      <c r="A870" s="71"/>
      <c r="B870" s="71"/>
      <c r="J870" s="71"/>
      <c r="K870" s="71"/>
      <c r="L870" s="71"/>
      <c r="N870" s="71"/>
      <c r="P870" s="71"/>
    </row>
    <row r="871">
      <c r="A871" s="71"/>
      <c r="B871" s="71"/>
      <c r="J871" s="71"/>
      <c r="K871" s="71"/>
      <c r="L871" s="71"/>
      <c r="N871" s="71"/>
      <c r="P871" s="71"/>
    </row>
    <row r="872">
      <c r="A872" s="71"/>
      <c r="B872" s="71"/>
      <c r="J872" s="71"/>
      <c r="K872" s="71"/>
      <c r="L872" s="71"/>
      <c r="N872" s="71"/>
      <c r="P872" s="71"/>
    </row>
    <row r="873">
      <c r="A873" s="71"/>
      <c r="B873" s="71"/>
      <c r="J873" s="71"/>
      <c r="K873" s="71"/>
      <c r="L873" s="71"/>
      <c r="N873" s="71"/>
      <c r="P873" s="71"/>
    </row>
    <row r="874">
      <c r="A874" s="71"/>
      <c r="B874" s="71"/>
      <c r="J874" s="71"/>
      <c r="K874" s="71"/>
      <c r="L874" s="71"/>
      <c r="N874" s="71"/>
      <c r="P874" s="71"/>
    </row>
    <row r="875">
      <c r="A875" s="71"/>
      <c r="B875" s="71"/>
      <c r="J875" s="71"/>
      <c r="K875" s="71"/>
      <c r="L875" s="71"/>
      <c r="N875" s="71"/>
      <c r="P875" s="71"/>
    </row>
    <row r="876">
      <c r="A876" s="71"/>
      <c r="B876" s="71"/>
      <c r="J876" s="71"/>
      <c r="K876" s="71"/>
      <c r="L876" s="71"/>
      <c r="N876" s="71"/>
      <c r="P876" s="71"/>
    </row>
    <row r="877">
      <c r="A877" s="71"/>
      <c r="B877" s="71"/>
      <c r="J877" s="71"/>
      <c r="K877" s="71"/>
      <c r="L877" s="71"/>
      <c r="N877" s="71"/>
      <c r="P877" s="71"/>
    </row>
    <row r="878">
      <c r="A878" s="71"/>
      <c r="B878" s="71"/>
      <c r="J878" s="71"/>
      <c r="K878" s="71"/>
      <c r="L878" s="71"/>
      <c r="N878" s="71"/>
      <c r="P878" s="71"/>
    </row>
    <row r="879">
      <c r="A879" s="71"/>
      <c r="B879" s="71"/>
      <c r="J879" s="71"/>
      <c r="K879" s="71"/>
      <c r="L879" s="71"/>
      <c r="N879" s="71"/>
      <c r="P879" s="71"/>
    </row>
    <row r="880">
      <c r="A880" s="71"/>
      <c r="B880" s="71"/>
      <c r="J880" s="71"/>
      <c r="K880" s="71"/>
      <c r="L880" s="71"/>
      <c r="N880" s="71"/>
      <c r="P880" s="71"/>
    </row>
    <row r="881">
      <c r="A881" s="71"/>
      <c r="B881" s="71"/>
      <c r="J881" s="71"/>
      <c r="K881" s="71"/>
      <c r="L881" s="71"/>
      <c r="N881" s="71"/>
      <c r="P881" s="71"/>
    </row>
    <row r="882">
      <c r="A882" s="71"/>
      <c r="B882" s="71"/>
      <c r="J882" s="71"/>
      <c r="K882" s="71"/>
      <c r="L882" s="71"/>
      <c r="N882" s="71"/>
      <c r="P882" s="71"/>
    </row>
    <row r="883">
      <c r="A883" s="71"/>
      <c r="B883" s="71"/>
      <c r="J883" s="71"/>
      <c r="K883" s="71"/>
      <c r="L883" s="71"/>
      <c r="N883" s="71"/>
      <c r="P883" s="71"/>
    </row>
    <row r="884">
      <c r="A884" s="71"/>
      <c r="B884" s="71"/>
      <c r="J884" s="71"/>
      <c r="K884" s="71"/>
      <c r="L884" s="71"/>
      <c r="N884" s="71"/>
      <c r="P884" s="71"/>
    </row>
    <row r="885">
      <c r="A885" s="71"/>
      <c r="B885" s="71"/>
      <c r="J885" s="71"/>
      <c r="K885" s="71"/>
      <c r="L885" s="71"/>
      <c r="N885" s="71"/>
      <c r="P885" s="71"/>
    </row>
    <row r="886">
      <c r="A886" s="71"/>
      <c r="B886" s="71"/>
      <c r="J886" s="71"/>
      <c r="K886" s="71"/>
      <c r="L886" s="71"/>
      <c r="N886" s="71"/>
      <c r="P886" s="71"/>
    </row>
    <row r="887">
      <c r="A887" s="71"/>
      <c r="B887" s="71"/>
      <c r="J887" s="71"/>
      <c r="K887" s="71"/>
      <c r="L887" s="71"/>
      <c r="N887" s="71"/>
      <c r="P887" s="71"/>
    </row>
    <row r="888">
      <c r="A888" s="71"/>
      <c r="B888" s="71"/>
      <c r="J888" s="71"/>
      <c r="K888" s="71"/>
      <c r="L888" s="71"/>
      <c r="N888" s="71"/>
      <c r="P888" s="71"/>
    </row>
    <row r="889">
      <c r="A889" s="71"/>
      <c r="B889" s="71"/>
      <c r="J889" s="71"/>
      <c r="K889" s="71"/>
      <c r="L889" s="71"/>
      <c r="N889" s="71"/>
      <c r="P889" s="71"/>
    </row>
    <row r="890">
      <c r="A890" s="71"/>
      <c r="B890" s="71"/>
      <c r="J890" s="71"/>
      <c r="K890" s="71"/>
      <c r="L890" s="71"/>
      <c r="N890" s="71"/>
      <c r="P890" s="71"/>
    </row>
    <row r="891">
      <c r="A891" s="71"/>
      <c r="B891" s="71"/>
      <c r="J891" s="71"/>
      <c r="K891" s="71"/>
      <c r="L891" s="71"/>
      <c r="N891" s="71"/>
      <c r="P891" s="71"/>
    </row>
    <row r="892">
      <c r="A892" s="71"/>
      <c r="B892" s="71"/>
      <c r="J892" s="71"/>
      <c r="K892" s="71"/>
      <c r="L892" s="71"/>
      <c r="N892" s="71"/>
      <c r="P892" s="71"/>
    </row>
    <row r="893">
      <c r="A893" s="71"/>
      <c r="B893" s="71"/>
      <c r="J893" s="71"/>
      <c r="K893" s="71"/>
      <c r="L893" s="71"/>
      <c r="N893" s="71"/>
      <c r="P893" s="71"/>
    </row>
    <row r="894">
      <c r="A894" s="71"/>
      <c r="B894" s="71"/>
      <c r="J894" s="71"/>
      <c r="K894" s="71"/>
      <c r="L894" s="71"/>
      <c r="N894" s="71"/>
      <c r="P894" s="71"/>
    </row>
    <row r="895">
      <c r="A895" s="71"/>
      <c r="B895" s="71"/>
      <c r="J895" s="71"/>
      <c r="K895" s="71"/>
      <c r="L895" s="71"/>
      <c r="N895" s="71"/>
      <c r="P895" s="71"/>
    </row>
    <row r="896">
      <c r="A896" s="71"/>
      <c r="B896" s="71"/>
      <c r="J896" s="71"/>
      <c r="K896" s="71"/>
      <c r="L896" s="71"/>
      <c r="N896" s="71"/>
      <c r="P896" s="71"/>
    </row>
    <row r="897">
      <c r="A897" s="71"/>
      <c r="B897" s="71"/>
      <c r="J897" s="71"/>
      <c r="K897" s="71"/>
      <c r="L897" s="71"/>
      <c r="N897" s="71"/>
      <c r="P897" s="71"/>
    </row>
    <row r="898">
      <c r="A898" s="71"/>
      <c r="B898" s="71"/>
      <c r="J898" s="71"/>
      <c r="K898" s="71"/>
      <c r="L898" s="71"/>
      <c r="N898" s="71"/>
      <c r="P898" s="71"/>
    </row>
    <row r="899">
      <c r="A899" s="71"/>
      <c r="B899" s="71"/>
      <c r="J899" s="71"/>
      <c r="K899" s="71"/>
      <c r="L899" s="71"/>
      <c r="N899" s="71"/>
      <c r="P899" s="71"/>
    </row>
    <row r="900">
      <c r="A900" s="71"/>
      <c r="B900" s="71"/>
      <c r="J900" s="71"/>
      <c r="K900" s="71"/>
      <c r="L900" s="71"/>
      <c r="N900" s="71"/>
      <c r="P900" s="71"/>
    </row>
    <row r="901">
      <c r="A901" s="71"/>
      <c r="B901" s="71"/>
      <c r="J901" s="71"/>
      <c r="K901" s="71"/>
      <c r="L901" s="71"/>
      <c r="N901" s="71"/>
      <c r="P901" s="71"/>
    </row>
    <row r="902">
      <c r="A902" s="71"/>
      <c r="B902" s="71"/>
      <c r="J902" s="71"/>
      <c r="K902" s="71"/>
      <c r="L902" s="71"/>
      <c r="N902" s="71"/>
      <c r="P902" s="71"/>
    </row>
    <row r="903">
      <c r="A903" s="71"/>
      <c r="B903" s="71"/>
      <c r="J903" s="71"/>
      <c r="K903" s="71"/>
      <c r="L903" s="71"/>
      <c r="N903" s="71"/>
      <c r="P903" s="71"/>
    </row>
    <row r="904">
      <c r="A904" s="71"/>
      <c r="B904" s="71"/>
      <c r="J904" s="71"/>
      <c r="K904" s="71"/>
      <c r="L904" s="71"/>
      <c r="N904" s="71"/>
      <c r="P904" s="71"/>
    </row>
    <row r="905">
      <c r="A905" s="71"/>
      <c r="B905" s="71"/>
      <c r="J905" s="71"/>
      <c r="K905" s="71"/>
      <c r="L905" s="71"/>
      <c r="N905" s="71"/>
      <c r="P905" s="71"/>
    </row>
    <row r="906">
      <c r="A906" s="71"/>
      <c r="B906" s="71"/>
      <c r="J906" s="71"/>
      <c r="K906" s="71"/>
      <c r="L906" s="71"/>
      <c r="N906" s="71"/>
      <c r="P906" s="71"/>
    </row>
    <row r="907">
      <c r="A907" s="71"/>
      <c r="B907" s="71"/>
      <c r="J907" s="71"/>
      <c r="K907" s="71"/>
      <c r="L907" s="71"/>
      <c r="N907" s="71"/>
      <c r="P907" s="71"/>
    </row>
    <row r="908">
      <c r="A908" s="71"/>
      <c r="B908" s="71"/>
      <c r="J908" s="71"/>
      <c r="K908" s="71"/>
      <c r="L908" s="71"/>
      <c r="N908" s="71"/>
      <c r="P908" s="71"/>
    </row>
    <row r="909">
      <c r="A909" s="71"/>
      <c r="B909" s="71"/>
      <c r="J909" s="71"/>
      <c r="K909" s="71"/>
      <c r="L909" s="71"/>
      <c r="N909" s="71"/>
      <c r="P909" s="71"/>
    </row>
    <row r="910">
      <c r="A910" s="71"/>
      <c r="B910" s="71"/>
      <c r="J910" s="71"/>
      <c r="K910" s="71"/>
      <c r="L910" s="71"/>
      <c r="N910" s="71"/>
      <c r="P910" s="71"/>
    </row>
    <row r="911">
      <c r="A911" s="71"/>
      <c r="B911" s="71"/>
      <c r="J911" s="71"/>
      <c r="K911" s="71"/>
      <c r="L911" s="71"/>
      <c r="N911" s="71"/>
      <c r="P911" s="71"/>
    </row>
    <row r="912">
      <c r="A912" s="71"/>
      <c r="B912" s="71"/>
      <c r="J912" s="71"/>
      <c r="K912" s="71"/>
      <c r="L912" s="71"/>
      <c r="N912" s="71"/>
      <c r="P912" s="71"/>
    </row>
    <row r="913">
      <c r="A913" s="71"/>
      <c r="B913" s="71"/>
      <c r="J913" s="71"/>
      <c r="K913" s="71"/>
      <c r="L913" s="71"/>
      <c r="N913" s="71"/>
      <c r="P913" s="71"/>
    </row>
    <row r="914">
      <c r="A914" s="71"/>
      <c r="B914" s="71"/>
      <c r="J914" s="71"/>
      <c r="K914" s="71"/>
      <c r="L914" s="71"/>
      <c r="N914" s="71"/>
      <c r="P914" s="71"/>
    </row>
    <row r="915">
      <c r="A915" s="71"/>
      <c r="B915" s="71"/>
      <c r="J915" s="71"/>
      <c r="K915" s="71"/>
      <c r="L915" s="71"/>
      <c r="N915" s="71"/>
      <c r="P915" s="71"/>
    </row>
    <row r="916">
      <c r="A916" s="71"/>
      <c r="B916" s="71"/>
      <c r="J916" s="71"/>
      <c r="K916" s="71"/>
      <c r="L916" s="71"/>
      <c r="N916" s="71"/>
      <c r="P916" s="71"/>
    </row>
    <row r="917">
      <c r="A917" s="71"/>
      <c r="B917" s="71"/>
      <c r="J917" s="71"/>
      <c r="K917" s="71"/>
      <c r="L917" s="71"/>
      <c r="N917" s="71"/>
      <c r="P917" s="71"/>
    </row>
    <row r="918">
      <c r="A918" s="71"/>
      <c r="B918" s="71"/>
      <c r="J918" s="71"/>
      <c r="K918" s="71"/>
      <c r="L918" s="71"/>
      <c r="N918" s="71"/>
      <c r="P918" s="71"/>
    </row>
    <row r="919">
      <c r="A919" s="71"/>
      <c r="B919" s="71"/>
      <c r="J919" s="71"/>
      <c r="K919" s="71"/>
      <c r="L919" s="71"/>
      <c r="N919" s="71"/>
      <c r="P919" s="71"/>
    </row>
    <row r="920">
      <c r="A920" s="71"/>
      <c r="B920" s="71"/>
      <c r="J920" s="71"/>
      <c r="K920" s="71"/>
      <c r="L920" s="71"/>
      <c r="N920" s="71"/>
      <c r="P920" s="71"/>
    </row>
    <row r="921">
      <c r="A921" s="71"/>
      <c r="B921" s="71"/>
      <c r="J921" s="71"/>
      <c r="K921" s="71"/>
      <c r="L921" s="71"/>
      <c r="N921" s="71"/>
      <c r="P921" s="71"/>
    </row>
    <row r="922">
      <c r="A922" s="71"/>
      <c r="B922" s="71"/>
      <c r="J922" s="71"/>
      <c r="K922" s="71"/>
      <c r="L922" s="71"/>
      <c r="N922" s="71"/>
      <c r="P922" s="71"/>
    </row>
    <row r="923">
      <c r="A923" s="71"/>
      <c r="B923" s="71"/>
      <c r="J923" s="71"/>
      <c r="K923" s="71"/>
      <c r="L923" s="71"/>
      <c r="N923" s="71"/>
      <c r="P923" s="71"/>
    </row>
    <row r="924">
      <c r="A924" s="71"/>
      <c r="B924" s="71"/>
      <c r="J924" s="71"/>
      <c r="K924" s="71"/>
      <c r="L924" s="71"/>
      <c r="N924" s="71"/>
      <c r="P924" s="71"/>
    </row>
    <row r="925">
      <c r="A925" s="71"/>
      <c r="B925" s="71"/>
      <c r="J925" s="71"/>
      <c r="K925" s="71"/>
      <c r="L925" s="71"/>
      <c r="N925" s="71"/>
      <c r="P925" s="71"/>
    </row>
    <row r="926">
      <c r="A926" s="71"/>
      <c r="B926" s="71"/>
      <c r="J926" s="71"/>
      <c r="K926" s="71"/>
      <c r="L926" s="71"/>
      <c r="N926" s="71"/>
      <c r="P926" s="71"/>
    </row>
    <row r="927">
      <c r="A927" s="71"/>
      <c r="B927" s="71"/>
      <c r="J927" s="71"/>
      <c r="K927" s="71"/>
      <c r="L927" s="71"/>
      <c r="N927" s="71"/>
      <c r="P927" s="71"/>
    </row>
    <row r="928">
      <c r="A928" s="71"/>
      <c r="B928" s="71"/>
      <c r="J928" s="71"/>
      <c r="K928" s="71"/>
      <c r="L928" s="71"/>
      <c r="N928" s="71"/>
      <c r="P928" s="71"/>
    </row>
    <row r="929">
      <c r="A929" s="71"/>
      <c r="B929" s="71"/>
      <c r="J929" s="71"/>
      <c r="K929" s="71"/>
      <c r="L929" s="71"/>
      <c r="N929" s="71"/>
      <c r="P929" s="71"/>
    </row>
    <row r="930">
      <c r="A930" s="71"/>
      <c r="B930" s="71"/>
      <c r="J930" s="71"/>
      <c r="K930" s="71"/>
      <c r="L930" s="71"/>
      <c r="N930" s="71"/>
      <c r="P930" s="71"/>
    </row>
    <row r="931">
      <c r="A931" s="71"/>
      <c r="B931" s="71"/>
      <c r="J931" s="71"/>
      <c r="K931" s="71"/>
      <c r="L931" s="71"/>
      <c r="N931" s="71"/>
      <c r="P931" s="71"/>
    </row>
    <row r="932">
      <c r="A932" s="71"/>
      <c r="B932" s="71"/>
      <c r="J932" s="71"/>
      <c r="K932" s="71"/>
      <c r="L932" s="71"/>
      <c r="N932" s="71"/>
      <c r="P932" s="71"/>
    </row>
    <row r="933">
      <c r="A933" s="71"/>
      <c r="B933" s="71"/>
      <c r="J933" s="71"/>
      <c r="K933" s="71"/>
      <c r="L933" s="71"/>
      <c r="N933" s="71"/>
      <c r="P933" s="71"/>
    </row>
    <row r="934">
      <c r="A934" s="71"/>
      <c r="B934" s="71"/>
      <c r="J934" s="71"/>
      <c r="K934" s="71"/>
      <c r="L934" s="71"/>
      <c r="N934" s="71"/>
      <c r="P934" s="71"/>
    </row>
    <row r="935">
      <c r="A935" s="71"/>
      <c r="B935" s="71"/>
      <c r="J935" s="71"/>
      <c r="K935" s="71"/>
      <c r="L935" s="71"/>
      <c r="N935" s="71"/>
      <c r="P935" s="71"/>
    </row>
    <row r="936">
      <c r="A936" s="71"/>
      <c r="B936" s="71"/>
      <c r="J936" s="71"/>
      <c r="K936" s="71"/>
      <c r="L936" s="71"/>
      <c r="N936" s="71"/>
      <c r="P936" s="71"/>
    </row>
    <row r="937">
      <c r="A937" s="71"/>
      <c r="B937" s="71"/>
      <c r="J937" s="71"/>
      <c r="K937" s="71"/>
      <c r="L937" s="71"/>
      <c r="N937" s="71"/>
      <c r="P937" s="71"/>
    </row>
    <row r="938">
      <c r="A938" s="71"/>
      <c r="B938" s="71"/>
      <c r="J938" s="71"/>
      <c r="K938" s="71"/>
      <c r="L938" s="71"/>
      <c r="N938" s="71"/>
      <c r="P938" s="71"/>
    </row>
    <row r="939">
      <c r="A939" s="71"/>
      <c r="B939" s="71"/>
      <c r="J939" s="71"/>
      <c r="K939" s="71"/>
      <c r="L939" s="71"/>
      <c r="N939" s="71"/>
      <c r="P939" s="71"/>
    </row>
    <row r="940">
      <c r="A940" s="71"/>
      <c r="B940" s="71"/>
      <c r="J940" s="71"/>
      <c r="K940" s="71"/>
      <c r="L940" s="71"/>
      <c r="N940" s="71"/>
      <c r="P940" s="71"/>
    </row>
    <row r="941">
      <c r="A941" s="71"/>
      <c r="B941" s="71"/>
      <c r="J941" s="71"/>
      <c r="K941" s="71"/>
      <c r="L941" s="71"/>
      <c r="N941" s="71"/>
      <c r="P941" s="71"/>
    </row>
    <row r="942">
      <c r="A942" s="71"/>
      <c r="B942" s="71"/>
      <c r="J942" s="71"/>
      <c r="K942" s="71"/>
      <c r="L942" s="71"/>
      <c r="N942" s="71"/>
      <c r="P942" s="71"/>
    </row>
    <row r="943">
      <c r="A943" s="71"/>
      <c r="B943" s="71"/>
      <c r="J943" s="71"/>
      <c r="K943" s="71"/>
      <c r="L943" s="71"/>
      <c r="N943" s="71"/>
      <c r="P943" s="71"/>
    </row>
    <row r="944">
      <c r="A944" s="71"/>
      <c r="B944" s="71"/>
      <c r="J944" s="71"/>
      <c r="K944" s="71"/>
      <c r="L944" s="71"/>
      <c r="N944" s="71"/>
      <c r="P944" s="71"/>
    </row>
    <row r="945">
      <c r="A945" s="71"/>
      <c r="B945" s="71"/>
      <c r="J945" s="71"/>
      <c r="K945" s="71"/>
      <c r="L945" s="71"/>
      <c r="N945" s="71"/>
      <c r="P945" s="71"/>
    </row>
    <row r="946">
      <c r="A946" s="71"/>
      <c r="B946" s="71"/>
      <c r="J946" s="71"/>
      <c r="K946" s="71"/>
      <c r="L946" s="71"/>
      <c r="N946" s="71"/>
      <c r="P946" s="71"/>
    </row>
    <row r="947">
      <c r="A947" s="71"/>
      <c r="B947" s="71"/>
      <c r="J947" s="71"/>
      <c r="K947" s="71"/>
      <c r="L947" s="71"/>
      <c r="N947" s="71"/>
      <c r="P947" s="71"/>
    </row>
    <row r="948">
      <c r="A948" s="71"/>
      <c r="B948" s="71"/>
      <c r="J948" s="71"/>
      <c r="K948" s="71"/>
      <c r="L948" s="71"/>
      <c r="N948" s="71"/>
      <c r="P948" s="71"/>
    </row>
    <row r="949">
      <c r="A949" s="71"/>
      <c r="B949" s="71"/>
      <c r="J949" s="71"/>
      <c r="K949" s="71"/>
      <c r="L949" s="71"/>
      <c r="N949" s="71"/>
      <c r="P949" s="71"/>
    </row>
    <row r="950">
      <c r="A950" s="71"/>
      <c r="B950" s="71"/>
      <c r="J950" s="71"/>
      <c r="K950" s="71"/>
      <c r="L950" s="71"/>
      <c r="N950" s="71"/>
      <c r="P950" s="71"/>
    </row>
    <row r="951">
      <c r="A951" s="71"/>
      <c r="B951" s="71"/>
      <c r="J951" s="71"/>
      <c r="K951" s="71"/>
      <c r="L951" s="71"/>
      <c r="N951" s="71"/>
      <c r="P951" s="71"/>
    </row>
    <row r="952">
      <c r="A952" s="71"/>
      <c r="B952" s="71"/>
      <c r="J952" s="71"/>
      <c r="K952" s="71"/>
      <c r="L952" s="71"/>
      <c r="N952" s="71"/>
      <c r="P952" s="71"/>
    </row>
    <row r="953">
      <c r="A953" s="71"/>
      <c r="B953" s="71"/>
      <c r="J953" s="71"/>
      <c r="K953" s="71"/>
      <c r="L953" s="71"/>
      <c r="N953" s="71"/>
      <c r="P953" s="71"/>
    </row>
    <row r="954">
      <c r="A954" s="71"/>
      <c r="B954" s="71"/>
      <c r="J954" s="71"/>
      <c r="K954" s="71"/>
      <c r="L954" s="71"/>
      <c r="N954" s="71"/>
      <c r="P954" s="71"/>
    </row>
    <row r="955">
      <c r="A955" s="71"/>
      <c r="B955" s="71"/>
      <c r="J955" s="71"/>
      <c r="K955" s="71"/>
      <c r="L955" s="71"/>
      <c r="N955" s="71"/>
      <c r="P955" s="71"/>
    </row>
    <row r="956">
      <c r="A956" s="71"/>
      <c r="B956" s="71"/>
      <c r="J956" s="71"/>
      <c r="K956" s="71"/>
      <c r="L956" s="71"/>
      <c r="N956" s="71"/>
      <c r="P956" s="71"/>
    </row>
    <row r="957">
      <c r="A957" s="71"/>
      <c r="B957" s="71"/>
      <c r="J957" s="71"/>
      <c r="K957" s="71"/>
      <c r="L957" s="71"/>
      <c r="N957" s="71"/>
      <c r="P957" s="71"/>
    </row>
    <row r="958">
      <c r="A958" s="71"/>
      <c r="B958" s="71"/>
      <c r="J958" s="71"/>
      <c r="K958" s="71"/>
      <c r="L958" s="71"/>
      <c r="N958" s="71"/>
      <c r="P958" s="71"/>
    </row>
    <row r="959">
      <c r="A959" s="71"/>
      <c r="B959" s="71"/>
      <c r="J959" s="71"/>
      <c r="K959" s="71"/>
      <c r="L959" s="71"/>
      <c r="N959" s="71"/>
      <c r="P959" s="71"/>
    </row>
    <row r="960">
      <c r="A960" s="71"/>
      <c r="B960" s="71"/>
      <c r="J960" s="71"/>
      <c r="K960" s="71"/>
      <c r="L960" s="71"/>
      <c r="N960" s="71"/>
      <c r="P960" s="71"/>
    </row>
    <row r="961">
      <c r="A961" s="71"/>
      <c r="B961" s="71"/>
      <c r="J961" s="71"/>
      <c r="K961" s="71"/>
      <c r="L961" s="71"/>
      <c r="N961" s="71"/>
      <c r="P961" s="71"/>
    </row>
    <row r="962">
      <c r="A962" s="71"/>
      <c r="B962" s="71"/>
      <c r="J962" s="71"/>
      <c r="K962" s="71"/>
      <c r="L962" s="71"/>
      <c r="N962" s="71"/>
      <c r="P962" s="71"/>
    </row>
    <row r="963">
      <c r="A963" s="71"/>
      <c r="B963" s="71"/>
      <c r="J963" s="71"/>
      <c r="K963" s="71"/>
      <c r="L963" s="71"/>
      <c r="N963" s="71"/>
      <c r="P963" s="71"/>
    </row>
    <row r="964">
      <c r="A964" s="71"/>
      <c r="B964" s="71"/>
      <c r="J964" s="71"/>
      <c r="K964" s="71"/>
      <c r="L964" s="71"/>
      <c r="N964" s="71"/>
      <c r="P964" s="71"/>
    </row>
    <row r="965">
      <c r="A965" s="71"/>
      <c r="B965" s="71"/>
      <c r="J965" s="71"/>
      <c r="K965" s="71"/>
      <c r="L965" s="71"/>
      <c r="N965" s="71"/>
      <c r="P965" s="71"/>
    </row>
    <row r="966">
      <c r="A966" s="71"/>
      <c r="B966" s="71"/>
      <c r="J966" s="71"/>
      <c r="K966" s="71"/>
      <c r="L966" s="71"/>
      <c r="N966" s="71"/>
      <c r="P966" s="71"/>
    </row>
    <row r="967">
      <c r="A967" s="71"/>
      <c r="B967" s="71"/>
      <c r="J967" s="71"/>
      <c r="K967" s="71"/>
      <c r="L967" s="71"/>
      <c r="N967" s="71"/>
      <c r="P967" s="71"/>
    </row>
    <row r="968">
      <c r="A968" s="71"/>
      <c r="B968" s="71"/>
      <c r="J968" s="71"/>
      <c r="K968" s="71"/>
      <c r="L968" s="71"/>
      <c r="N968" s="71"/>
      <c r="P968" s="71"/>
    </row>
    <row r="969">
      <c r="A969" s="71"/>
      <c r="B969" s="71"/>
      <c r="J969" s="71"/>
      <c r="K969" s="71"/>
      <c r="L969" s="71"/>
      <c r="N969" s="71"/>
      <c r="P969" s="71"/>
    </row>
    <row r="970">
      <c r="A970" s="71"/>
      <c r="B970" s="71"/>
      <c r="J970" s="71"/>
      <c r="K970" s="71"/>
      <c r="L970" s="71"/>
      <c r="N970" s="71"/>
      <c r="P970" s="71"/>
    </row>
    <row r="971">
      <c r="A971" s="71"/>
      <c r="B971" s="71"/>
      <c r="J971" s="71"/>
      <c r="K971" s="71"/>
      <c r="L971" s="71"/>
      <c r="N971" s="71"/>
      <c r="P971" s="71"/>
    </row>
    <row r="972">
      <c r="A972" s="71"/>
      <c r="B972" s="71"/>
      <c r="J972" s="71"/>
      <c r="K972" s="71"/>
      <c r="L972" s="71"/>
      <c r="N972" s="71"/>
      <c r="P972" s="71"/>
    </row>
    <row r="973">
      <c r="A973" s="71"/>
      <c r="B973" s="71"/>
      <c r="J973" s="71"/>
      <c r="K973" s="71"/>
      <c r="L973" s="71"/>
      <c r="N973" s="71"/>
      <c r="P973" s="71"/>
    </row>
    <row r="974">
      <c r="A974" s="71"/>
      <c r="B974" s="71"/>
      <c r="J974" s="71"/>
      <c r="K974" s="71"/>
      <c r="L974" s="71"/>
      <c r="N974" s="71"/>
      <c r="P974" s="71"/>
    </row>
    <row r="975">
      <c r="A975" s="71"/>
      <c r="B975" s="71"/>
      <c r="J975" s="71"/>
      <c r="K975" s="71"/>
      <c r="L975" s="71"/>
      <c r="N975" s="71"/>
      <c r="P975" s="71"/>
    </row>
    <row r="976">
      <c r="A976" s="71"/>
      <c r="B976" s="71"/>
      <c r="J976" s="71"/>
      <c r="K976" s="71"/>
      <c r="L976" s="71"/>
      <c r="N976" s="71"/>
      <c r="P976" s="71"/>
    </row>
    <row r="977">
      <c r="A977" s="71"/>
      <c r="B977" s="71"/>
      <c r="J977" s="71"/>
      <c r="K977" s="71"/>
      <c r="L977" s="71"/>
      <c r="N977" s="71"/>
      <c r="P977" s="71"/>
    </row>
    <row r="978">
      <c r="A978" s="71"/>
      <c r="B978" s="71"/>
      <c r="J978" s="71"/>
      <c r="K978" s="71"/>
      <c r="L978" s="71"/>
      <c r="N978" s="71"/>
      <c r="P978" s="71"/>
    </row>
    <row r="979">
      <c r="A979" s="71"/>
      <c r="B979" s="71"/>
      <c r="J979" s="71"/>
      <c r="K979" s="71"/>
      <c r="L979" s="71"/>
      <c r="N979" s="71"/>
      <c r="P979" s="71"/>
    </row>
    <row r="980">
      <c r="A980" s="71"/>
      <c r="B980" s="71"/>
      <c r="J980" s="71"/>
      <c r="K980" s="71"/>
      <c r="L980" s="71"/>
      <c r="N980" s="71"/>
      <c r="P980" s="71"/>
    </row>
    <row r="981">
      <c r="A981" s="71"/>
      <c r="B981" s="71"/>
      <c r="J981" s="71"/>
      <c r="K981" s="71"/>
      <c r="L981" s="71"/>
      <c r="N981" s="71"/>
      <c r="P981" s="71"/>
    </row>
    <row r="982">
      <c r="A982" s="71"/>
      <c r="B982" s="71"/>
      <c r="J982" s="71"/>
      <c r="K982" s="71"/>
      <c r="L982" s="71"/>
      <c r="N982" s="71"/>
      <c r="P982" s="71"/>
    </row>
    <row r="983">
      <c r="A983" s="71"/>
      <c r="B983" s="71"/>
      <c r="J983" s="71"/>
      <c r="K983" s="71"/>
      <c r="L983" s="71"/>
      <c r="N983" s="71"/>
      <c r="P983" s="71"/>
    </row>
    <row r="984">
      <c r="A984" s="71"/>
      <c r="B984" s="71"/>
      <c r="J984" s="71"/>
      <c r="K984" s="71"/>
      <c r="L984" s="71"/>
      <c r="N984" s="71"/>
      <c r="P984" s="71"/>
    </row>
    <row r="985">
      <c r="A985" s="71"/>
      <c r="B985" s="71"/>
      <c r="J985" s="71"/>
      <c r="K985" s="71"/>
      <c r="L985" s="71"/>
      <c r="N985" s="71"/>
      <c r="P985" s="71"/>
    </row>
    <row r="986">
      <c r="A986" s="71"/>
      <c r="B986" s="71"/>
      <c r="J986" s="71"/>
      <c r="K986" s="71"/>
      <c r="L986" s="71"/>
      <c r="N986" s="71"/>
      <c r="P986" s="71"/>
    </row>
    <row r="987">
      <c r="A987" s="71"/>
      <c r="B987" s="71"/>
      <c r="J987" s="71"/>
      <c r="K987" s="71"/>
      <c r="L987" s="71"/>
      <c r="N987" s="71"/>
      <c r="P987" s="71"/>
    </row>
    <row r="988">
      <c r="A988" s="71"/>
      <c r="B988" s="71"/>
      <c r="J988" s="71"/>
      <c r="K988" s="71"/>
      <c r="L988" s="71"/>
      <c r="N988" s="71"/>
      <c r="P988" s="71"/>
    </row>
    <row r="989">
      <c r="A989" s="71"/>
      <c r="B989" s="71"/>
      <c r="J989" s="71"/>
      <c r="K989" s="71"/>
      <c r="L989" s="71"/>
      <c r="N989" s="71"/>
      <c r="P989" s="71"/>
    </row>
    <row r="990">
      <c r="A990" s="71"/>
      <c r="B990" s="71"/>
      <c r="J990" s="71"/>
      <c r="K990" s="71"/>
      <c r="L990" s="71"/>
      <c r="N990" s="71"/>
      <c r="P990" s="71"/>
    </row>
    <row r="991">
      <c r="A991" s="71"/>
      <c r="B991" s="71"/>
      <c r="J991" s="71"/>
      <c r="K991" s="71"/>
      <c r="L991" s="71"/>
      <c r="N991" s="71"/>
      <c r="P991" s="71"/>
    </row>
    <row r="992">
      <c r="A992" s="71"/>
      <c r="B992" s="71"/>
      <c r="J992" s="71"/>
      <c r="K992" s="71"/>
      <c r="L992" s="71"/>
      <c r="N992" s="71"/>
      <c r="P992" s="71"/>
    </row>
    <row r="993">
      <c r="A993" s="71"/>
      <c r="B993" s="71"/>
      <c r="J993" s="71"/>
      <c r="K993" s="71"/>
      <c r="L993" s="71"/>
      <c r="N993" s="71"/>
      <c r="P993" s="71"/>
    </row>
    <row r="994">
      <c r="A994" s="71"/>
      <c r="B994" s="71"/>
      <c r="J994" s="71"/>
      <c r="K994" s="71"/>
      <c r="L994" s="71"/>
      <c r="N994" s="71"/>
      <c r="P994" s="71"/>
    </row>
    <row r="995">
      <c r="A995" s="71"/>
      <c r="B995" s="71"/>
      <c r="J995" s="71"/>
      <c r="K995" s="71"/>
      <c r="L995" s="71"/>
      <c r="N995" s="71"/>
      <c r="P995" s="71"/>
    </row>
    <row r="996">
      <c r="A996" s="71"/>
      <c r="B996" s="71"/>
      <c r="J996" s="71"/>
      <c r="K996" s="71"/>
      <c r="L996" s="71"/>
      <c r="N996" s="71"/>
      <c r="P996" s="71"/>
    </row>
    <row r="997">
      <c r="A997" s="71"/>
      <c r="B997" s="71"/>
      <c r="J997" s="71"/>
      <c r="K997" s="71"/>
      <c r="L997" s="71"/>
      <c r="N997" s="71"/>
      <c r="P997" s="71"/>
    </row>
    <row r="998">
      <c r="A998" s="71"/>
      <c r="B998" s="71"/>
      <c r="J998" s="71"/>
      <c r="K998" s="71"/>
      <c r="L998" s="71"/>
      <c r="N998" s="71"/>
      <c r="P998" s="71"/>
    </row>
    <row r="999">
      <c r="A999" s="71"/>
      <c r="B999" s="71"/>
      <c r="J999" s="71"/>
      <c r="K999" s="71"/>
      <c r="L999" s="71"/>
      <c r="N999" s="71"/>
      <c r="P999" s="71"/>
    </row>
    <row r="1000">
      <c r="A1000" s="71"/>
      <c r="B1000" s="71"/>
      <c r="J1000" s="71"/>
      <c r="K1000" s="71"/>
      <c r="L1000" s="71"/>
      <c r="N1000" s="71"/>
      <c r="P1000" s="71"/>
    </row>
    <row r="1001">
      <c r="A1001" s="71"/>
      <c r="B1001" s="71"/>
      <c r="J1001" s="71"/>
      <c r="K1001" s="71"/>
      <c r="L1001" s="71"/>
      <c r="N1001" s="71"/>
      <c r="P1001" s="71"/>
    </row>
  </sheetData>
  <mergeCells count="2">
    <mergeCell ref="C1:D1"/>
    <mergeCell ref="F1:G1"/>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7.25"/>
    <col customWidth="1" min="4" max="4" width="31.88"/>
    <col customWidth="1" min="5" max="5" width="8.13"/>
    <col customWidth="1" min="7" max="7" width="16.63"/>
    <col customWidth="1" min="8" max="8" width="14.5"/>
    <col customWidth="1" min="9" max="9" width="8.75"/>
    <col customWidth="1" min="10" max="10" width="14.0"/>
  </cols>
  <sheetData>
    <row r="2" ht="26.25" customHeight="1">
      <c r="B2" s="99" t="s">
        <v>117</v>
      </c>
      <c r="C2" s="8"/>
      <c r="D2" s="8"/>
      <c r="E2" s="8"/>
      <c r="F2" s="8"/>
      <c r="G2" s="6"/>
      <c r="I2" s="99" t="s">
        <v>118</v>
      </c>
      <c r="J2" s="8"/>
      <c r="K2" s="8"/>
      <c r="L2" s="8"/>
      <c r="M2" s="8"/>
      <c r="N2" s="8"/>
      <c r="O2" s="8"/>
      <c r="P2" s="6"/>
    </row>
    <row r="3">
      <c r="B3" s="100">
        <v>1.0</v>
      </c>
      <c r="C3" s="101" t="s">
        <v>119</v>
      </c>
      <c r="D3" s="8"/>
      <c r="E3" s="8"/>
      <c r="F3" s="8"/>
      <c r="G3" s="6"/>
      <c r="H3" s="102"/>
      <c r="I3" s="100">
        <v>1.0</v>
      </c>
      <c r="J3" s="101" t="s">
        <v>120</v>
      </c>
      <c r="K3" s="8"/>
      <c r="L3" s="8"/>
      <c r="M3" s="8"/>
      <c r="N3" s="8"/>
      <c r="O3" s="8"/>
      <c r="P3" s="6"/>
    </row>
    <row r="4">
      <c r="B4" s="103">
        <v>2.0</v>
      </c>
      <c r="C4" s="101" t="s">
        <v>121</v>
      </c>
      <c r="D4" s="8"/>
      <c r="E4" s="8"/>
      <c r="F4" s="8"/>
      <c r="G4" s="6"/>
      <c r="I4" s="104">
        <v>2.0</v>
      </c>
      <c r="J4" s="101" t="s">
        <v>122</v>
      </c>
      <c r="K4" s="8"/>
      <c r="L4" s="8"/>
      <c r="M4" s="8"/>
      <c r="N4" s="8"/>
      <c r="O4" s="8"/>
      <c r="P4" s="6"/>
    </row>
    <row r="5">
      <c r="B5" s="103">
        <v>3.0</v>
      </c>
      <c r="C5" s="101" t="s">
        <v>123</v>
      </c>
      <c r="D5" s="8"/>
      <c r="E5" s="8"/>
      <c r="F5" s="8"/>
      <c r="G5" s="6"/>
      <c r="I5" s="104">
        <v>3.0</v>
      </c>
      <c r="J5" s="101" t="s">
        <v>124</v>
      </c>
      <c r="K5" s="8"/>
      <c r="L5" s="8"/>
      <c r="M5" s="8"/>
      <c r="N5" s="8"/>
      <c r="O5" s="8"/>
      <c r="P5" s="6"/>
    </row>
    <row r="6">
      <c r="B6" s="103">
        <v>4.0</v>
      </c>
      <c r="C6" s="101" t="s">
        <v>125</v>
      </c>
      <c r="D6" s="8"/>
      <c r="E6" s="8"/>
      <c r="F6" s="8"/>
      <c r="G6" s="6"/>
      <c r="I6" s="104">
        <v>4.0</v>
      </c>
      <c r="J6" s="101" t="s">
        <v>126</v>
      </c>
      <c r="K6" s="8"/>
      <c r="L6" s="8"/>
      <c r="M6" s="8"/>
      <c r="N6" s="8"/>
      <c r="O6" s="8"/>
      <c r="P6" s="6"/>
    </row>
    <row r="7">
      <c r="B7" s="103">
        <v>5.0</v>
      </c>
      <c r="C7" s="101" t="s">
        <v>127</v>
      </c>
      <c r="D7" s="8"/>
      <c r="E7" s="8"/>
      <c r="F7" s="8"/>
      <c r="G7" s="6"/>
      <c r="I7" s="104">
        <v>5.0</v>
      </c>
      <c r="J7" s="101" t="s">
        <v>128</v>
      </c>
      <c r="K7" s="8"/>
      <c r="L7" s="8"/>
      <c r="M7" s="8"/>
      <c r="N7" s="8"/>
      <c r="O7" s="8"/>
      <c r="P7" s="6"/>
    </row>
    <row r="8">
      <c r="B8" s="105"/>
      <c r="C8" s="106"/>
      <c r="D8" s="106"/>
      <c r="E8" s="106"/>
      <c r="F8" s="107"/>
      <c r="G8" s="107"/>
    </row>
    <row r="12">
      <c r="B12" s="108" t="s">
        <v>129</v>
      </c>
    </row>
    <row r="13">
      <c r="B13" s="109" t="s">
        <v>130</v>
      </c>
    </row>
    <row r="14">
      <c r="B14" s="70" t="s">
        <v>131</v>
      </c>
    </row>
    <row r="15">
      <c r="B15" s="110" t="s">
        <v>132</v>
      </c>
      <c r="C15" s="110" t="s">
        <v>133</v>
      </c>
      <c r="D15" s="110" t="s">
        <v>134</v>
      </c>
      <c r="E15" s="111" t="s">
        <v>135</v>
      </c>
      <c r="F15" s="6"/>
      <c r="G15" s="112" t="s">
        <v>136</v>
      </c>
      <c r="H15" s="113" t="s">
        <v>137</v>
      </c>
      <c r="I15" s="6"/>
      <c r="J15" s="110" t="s">
        <v>138</v>
      </c>
    </row>
    <row r="16" ht="65.25" customHeight="1">
      <c r="B16" s="114">
        <v>1.0</v>
      </c>
      <c r="C16" s="115" t="s">
        <v>139</v>
      </c>
      <c r="D16" s="116" t="s">
        <v>140</v>
      </c>
      <c r="E16" s="117" t="s">
        <v>141</v>
      </c>
      <c r="F16" s="6"/>
      <c r="G16" s="118" t="s">
        <v>142</v>
      </c>
      <c r="H16" s="119" t="s">
        <v>143</v>
      </c>
      <c r="I16" s="6"/>
      <c r="J16" s="120" t="s">
        <v>144</v>
      </c>
    </row>
    <row r="17" ht="39.75" customHeight="1">
      <c r="B17" s="121"/>
      <c r="C17" s="122" t="str">
        <f>D16 &amp; " " &amp; E16 &amp; " " &amp;G16&amp; " " &amp;H16&amp; " " </f>
        <v>aplica modelos, métodos y artefactos de gestión de proyectos mediante el uso de herramientas de planificación, simulación y monitoreo para resolver escenarios comunes en proyectos y mejorar la toma de decisiones en la gestión de proyectos tecnológicos </v>
      </c>
      <c r="D17" s="8"/>
      <c r="E17" s="8"/>
      <c r="F17" s="8"/>
      <c r="G17" s="8"/>
      <c r="H17" s="8"/>
      <c r="I17" s="8"/>
      <c r="J17" s="6"/>
    </row>
    <row r="19">
      <c r="B19" s="70" t="s">
        <v>145</v>
      </c>
    </row>
    <row r="21">
      <c r="B21" s="110" t="s">
        <v>132</v>
      </c>
      <c r="C21" s="110" t="s">
        <v>133</v>
      </c>
      <c r="D21" s="110" t="s">
        <v>134</v>
      </c>
      <c r="E21" s="111" t="s">
        <v>135</v>
      </c>
      <c r="F21" s="6"/>
      <c r="G21" s="112" t="s">
        <v>136</v>
      </c>
      <c r="H21" s="113" t="s">
        <v>137</v>
      </c>
      <c r="I21" s="6"/>
      <c r="J21" s="110" t="s">
        <v>138</v>
      </c>
    </row>
    <row r="22" ht="50.25" customHeight="1">
      <c r="B22" s="114">
        <v>1.0</v>
      </c>
      <c r="C22" s="115" t="s">
        <v>139</v>
      </c>
      <c r="D22" s="123" t="s">
        <v>146</v>
      </c>
      <c r="E22" s="124" t="s">
        <v>147</v>
      </c>
      <c r="F22" s="6"/>
      <c r="G22" s="125" t="s">
        <v>148</v>
      </c>
      <c r="H22" s="126" t="s">
        <v>149</v>
      </c>
      <c r="I22" s="6"/>
      <c r="J22" s="127" t="s">
        <v>150</v>
      </c>
    </row>
    <row r="23" ht="46.5" customHeight="1">
      <c r="B23" s="121"/>
      <c r="C23" s="122" t="str">
        <f>D22 &amp; " " &amp; E22 &amp; " " &amp;G22&amp; " " &amp;H22&amp; " " </f>
        <v>define requisitos y objetivos de proyectos tecnológicos mediante métodos de recolección y análisis de información para establecer el alcance y éxito del proyecto en entornos organizacionales </v>
      </c>
      <c r="D23" s="8"/>
      <c r="E23" s="8"/>
      <c r="F23" s="8"/>
      <c r="G23" s="8"/>
      <c r="H23" s="8"/>
      <c r="I23" s="8"/>
      <c r="J23" s="6"/>
    </row>
    <row r="24" ht="61.5" customHeight="1">
      <c r="B24" s="114">
        <v>2.0</v>
      </c>
      <c r="C24" s="115" t="s">
        <v>151</v>
      </c>
      <c r="D24" s="123" t="s">
        <v>152</v>
      </c>
      <c r="E24" s="124" t="s">
        <v>153</v>
      </c>
      <c r="F24" s="6"/>
      <c r="G24" s="125" t="s">
        <v>154</v>
      </c>
      <c r="H24" s="126" t="s">
        <v>155</v>
      </c>
      <c r="I24" s="6"/>
      <c r="J24" s="127" t="s">
        <v>144</v>
      </c>
    </row>
    <row r="25" ht="46.5" customHeight="1">
      <c r="B25" s="121"/>
      <c r="C25" s="122" t="str">
        <f>D24 &amp; " " &amp; E24 &amp; " " &amp;G24&amp; " " &amp;H24&amp; " " </f>
        <v>integra estructura de desglose de trabajo (EDT) utilizando herramientas de planificación como Project Libre para organizar tareas y entregables en proyectos complejos </v>
      </c>
      <c r="D25" s="8"/>
      <c r="E25" s="8"/>
      <c r="F25" s="8"/>
      <c r="G25" s="8"/>
      <c r="H25" s="8"/>
      <c r="I25" s="8"/>
      <c r="J25" s="6"/>
    </row>
    <row r="26" ht="52.5" customHeight="1">
      <c r="B26" s="114">
        <v>3.0</v>
      </c>
      <c r="C26" s="115" t="s">
        <v>139</v>
      </c>
      <c r="D26" s="123" t="s">
        <v>156</v>
      </c>
      <c r="E26" s="124" t="s">
        <v>157</v>
      </c>
      <c r="F26" s="6"/>
      <c r="G26" s="125" t="s">
        <v>158</v>
      </c>
      <c r="H26" s="126" t="s">
        <v>159</v>
      </c>
      <c r="I26" s="6"/>
      <c r="J26" s="127" t="s">
        <v>160</v>
      </c>
    </row>
    <row r="27" ht="50.25" customHeight="1">
      <c r="B27" s="121"/>
      <c r="C27" s="122" t="str">
        <f>D26 &amp; " " &amp; E26 &amp; " " &amp;G26&amp; " " &amp;H26&amp; " " </f>
        <v>revisa riesgos y variables críticas en proyectos empleando técnicas de identificación y evaluación de riesgos para la formulación de estrategias de mitigación y control </v>
      </c>
      <c r="D27" s="8"/>
      <c r="E27" s="8"/>
      <c r="F27" s="8"/>
      <c r="G27" s="8"/>
      <c r="H27" s="8"/>
      <c r="I27" s="8"/>
      <c r="J27" s="6"/>
    </row>
    <row r="28" ht="68.25" customHeight="1">
      <c r="B28" s="114">
        <v>4.0</v>
      </c>
      <c r="C28" s="115" t="s">
        <v>151</v>
      </c>
      <c r="D28" s="123" t="s">
        <v>152</v>
      </c>
      <c r="E28" s="124" t="s">
        <v>161</v>
      </c>
      <c r="F28" s="6"/>
      <c r="G28" s="125" t="s">
        <v>162</v>
      </c>
      <c r="H28" s="126" t="s">
        <v>163</v>
      </c>
      <c r="I28" s="6"/>
      <c r="J28" s="127" t="s">
        <v>144</v>
      </c>
    </row>
    <row r="29" ht="62.25" customHeight="1">
      <c r="B29" s="121"/>
      <c r="C29" s="122" t="str">
        <f>D28 &amp; " " &amp; E28 &amp; " " &amp;G28&amp; " " &amp;H28&amp; " " </f>
        <v>integra principios de calidad, eficiencia y control de tiempos mediante el uso de cronogramas, presupuestos y simuladores para mejorar el desempeño y cumplimiento de los objetivos de proyectos de TI </v>
      </c>
      <c r="D29" s="8"/>
      <c r="E29" s="8"/>
      <c r="F29" s="8"/>
      <c r="G29" s="8"/>
      <c r="H29" s="8"/>
      <c r="I29" s="8"/>
      <c r="J29" s="6"/>
    </row>
    <row r="30" ht="74.25" customHeight="1">
      <c r="B30" s="114">
        <v>5.0</v>
      </c>
      <c r="C30" s="115" t="s">
        <v>151</v>
      </c>
      <c r="D30" s="123" t="s">
        <v>164</v>
      </c>
      <c r="E30" s="124" t="s">
        <v>165</v>
      </c>
      <c r="F30" s="6"/>
      <c r="G30" s="125" t="s">
        <v>166</v>
      </c>
      <c r="H30" s="126" t="s">
        <v>167</v>
      </c>
      <c r="I30" s="6"/>
      <c r="J30" s="127" t="s">
        <v>168</v>
      </c>
    </row>
    <row r="31" ht="40.5" customHeight="1">
      <c r="B31" s="121"/>
      <c r="C31" s="122" t="str">
        <f>D30 &amp; " " &amp; E30 &amp; " " &amp;G30&amp; " " &amp;H30&amp; " " </f>
        <v>combina prácticas ágiles de gestión de proyectos a través del uso de marcos como Scrum y Kanban para la ejecución iterativa de entregables y mejora continua del equipo </v>
      </c>
      <c r="D31" s="8"/>
      <c r="E31" s="8"/>
      <c r="F31" s="8"/>
      <c r="G31" s="8"/>
      <c r="H31" s="8"/>
      <c r="I31" s="8"/>
      <c r="J31" s="6"/>
    </row>
    <row r="32" ht="57.0" customHeight="1">
      <c r="B32" s="114">
        <v>6.0</v>
      </c>
      <c r="C32" s="115" t="s">
        <v>139</v>
      </c>
      <c r="D32" s="123" t="s">
        <v>169</v>
      </c>
      <c r="E32" s="124" t="s">
        <v>170</v>
      </c>
      <c r="F32" s="6"/>
      <c r="G32" s="125" t="s">
        <v>171</v>
      </c>
      <c r="H32" s="126" t="s">
        <v>172</v>
      </c>
      <c r="I32" s="6"/>
      <c r="J32" s="127" t="s">
        <v>173</v>
      </c>
    </row>
    <row r="33" ht="51.75" customHeight="1">
      <c r="B33" s="121"/>
      <c r="C33" s="122" t="str">
        <f>D32 &amp; " " &amp; E32 &amp; " " &amp;G32&amp; " " &amp;H32&amp; " " </f>
        <v>valida el desempeño de proyectos tecnológicos utilizando el método del valor ganado (EVM) y reportes de avance para tomar decisiones correctivas basadas en datos objetivos </v>
      </c>
      <c r="D33" s="8"/>
      <c r="E33" s="8"/>
      <c r="F33" s="8"/>
      <c r="G33" s="8"/>
      <c r="H33" s="8"/>
      <c r="I33" s="8"/>
      <c r="J33" s="6"/>
    </row>
    <row r="34" ht="54.75" customHeight="1">
      <c r="B34" s="114">
        <v>7.0</v>
      </c>
      <c r="C34" s="115" t="s">
        <v>139</v>
      </c>
      <c r="D34" s="128"/>
      <c r="E34" s="129"/>
      <c r="F34" s="6"/>
      <c r="G34" s="130"/>
      <c r="H34" s="131"/>
      <c r="I34" s="6"/>
      <c r="J34" s="132"/>
    </row>
    <row r="35" ht="42.0" customHeight="1">
      <c r="B35" s="121"/>
      <c r="C35" s="122" t="str">
        <f>D34 &amp; " " &amp; E34 &amp; " " &amp;G34&amp; " " &amp;H34&amp; " " </f>
        <v>    </v>
      </c>
      <c r="D35" s="8"/>
      <c r="E35" s="8"/>
      <c r="F35" s="8"/>
      <c r="G35" s="8"/>
      <c r="H35" s="8"/>
      <c r="I35" s="8"/>
      <c r="J35" s="6"/>
    </row>
    <row r="38">
      <c r="B38" s="133"/>
      <c r="C38" s="108" t="s">
        <v>174</v>
      </c>
      <c r="J38" s="134"/>
    </row>
    <row r="40">
      <c r="B40" s="135" t="s">
        <v>13</v>
      </c>
      <c r="C40" s="136" t="s">
        <v>38</v>
      </c>
      <c r="D40" s="8"/>
      <c r="E40" s="8"/>
      <c r="F40" s="8"/>
      <c r="G40" s="8"/>
      <c r="H40" s="8"/>
      <c r="I40" s="8"/>
      <c r="J40" s="6"/>
    </row>
    <row r="41">
      <c r="B41" s="137">
        <v>1.0</v>
      </c>
      <c r="C41" s="138" t="s">
        <v>175</v>
      </c>
      <c r="D41" s="8"/>
      <c r="E41" s="8"/>
      <c r="F41" s="8"/>
      <c r="G41" s="8"/>
      <c r="H41" s="8"/>
      <c r="I41" s="8"/>
      <c r="J41" s="6"/>
    </row>
    <row r="42">
      <c r="B42" s="137">
        <v>2.0</v>
      </c>
      <c r="C42" s="138" t="s">
        <v>176</v>
      </c>
      <c r="D42" s="8"/>
      <c r="E42" s="8"/>
      <c r="F42" s="8"/>
      <c r="G42" s="8"/>
      <c r="H42" s="8"/>
      <c r="I42" s="8"/>
      <c r="J42" s="6"/>
    </row>
    <row r="43">
      <c r="B43" s="137">
        <v>3.0</v>
      </c>
      <c r="C43" s="138" t="s">
        <v>177</v>
      </c>
      <c r="D43" s="8"/>
      <c r="E43" s="8"/>
      <c r="F43" s="8"/>
      <c r="G43" s="8"/>
      <c r="H43" s="8"/>
      <c r="I43" s="8"/>
      <c r="J43" s="6"/>
    </row>
    <row r="44">
      <c r="B44" s="137">
        <v>4.0</v>
      </c>
      <c r="C44" s="138" t="s">
        <v>178</v>
      </c>
      <c r="D44" s="8"/>
      <c r="E44" s="8"/>
      <c r="F44" s="8"/>
      <c r="G44" s="8"/>
      <c r="H44" s="8"/>
      <c r="I44" s="8"/>
      <c r="J44" s="6"/>
    </row>
    <row r="46">
      <c r="C46" s="70"/>
    </row>
  </sheetData>
  <mergeCells count="48">
    <mergeCell ref="J6:P6"/>
    <mergeCell ref="J7:P7"/>
    <mergeCell ref="B2:G2"/>
    <mergeCell ref="I2:P2"/>
    <mergeCell ref="C3:G3"/>
    <mergeCell ref="J3:P3"/>
    <mergeCell ref="C4:G4"/>
    <mergeCell ref="J4:P4"/>
    <mergeCell ref="J5:P5"/>
    <mergeCell ref="C5:G5"/>
    <mergeCell ref="C6:G6"/>
    <mergeCell ref="C7:G7"/>
    <mergeCell ref="B12:J12"/>
    <mergeCell ref="B13:J13"/>
    <mergeCell ref="E15:F15"/>
    <mergeCell ref="E16:F16"/>
    <mergeCell ref="C17:J17"/>
    <mergeCell ref="H15:I15"/>
    <mergeCell ref="H16:I16"/>
    <mergeCell ref="E21:F21"/>
    <mergeCell ref="H21:I21"/>
    <mergeCell ref="E22:F22"/>
    <mergeCell ref="H22:I22"/>
    <mergeCell ref="C23:J23"/>
    <mergeCell ref="E24:F24"/>
    <mergeCell ref="H24:I24"/>
    <mergeCell ref="C25:J25"/>
    <mergeCell ref="E26:F26"/>
    <mergeCell ref="H26:I26"/>
    <mergeCell ref="C27:J27"/>
    <mergeCell ref="E28:F28"/>
    <mergeCell ref="E32:F32"/>
    <mergeCell ref="E34:F34"/>
    <mergeCell ref="H34:I34"/>
    <mergeCell ref="C35:J35"/>
    <mergeCell ref="C38:I38"/>
    <mergeCell ref="C40:J40"/>
    <mergeCell ref="C41:J41"/>
    <mergeCell ref="C42:J42"/>
    <mergeCell ref="C43:J43"/>
    <mergeCell ref="C44:J44"/>
    <mergeCell ref="H28:I28"/>
    <mergeCell ref="C29:J29"/>
    <mergeCell ref="E30:F30"/>
    <mergeCell ref="H30:I30"/>
    <mergeCell ref="C31:J31"/>
    <mergeCell ref="H32:I32"/>
    <mergeCell ref="C33:J33"/>
  </mergeCells>
  <dataValidations>
    <dataValidation type="list" allowBlank="1" showErrorMessage="1" sqref="C3:C7">
      <formula1>MetaData!$D:$D</formula1>
    </dataValidation>
    <dataValidation type="list" allowBlank="1" showErrorMessage="1" sqref="J3:J7">
      <formula1>MetaData!$G:$G</formula1>
    </dataValidation>
    <dataValidation type="list" allowBlank="1" showErrorMessage="1" sqref="C16 C22 C24 C26 C28 C30 C32 C34">
      <formula1>MetaData!$L:$L</formula1>
    </dataValidation>
  </dataValidations>
  <drawing r:id="rId1"/>
</worksheet>
</file>
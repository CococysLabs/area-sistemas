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S1" sheetId="3" r:id="rId6"/>
    <sheet state="visible" name="S2" sheetId="4" r:id="rId7"/>
    <sheet state="visible" name="S3" sheetId="5" r:id="rId8"/>
    <sheet state="visible" name="S4" sheetId="6" r:id="rId9"/>
    <sheet state="visible" name="S5" sheetId="7" r:id="rId10"/>
    <sheet state="visible" name="S6" sheetId="8" r:id="rId11"/>
    <sheet state="visible" name="S7" sheetId="9" r:id="rId12"/>
    <sheet state="visible" name="S8" sheetId="10" r:id="rId13"/>
    <sheet state="visible" name="S9" sheetId="11" r:id="rId14"/>
    <sheet state="visible" name="S10" sheetId="12" r:id="rId15"/>
    <sheet state="visible" name="S11" sheetId="13" r:id="rId16"/>
    <sheet state="visible" name="S12" sheetId="14" r:id="rId17"/>
    <sheet state="visible" name="S13" sheetId="15" r:id="rId18"/>
    <sheet state="visible" name="S14" sheetId="16" r:id="rId19"/>
    <sheet state="visible" name="Ejemplo" sheetId="17" r:id="rId20"/>
  </sheets>
  <definedNames/>
  <calcPr/>
  <extLst>
    <ext uri="GoogleSheetsCustomDataVersion2">
      <go:sheetsCustomData xmlns:go="http://customooxmlschemas.google.com/" r:id="rId21" roundtripDataChecksum="WVFlxVQDlM5DhxaxKuScZdeNOWBDjmhF9jyHoH6xZ2o="/>
    </ext>
  </extLst>
</workbook>
</file>

<file path=xl/sharedStrings.xml><?xml version="1.0" encoding="utf-8"?>
<sst xmlns="http://schemas.openxmlformats.org/spreadsheetml/2006/main" count="836" uniqueCount="187">
  <si>
    <t>Numero</t>
  </si>
  <si>
    <t>Nombre de la Meta</t>
  </si>
  <si>
    <t>Descripcion de la Meta</t>
  </si>
  <si>
    <t>Comprender los conceptos clave del análisis multidimensional y OLAP</t>
  </si>
  <si>
    <t>Aprender sobre los componentes, tipos y aplicaciones de OLAP, junto con la construcción de cubos multidimensionales</t>
  </si>
  <si>
    <t>Implementar modelos de datos utilizando esquemas estrella, copo de nieve y constelación</t>
  </si>
  <si>
    <t>Aplicar el diseño de dimensiones, jerarquías, medidas y agregaciones para crear modelos eficientes</t>
  </si>
  <si>
    <t>Dominar el proceso ETL para la integración de datos</t>
  </si>
  <si>
    <t>Diseñar flujos de extracción, transformación y carga de datos, entendiendo sus fases, desafíos y herramientas disponibles</t>
  </si>
  <si>
    <t>Seleccionar y usar herramientas ETL comerciales y de código abierto</t>
  </si>
  <si>
    <t>Conocer las herramientas más usadas en el mercado y sus criterios de selección, incluyendo opciones en la nube</t>
  </si>
  <si>
    <t>Implementar soluciones de BI usando Microsoft SSIS, SSAS y SSRS</t>
  </si>
  <si>
    <t>Configurar entornos de trabajo en Visual Studio y construir soluciones completas de integración, análisis y reportes</t>
  </si>
  <si>
    <t>Diseñar, crear y gestionar cubos OLAP en SSAS</t>
  </si>
  <si>
    <t>Modelar cubos OLAP, aplicar consultas MDX/DAX y desplegar modelos multidimensionales y tabulares</t>
  </si>
  <si>
    <t>Crear reportes dinámicos usando SSRS e integrarlos con Power BI</t>
  </si>
  <si>
    <t>Configurar SSRS, publicar reportes automatizados y conectar la reportería con Power BI para mayor visualización</t>
  </si>
  <si>
    <t>Analizar datos con Python y sus principales bibliotecas (Pandas, Matplotlib, Seaborn, NLTK)</t>
  </si>
  <si>
    <t>Realizar análisis de datos estructurados y no estructurados, limpieza y visualización de datos de manera efectiva</t>
  </si>
  <si>
    <t>Configurar BigQuery y realizar análisis de datos en la nube</t>
  </si>
  <si>
    <t>Optimizar consultas SQL en BigQuery, usar BigQuery ML e integrar la plataforma con herramientas externas para proyectos de análisis avanzados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</si>
  <si>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</si>
  <si>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</si>
  <si>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</si>
  <si>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</si>
  <si>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</si>
  <si>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</si>
  <si>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</si>
  <si>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Cubos Multidimensionales</t>
  </si>
  <si>
    <t>Introducción al análisis OLAP</t>
  </si>
  <si>
    <t>Ventajas del análisis multidimensional</t>
  </si>
  <si>
    <t>Componentes básicos de OLAP</t>
  </si>
  <si>
    <t>Conceptos clave</t>
  </si>
  <si>
    <t>Tipos de OLAP</t>
  </si>
  <si>
    <t>Aplicaciones del análisis OLAP</t>
  </si>
  <si>
    <t>Diferencia entre OLAP y herramientas de visualización</t>
  </si>
  <si>
    <t>Definición del cubo multidimensional</t>
  </si>
  <si>
    <t>Dimensiones y jerarquías</t>
  </si>
  <si>
    <t>Medidas y agregaciones</t>
  </si>
  <si>
    <t>Modelos estrella (Star Schema)</t>
  </si>
  <si>
    <t>Modelo copo de nieve (Snowflake Schema)</t>
  </si>
  <si>
    <t>Modelo de constelación</t>
  </si>
  <si>
    <t>Tarea 1</t>
  </si>
  <si>
    <t>Optimización de cubos multidimensionales</t>
  </si>
  <si>
    <t>Definición de ETL</t>
  </si>
  <si>
    <t>Fases del proceso ETL</t>
  </si>
  <si>
    <t>Transformación</t>
  </si>
  <si>
    <t>Carga</t>
  </si>
  <si>
    <t>Características clave del proceso ETL</t>
  </si>
  <si>
    <t>ETL y su rol en la creación de cubos OLAP</t>
  </si>
  <si>
    <t>Limitaciones y desafíos de los procesos ETL</t>
  </si>
  <si>
    <t>Practica</t>
  </si>
  <si>
    <t>Tipos de herramientas ETL</t>
  </si>
  <si>
    <t>Ejemplos de herramientas comerciales</t>
  </si>
  <si>
    <t>Ejemplos de herramientas Open Source</t>
  </si>
  <si>
    <t>Herramientas ETL en la nube</t>
  </si>
  <si>
    <t>Criterios para seleccionar una herramienta ETL</t>
  </si>
  <si>
    <t>Tendencias en ETL</t>
  </si>
  <si>
    <t>HT1</t>
  </si>
  <si>
    <t>Casos de uso de herramientas ETL</t>
  </si>
  <si>
    <t>Primer Corto</t>
  </si>
  <si>
    <t>BI Con Herramientas Microsoft</t>
  </si>
  <si>
    <t>Introducción a Microsoft BI</t>
  </si>
  <si>
    <t>Herramientas principales de Microsoft BI</t>
  </si>
  <si>
    <t>Arquitectura de una solución BI basada en Microsoft</t>
  </si>
  <si>
    <t>Diferencias entre SSIS, SSAS y SSRS</t>
  </si>
  <si>
    <t>SQL Server Management Studio (SSMS)</t>
  </si>
  <si>
    <t>Visión general del entorno de Visual Studio para BI</t>
  </si>
  <si>
    <t>Casos de uso de Microsoft BI</t>
  </si>
  <si>
    <t>Bi Con Herramientas Microsoft</t>
  </si>
  <si>
    <t>Introducción a SSIS</t>
  </si>
  <si>
    <t>Instalación y configuración de SSIS en Visual Studio</t>
  </si>
  <si>
    <t>Creación de un proyecto SSIS</t>
  </si>
  <si>
    <t>Fuentes y destinos de datos en SSIS</t>
  </si>
  <si>
    <t>Tareas de flujo de control en SSIS</t>
  </si>
  <si>
    <t>Flujo de datos y transformaciones comunes</t>
  </si>
  <si>
    <t>Tarea 2</t>
  </si>
  <si>
    <t>Ejecución y monitoreo de paquetes SSIS</t>
  </si>
  <si>
    <t>Proyecto</t>
  </si>
  <si>
    <t>Introducción a SSAS</t>
  </si>
  <si>
    <t>Configuración del entorno SSAS en Visual Studio</t>
  </si>
  <si>
    <t>Creación de un modelo multidimensional</t>
  </si>
  <si>
    <t>Creación de cubos OLAP en SSAS</t>
  </si>
  <si>
    <t>Implementación de un modelo tabular</t>
  </si>
  <si>
    <t>Consulta con MDX y DAX</t>
  </si>
  <si>
    <t>Procesamiento y despliegue de modelos SSAS</t>
  </si>
  <si>
    <t>Introducción a SSRS</t>
  </si>
  <si>
    <t>Configuración del entorno SSRS</t>
  </si>
  <si>
    <t>Creación de reportes básicos en SSRS</t>
  </si>
  <si>
    <t>Parámetros y filtros en SSRS</t>
  </si>
  <si>
    <t>Publicación de reportes en el servidor de reportes</t>
  </si>
  <si>
    <t>Automatización y suscripciones</t>
  </si>
  <si>
    <t>HT2</t>
  </si>
  <si>
    <t>Integración de SSRS con Power BI</t>
  </si>
  <si>
    <t>Segundo Corto</t>
  </si>
  <si>
    <t>Analisis de datos con Python</t>
  </si>
  <si>
    <t>Instalación de Python y Jupyter Notebooks</t>
  </si>
  <si>
    <t>Fundamentos de Python</t>
  </si>
  <si>
    <t>Manipulación básica de datos</t>
  </si>
  <si>
    <t>Uso de bibliotecas esenciales</t>
  </si>
  <si>
    <t>Operaciones matemáticas y estadísticas básicas</t>
  </si>
  <si>
    <t>Funciones y manejo de excepciones en Python</t>
  </si>
  <si>
    <t>Exploración rápida de datos con Python</t>
  </si>
  <si>
    <t>Introducción a Pandas</t>
  </si>
  <si>
    <t>Lectura y escritura de datos con Pandas</t>
  </si>
  <si>
    <t>Filtrado y selección de datos</t>
  </si>
  <si>
    <t>Limpieza de datos</t>
  </si>
  <si>
    <t>Transformación de datos</t>
  </si>
  <si>
    <t>Operaciones sobre columnas y filas</t>
  </si>
  <si>
    <t>Manejo de tiempo y fechas con Pandas</t>
  </si>
  <si>
    <t>Tarea 3</t>
  </si>
  <si>
    <t>Introducción a Matplotlib</t>
  </si>
  <si>
    <t>Personalización de gráficos</t>
  </si>
  <si>
    <t>Gráficos estadísticos con Seaborn</t>
  </si>
  <si>
    <t>Visualización de series temporales</t>
  </si>
  <si>
    <t>Gráficos complejos con subplots</t>
  </si>
  <si>
    <t>Guardar y exportar gráficos</t>
  </si>
  <si>
    <t>Interpretación de visualizaciones</t>
  </si>
  <si>
    <t>Introducción a NLTK</t>
  </si>
  <si>
    <t>Manejo de texto con Python</t>
  </si>
  <si>
    <t>Limpieza de datos no estructurados</t>
  </si>
  <si>
    <t>Análisis de frecuencias de palabras</t>
  </si>
  <si>
    <t>Modelo de Bag of Words</t>
  </si>
  <si>
    <t>HT3</t>
  </si>
  <si>
    <t>Análisis de sentimientos con NLTK</t>
  </si>
  <si>
    <t>Tercer Corto</t>
  </si>
  <si>
    <t>Casos de uso avanzados</t>
  </si>
  <si>
    <t>Big QUERY</t>
  </si>
  <si>
    <t>Introduccion a BigQuery</t>
  </si>
  <si>
    <t>Introducción a BigQuery</t>
  </si>
  <si>
    <t>Arquitectura de BigQuery</t>
  </si>
  <si>
    <t>Conexión con Google Cloud Platform (GCP)</t>
  </si>
  <si>
    <t>Primeras consultas en BigQuery</t>
  </si>
  <si>
    <t>Tipos de almacenamiento y precios</t>
  </si>
  <si>
    <t>Manejo de permisos y seguridad</t>
  </si>
  <si>
    <t>Optimización de consultas</t>
  </si>
  <si>
    <t>Carga y exportación de datos</t>
  </si>
  <si>
    <t>Funciones y procedimientos en SQL</t>
  </si>
  <si>
    <t>Creación de vistas y tablas materializadas</t>
  </si>
  <si>
    <t>BigQuery ML</t>
  </si>
  <si>
    <t>Integración con otras herramientas</t>
  </si>
  <si>
    <t>Tarea 4</t>
  </si>
  <si>
    <t>Monitoreo y administración</t>
  </si>
  <si>
    <t>Examen Final</t>
  </si>
  <si>
    <t>Mes</t>
  </si>
  <si>
    <t>Semana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</si>
  <si>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</si>
  <si>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</si>
  <si>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</si>
  <si>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</si>
  <si>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</si>
  <si>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</si>
  <si>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</si>
  <si>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</si>
  <si>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</si>
  <si>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</si>
  <si>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x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</si>
  <si>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</si>
  <si>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</si>
  <si>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</si>
  <si>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</si>
  <si>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</si>
  <si>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</si>
  <si>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</si>
  <si>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</si>
  <si>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</si>
  <si>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</si>
  <si>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</si>
  <si>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</si>
  <si>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</si>
  <si>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</si>
  <si>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</si>
  <si>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</si>
  <si>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</si>
  <si>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</si>
  <si>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Enero</t>
  </si>
  <si>
    <t>Habilidades de Resolución de Problemas y Lógicas</t>
  </si>
  <si>
    <t>Fundamentos de Algoritmos y Pensamiento Computacional</t>
  </si>
  <si>
    <t>Tiempo aproximado</t>
  </si>
  <si>
    <t>Pensamiento Algorítmico para la Resolución de Problemas Complejos</t>
  </si>
  <si>
    <t>X</t>
  </si>
  <si>
    <t>Algoritmos Aplicados en Ciencias: Biología, Criptografía, Finanzas y Más</t>
  </si>
  <si>
    <t>Comprendiendo los Sistemas Numéricos</t>
  </si>
  <si>
    <t>Creación de Algoritmos Interactivos con Scratch</t>
  </si>
  <si>
    <t>Taller Práctico: Resolución de Problemas y Aplicación de Algoritmos</t>
  </si>
  <si>
    <t>Evaluación de Conocimientos: Cuestionario de Algoritmos y Sistemas Numéricos</t>
  </si>
  <si>
    <t>Tiempo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</si>
</sst>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"/>
  </numFmts>
  <fonts count="1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6.0"/>
      <color rgb="FF0D0D0D"/>
      <name val="Arial"/>
    </font>
    <font/>
    <font>
      <color theme="1"/>
      <name val="Arial"/>
      <scheme val="minor"/>
    </font>
    <font>
      <sz val="16.0"/>
      <color theme="1"/>
      <name val="Arial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2.0"/>
      <color rgb="FF000000"/>
      <name val="Arial"/>
    </font>
    <font>
      <sz val="10.0"/>
      <color rgb="FFFFFFFF"/>
      <name val="Arial"/>
    </font>
    <font>
      <b/>
      <sz val="12.0"/>
      <color theme="1"/>
      <name val="Arial"/>
    </font>
    <font>
      <sz val="10.0"/>
      <color theme="1"/>
      <name val="Arial Rounded"/>
    </font>
    <font>
      <b/>
      <sz val="12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 style="thin">
        <color rgb="FFFFFFFF"/>
      </right>
      <top/>
    </border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2" fillId="0" fontId="2" numFmtId="0" xfId="0" applyBorder="1" applyFont="1"/>
    <xf borderId="2" fillId="2" fontId="4" numFmtId="0" xfId="0" applyAlignment="1" applyBorder="1" applyFill="1" applyFont="1">
      <alignment horizontal="left" shrinkToFit="0" vertical="center" wrapText="1"/>
    </xf>
    <xf borderId="2" fillId="0" fontId="2" numFmtId="164" xfId="0" applyBorder="1" applyFont="1" applyNumberFormat="1"/>
    <xf borderId="3" fillId="0" fontId="5" numFmtId="0" xfId="0" applyBorder="1" applyFont="1"/>
    <xf borderId="4" fillId="0" fontId="5" numFmtId="0" xfId="0" applyBorder="1" applyFont="1"/>
    <xf borderId="0" fillId="0" fontId="6" numFmtId="0" xfId="0" applyFont="1"/>
    <xf borderId="2" fillId="0" fontId="7" numFmtId="0" xfId="0" applyAlignment="1" applyBorder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vertical="center"/>
    </xf>
    <xf borderId="5" fillId="3" fontId="8" numFmtId="0" xfId="0" applyBorder="1" applyFill="1" applyFont="1"/>
    <xf borderId="5" fillId="0" fontId="9" numFmtId="0" xfId="0" applyAlignment="1" applyBorder="1" applyFont="1">
      <alignment shrinkToFit="0" wrapText="1"/>
    </xf>
    <xf borderId="0" fillId="0" fontId="9" numFmtId="0" xfId="0" applyFont="1"/>
    <xf borderId="5" fillId="2" fontId="10" numFmtId="0" xfId="0" applyAlignment="1" applyBorder="1" applyFont="1">
      <alignment horizontal="left" shrinkToFit="0" wrapText="1"/>
    </xf>
    <xf borderId="5" fillId="2" fontId="10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6" fillId="4" fontId="8" numFmtId="0" xfId="0" applyBorder="1" applyFill="1" applyFont="1"/>
    <xf borderId="5" fillId="4" fontId="8" numFmtId="0" xfId="0" applyBorder="1" applyFont="1"/>
    <xf borderId="5" fillId="4" fontId="8" numFmtId="0" xfId="0" applyAlignment="1" applyBorder="1" applyFont="1">
      <alignment horizontal="center"/>
    </xf>
    <xf borderId="7" fillId="4" fontId="8" numFmtId="0" xfId="0" applyAlignment="1" applyBorder="1" applyFont="1">
      <alignment horizontal="center"/>
    </xf>
    <xf borderId="8" fillId="0" fontId="5" numFmtId="0" xfId="0" applyBorder="1" applyFont="1"/>
    <xf borderId="6" fillId="4" fontId="8" numFmtId="0" xfId="0" applyAlignment="1" applyBorder="1" applyFont="1">
      <alignment horizontal="center" shrinkToFit="0" wrapText="1"/>
    </xf>
    <xf borderId="1" fillId="5" fontId="3" numFmtId="0" xfId="0" applyBorder="1" applyFill="1" applyFont="1"/>
    <xf borderId="1" fillId="5" fontId="11" numFmtId="0" xfId="0" applyBorder="1" applyFont="1"/>
    <xf borderId="2" fillId="5" fontId="11" numFmtId="0" xfId="0" applyBorder="1" applyFont="1"/>
    <xf borderId="9" fillId="0" fontId="5" numFmtId="0" xfId="0" applyBorder="1" applyFont="1"/>
    <xf borderId="6" fillId="4" fontId="8" numFmtId="0" xfId="0" applyAlignment="1" applyBorder="1" applyFont="1">
      <alignment horizontal="center"/>
    </xf>
    <xf borderId="6" fillId="4" fontId="12" numFmtId="0" xfId="0" applyAlignment="1" applyBorder="1" applyFont="1">
      <alignment horizontal="center"/>
    </xf>
    <xf borderId="2" fillId="5" fontId="3" numFmtId="0" xfId="0" applyBorder="1" applyFont="1"/>
    <xf borderId="10" fillId="0" fontId="5" numFmtId="0" xfId="0" applyBorder="1" applyFont="1"/>
    <xf borderId="11" fillId="4" fontId="8" numFmtId="0" xfId="0" applyBorder="1" applyFont="1"/>
    <xf borderId="4" fillId="0" fontId="9" numFmtId="0" xfId="0" applyBorder="1" applyFont="1"/>
    <xf borderId="4" fillId="0" fontId="2" numFmtId="0" xfId="0" applyBorder="1" applyFont="1"/>
    <xf borderId="1" fillId="0" fontId="9" numFmtId="0" xfId="0" applyBorder="1" applyFont="1"/>
    <xf borderId="1" fillId="0" fontId="9" numFmtId="0" xfId="0" applyAlignment="1" applyBorder="1" applyFont="1">
      <alignment readingOrder="0"/>
    </xf>
    <xf borderId="0" fillId="0" fontId="1" numFmtId="0" xfId="0" applyAlignment="1" applyFont="1">
      <alignment shrinkToFit="0" wrapText="1"/>
    </xf>
    <xf borderId="0" fillId="0" fontId="13" numFmtId="0" xfId="0" applyFont="1"/>
    <xf borderId="0" fillId="0" fontId="14" numFmtId="0" xfId="0" applyFont="1"/>
    <xf borderId="5" fillId="4" fontId="8" numFmtId="0" xfId="0" applyAlignment="1" applyBorder="1" applyFont="1">
      <alignment shrinkToFit="0" wrapText="1"/>
    </xf>
    <xf borderId="11" fillId="4" fontId="8" numFmtId="0" xfId="0" applyAlignment="1" applyBorder="1" applyFont="1">
      <alignment horizontal="center" shrinkToFit="0" wrapText="1"/>
    </xf>
    <xf borderId="12" fillId="4" fontId="8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left" shrinkToFit="0" wrapText="1"/>
    </xf>
    <xf borderId="1" fillId="0" fontId="9" numFmtId="0" xfId="0" applyAlignment="1" applyBorder="1" applyFont="1">
      <alignment shrinkToFit="0" wrapText="1"/>
    </xf>
    <xf borderId="13" fillId="3" fontId="15" numFmtId="0" xfId="0" applyBorder="1" applyFont="1"/>
    <xf borderId="14" fillId="0" fontId="5" numFmtId="0" xfId="0" applyBorder="1" applyFont="1"/>
    <xf borderId="15" fillId="3" fontId="1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77.88"/>
    <col customWidth="1" min="3" max="3" width="122.88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1.0</v>
      </c>
      <c r="B2" s="2" t="s">
        <v>3</v>
      </c>
      <c r="C2" s="2" t="s">
        <v>4</v>
      </c>
    </row>
    <row r="3" ht="15.75" customHeight="1">
      <c r="A3" s="2">
        <v>2.0</v>
      </c>
      <c r="B3" s="2" t="s">
        <v>5</v>
      </c>
      <c r="C3" s="2" t="s">
        <v>6</v>
      </c>
    </row>
    <row r="4" ht="15.75" customHeight="1">
      <c r="A4" s="2">
        <v>3.0</v>
      </c>
      <c r="B4" s="2" t="s">
        <v>7</v>
      </c>
      <c r="C4" s="2" t="s">
        <v>8</v>
      </c>
    </row>
    <row r="5" ht="15.75" customHeight="1">
      <c r="A5" s="2">
        <v>4.0</v>
      </c>
      <c r="B5" s="2" t="s">
        <v>9</v>
      </c>
      <c r="C5" s="2" t="s">
        <v>10</v>
      </c>
    </row>
    <row r="6" ht="15.75" customHeight="1">
      <c r="A6" s="2">
        <v>5.0</v>
      </c>
      <c r="B6" s="2" t="s">
        <v>11</v>
      </c>
      <c r="C6" s="2" t="s">
        <v>12</v>
      </c>
    </row>
    <row r="7" ht="15.75" customHeight="1">
      <c r="A7" s="2">
        <v>6.0</v>
      </c>
      <c r="B7" s="2" t="s">
        <v>13</v>
      </c>
      <c r="C7" s="3" t="s">
        <v>14</v>
      </c>
    </row>
    <row r="8" ht="15.75" customHeight="1">
      <c r="A8" s="2">
        <v>7.0</v>
      </c>
      <c r="B8" s="2" t="s">
        <v>15</v>
      </c>
      <c r="C8" s="2" t="s">
        <v>16</v>
      </c>
    </row>
    <row r="9" ht="15.75" customHeight="1">
      <c r="A9" s="2">
        <v>8.0</v>
      </c>
      <c r="B9" s="2" t="s">
        <v>17</v>
      </c>
      <c r="C9" s="2" t="s">
        <v>18</v>
      </c>
    </row>
    <row r="10" ht="15.75" customHeight="1">
      <c r="A10" s="2">
        <v>9.0</v>
      </c>
      <c r="B10" s="2" t="s">
        <v>19</v>
      </c>
      <c r="C10" s="2" t="s">
        <v>20</v>
      </c>
    </row>
    <row r="11" ht="15.75" customHeight="1">
      <c r="A11" s="4"/>
      <c r="B11" s="4"/>
      <c r="C11" s="4"/>
    </row>
    <row r="12" ht="15.75" customHeight="1">
      <c r="A12" s="4"/>
      <c r="B12" s="4"/>
      <c r="C12" s="4"/>
    </row>
    <row r="13" ht="15.75" customHeight="1">
      <c r="A13" s="4"/>
      <c r="B13" s="4"/>
      <c r="C13" s="4"/>
    </row>
    <row r="14" ht="15.75" customHeight="1">
      <c r="A14" s="4"/>
      <c r="B14" s="4"/>
      <c r="C14" s="4"/>
    </row>
    <row r="15" ht="15.75" customHeight="1">
      <c r="A15" s="4"/>
      <c r="B15" s="4"/>
      <c r="C15" s="4"/>
    </row>
    <row r="16" ht="15.75" customHeight="1">
      <c r="A16" s="4"/>
      <c r="B16" s="4"/>
      <c r="C16" s="4"/>
    </row>
    <row r="17" ht="15.75" customHeight="1">
      <c r="A17" s="4"/>
      <c r="B17" s="4"/>
      <c r="C17" s="4"/>
    </row>
    <row r="18" ht="15.75" customHeight="1">
      <c r="A18" s="4"/>
      <c r="B18" s="4"/>
      <c r="C18" s="4"/>
    </row>
    <row r="19" ht="15.75" customHeight="1">
      <c r="A19" s="4"/>
      <c r="B19" s="4"/>
      <c r="C19" s="4"/>
    </row>
    <row r="20" ht="15.75" customHeight="1">
      <c r="A20" s="4"/>
      <c r="B20" s="4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43.63"/>
    <col customWidth="1" min="3" max="3" width="15.88"/>
    <col customWidth="1" min="4" max="4" width="30.0"/>
    <col customWidth="1" min="6" max="6" width="46.5"/>
    <col customWidth="1" min="7" max="7" width="44.25"/>
  </cols>
  <sheetData>
    <row r="1" ht="15.75" customHeight="1">
      <c r="A1" s="5" t="s">
        <v>21</v>
      </c>
      <c r="B1" s="2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</row>
    <row r="2" ht="15.75" customHeight="1">
      <c r="A2" s="6">
        <v>1.0</v>
      </c>
      <c r="B2" s="7" t="s">
        <v>28</v>
      </c>
      <c r="C2" s="6">
        <v>1.0</v>
      </c>
      <c r="D2" s="8" t="s">
        <v>28</v>
      </c>
      <c r="E2" s="5">
        <v>1.0</v>
      </c>
      <c r="F2" s="5" t="s">
        <v>29</v>
      </c>
      <c r="G2" s="5"/>
    </row>
    <row r="3" ht="15.75" customHeight="1">
      <c r="A3" s="9"/>
      <c r="B3" s="9"/>
      <c r="C3" s="9"/>
      <c r="D3" s="9"/>
      <c r="E3" s="5">
        <v>2.0</v>
      </c>
      <c r="F3" s="5" t="s">
        <v>30</v>
      </c>
      <c r="G3" s="5"/>
    </row>
    <row r="4" ht="15.75" customHeight="1">
      <c r="A4" s="9"/>
      <c r="B4" s="9"/>
      <c r="C4" s="9"/>
      <c r="D4" s="9"/>
      <c r="E4" s="5">
        <v>3.0</v>
      </c>
      <c r="F4" s="5" t="s">
        <v>31</v>
      </c>
      <c r="G4" s="5"/>
    </row>
    <row r="5" ht="15.75" customHeight="1">
      <c r="A5" s="9"/>
      <c r="B5" s="9"/>
      <c r="C5" s="9"/>
      <c r="D5" s="9"/>
      <c r="E5" s="5">
        <v>4.0</v>
      </c>
      <c r="F5" s="5" t="s">
        <v>32</v>
      </c>
      <c r="G5" s="5"/>
    </row>
    <row r="6" ht="15.75" customHeight="1">
      <c r="A6" s="9"/>
      <c r="B6" s="9"/>
      <c r="C6" s="9"/>
      <c r="D6" s="9"/>
      <c r="E6" s="5">
        <v>5.0</v>
      </c>
      <c r="F6" s="5" t="s">
        <v>33</v>
      </c>
      <c r="G6" s="5"/>
    </row>
    <row r="7" ht="15.75" customHeight="1">
      <c r="A7" s="9"/>
      <c r="B7" s="9"/>
      <c r="C7" s="9"/>
      <c r="D7" s="9"/>
      <c r="E7" s="5">
        <v>6.0</v>
      </c>
      <c r="F7" s="5" t="s">
        <v>34</v>
      </c>
      <c r="G7" s="5"/>
    </row>
    <row r="8" ht="15.75" customHeight="1">
      <c r="A8" s="9"/>
      <c r="B8" s="9"/>
      <c r="C8" s="10"/>
      <c r="D8" s="10"/>
      <c r="E8" s="5">
        <v>7.0</v>
      </c>
      <c r="F8" s="5" t="s">
        <v>35</v>
      </c>
      <c r="G8" s="5"/>
    </row>
    <row r="9" ht="15.75" customHeight="1">
      <c r="A9" s="9"/>
      <c r="B9" s="9"/>
      <c r="C9" s="6">
        <v>2.0</v>
      </c>
      <c r="D9" s="8" t="s">
        <v>28</v>
      </c>
      <c r="E9" s="5">
        <v>1.0</v>
      </c>
      <c r="F9" s="5" t="s">
        <v>36</v>
      </c>
      <c r="G9" s="5"/>
    </row>
    <row r="10" ht="15.75" customHeight="1">
      <c r="A10" s="9"/>
      <c r="B10" s="9"/>
      <c r="C10" s="9"/>
      <c r="D10" s="9"/>
      <c r="E10" s="5">
        <v>2.0</v>
      </c>
      <c r="F10" s="5" t="s">
        <v>37</v>
      </c>
      <c r="G10" s="5"/>
    </row>
    <row r="11" ht="15.75" customHeight="1">
      <c r="A11" s="9"/>
      <c r="B11" s="9"/>
      <c r="C11" s="9"/>
      <c r="D11" s="9"/>
      <c r="E11" s="5">
        <v>3.0</v>
      </c>
      <c r="F11" s="5" t="s">
        <v>38</v>
      </c>
      <c r="G11" s="5"/>
    </row>
    <row r="12" ht="15.75" customHeight="1">
      <c r="A12" s="9"/>
      <c r="B12" s="9"/>
      <c r="C12" s="9"/>
      <c r="D12" s="9"/>
      <c r="E12" s="5">
        <v>4.0</v>
      </c>
      <c r="F12" s="5" t="s">
        <v>39</v>
      </c>
      <c r="G12" s="5"/>
    </row>
    <row r="13" ht="15.75" customHeight="1">
      <c r="A13" s="9"/>
      <c r="B13" s="9"/>
      <c r="C13" s="9"/>
      <c r="D13" s="9"/>
      <c r="E13" s="5">
        <v>5.0</v>
      </c>
      <c r="F13" s="5" t="s">
        <v>40</v>
      </c>
      <c r="G13" s="5"/>
    </row>
    <row r="14" ht="15.75" customHeight="1">
      <c r="A14" s="9"/>
      <c r="B14" s="9"/>
      <c r="C14" s="9"/>
      <c r="D14" s="9"/>
      <c r="E14" s="5">
        <v>6.0</v>
      </c>
      <c r="F14" s="5" t="s">
        <v>41</v>
      </c>
      <c r="G14" s="5" t="s">
        <v>42</v>
      </c>
    </row>
    <row r="15" ht="15.75" customHeight="1">
      <c r="A15" s="9"/>
      <c r="B15" s="9"/>
      <c r="C15" s="10"/>
      <c r="D15" s="10"/>
      <c r="E15" s="5">
        <v>7.0</v>
      </c>
      <c r="F15" s="5" t="s">
        <v>43</v>
      </c>
      <c r="G15" s="5"/>
    </row>
    <row r="16" ht="15.75" customHeight="1">
      <c r="A16" s="9"/>
      <c r="B16" s="9"/>
      <c r="C16" s="6">
        <v>3.0</v>
      </c>
      <c r="D16" s="8" t="s">
        <v>28</v>
      </c>
      <c r="E16" s="5">
        <v>1.0</v>
      </c>
      <c r="F16" s="5" t="s">
        <v>44</v>
      </c>
      <c r="G16" s="5"/>
    </row>
    <row r="17" ht="15.75" customHeight="1">
      <c r="A17" s="9"/>
      <c r="B17" s="9"/>
      <c r="C17" s="9"/>
      <c r="D17" s="9"/>
      <c r="E17" s="5">
        <v>2.0</v>
      </c>
      <c r="F17" s="5" t="s">
        <v>45</v>
      </c>
      <c r="G17" s="5"/>
    </row>
    <row r="18" ht="15.75" customHeight="1">
      <c r="A18" s="9"/>
      <c r="B18" s="9"/>
      <c r="C18" s="9"/>
      <c r="D18" s="9"/>
      <c r="E18" s="5">
        <v>3.0</v>
      </c>
      <c r="F18" s="11" t="s">
        <v>46</v>
      </c>
      <c r="G18" s="5"/>
    </row>
    <row r="19" ht="15.75" customHeight="1">
      <c r="A19" s="9"/>
      <c r="B19" s="9"/>
      <c r="C19" s="9"/>
      <c r="D19" s="9"/>
      <c r="E19" s="5">
        <v>4.0</v>
      </c>
      <c r="F19" s="5" t="s">
        <v>47</v>
      </c>
      <c r="G19" s="5"/>
    </row>
    <row r="20" ht="15.75" customHeight="1">
      <c r="A20" s="9"/>
      <c r="B20" s="9"/>
      <c r="C20" s="9"/>
      <c r="D20" s="9"/>
      <c r="E20" s="5">
        <v>5.0</v>
      </c>
      <c r="F20" s="5" t="s">
        <v>48</v>
      </c>
      <c r="G20" s="5"/>
    </row>
    <row r="21" ht="15.75" customHeight="1">
      <c r="A21" s="9"/>
      <c r="B21" s="9"/>
      <c r="C21" s="9"/>
      <c r="D21" s="9"/>
      <c r="E21" s="5">
        <v>6.0</v>
      </c>
      <c r="F21" s="5" t="s">
        <v>49</v>
      </c>
      <c r="G21" s="5"/>
    </row>
    <row r="22" ht="15.75" customHeight="1">
      <c r="A22" s="9"/>
      <c r="B22" s="9"/>
      <c r="C22" s="10"/>
      <c r="D22" s="10"/>
      <c r="E22" s="5">
        <v>7.0</v>
      </c>
      <c r="F22" s="5" t="s">
        <v>50</v>
      </c>
      <c r="G22" s="5" t="s">
        <v>51</v>
      </c>
    </row>
    <row r="23" ht="15.75" customHeight="1">
      <c r="A23" s="9"/>
      <c r="B23" s="9"/>
      <c r="C23" s="6">
        <v>4.0</v>
      </c>
      <c r="D23" s="8" t="s">
        <v>28</v>
      </c>
      <c r="E23" s="5">
        <v>1.0</v>
      </c>
      <c r="F23" s="5" t="s">
        <v>52</v>
      </c>
      <c r="G23" s="5"/>
    </row>
    <row r="24" ht="15.75" customHeight="1">
      <c r="A24" s="9"/>
      <c r="B24" s="9"/>
      <c r="C24" s="9"/>
      <c r="D24" s="9"/>
      <c r="E24" s="5">
        <v>2.0</v>
      </c>
      <c r="F24" s="5" t="s">
        <v>53</v>
      </c>
      <c r="G24" s="5"/>
    </row>
    <row r="25" ht="15.75" customHeight="1">
      <c r="A25" s="9"/>
      <c r="B25" s="9"/>
      <c r="C25" s="9"/>
      <c r="D25" s="9"/>
      <c r="E25" s="5">
        <v>3.0</v>
      </c>
      <c r="F25" s="5" t="s">
        <v>54</v>
      </c>
      <c r="G25" s="5"/>
    </row>
    <row r="26" ht="15.75" customHeight="1">
      <c r="A26" s="9"/>
      <c r="B26" s="9"/>
      <c r="C26" s="9"/>
      <c r="D26" s="9"/>
      <c r="E26" s="5">
        <v>4.0</v>
      </c>
      <c r="F26" s="5" t="s">
        <v>55</v>
      </c>
      <c r="G26" s="5"/>
    </row>
    <row r="27" ht="15.75" customHeight="1">
      <c r="A27" s="9"/>
      <c r="B27" s="9"/>
      <c r="C27" s="9"/>
      <c r="D27" s="9"/>
      <c r="E27" s="5">
        <v>5.0</v>
      </c>
      <c r="F27" s="5" t="s">
        <v>56</v>
      </c>
      <c r="G27" s="5"/>
    </row>
    <row r="28" ht="15.75" customHeight="1">
      <c r="A28" s="9"/>
      <c r="B28" s="9"/>
      <c r="C28" s="9"/>
      <c r="D28" s="9"/>
      <c r="E28" s="5">
        <v>6.0</v>
      </c>
      <c r="F28" s="5" t="s">
        <v>57</v>
      </c>
      <c r="G28" s="5" t="s">
        <v>58</v>
      </c>
    </row>
    <row r="29" ht="15.75" customHeight="1">
      <c r="A29" s="10"/>
      <c r="B29" s="10"/>
      <c r="C29" s="10"/>
      <c r="D29" s="10"/>
      <c r="E29" s="5">
        <v>7.0</v>
      </c>
      <c r="F29" s="11" t="s">
        <v>59</v>
      </c>
      <c r="G29" s="5" t="s">
        <v>60</v>
      </c>
    </row>
    <row r="30" ht="15.75" customHeight="1">
      <c r="A30" s="6">
        <v>2.0</v>
      </c>
      <c r="B30" s="12" t="s">
        <v>61</v>
      </c>
      <c r="C30" s="6">
        <v>5.0</v>
      </c>
      <c r="D30" s="8" t="s">
        <v>61</v>
      </c>
      <c r="E30" s="5">
        <v>1.0</v>
      </c>
      <c r="F30" s="11" t="s">
        <v>62</v>
      </c>
      <c r="G30" s="5"/>
    </row>
    <row r="31" ht="15.75" customHeight="1">
      <c r="A31" s="9"/>
      <c r="B31" s="9"/>
      <c r="C31" s="9"/>
      <c r="D31" s="9"/>
      <c r="E31" s="5">
        <v>2.0</v>
      </c>
      <c r="F31" s="5" t="s">
        <v>63</v>
      </c>
      <c r="G31" s="5"/>
    </row>
    <row r="32" ht="15.75" customHeight="1">
      <c r="A32" s="9"/>
      <c r="B32" s="9"/>
      <c r="C32" s="9"/>
      <c r="D32" s="9"/>
      <c r="E32" s="5">
        <v>3.0</v>
      </c>
      <c r="F32" s="5" t="s">
        <v>64</v>
      </c>
      <c r="G32" s="5"/>
    </row>
    <row r="33" ht="15.75" customHeight="1">
      <c r="A33" s="9"/>
      <c r="B33" s="9"/>
      <c r="C33" s="9"/>
      <c r="D33" s="9"/>
      <c r="E33" s="5">
        <v>4.0</v>
      </c>
      <c r="F33" s="5" t="s">
        <v>65</v>
      </c>
      <c r="G33" s="5"/>
    </row>
    <row r="34" ht="15.75" customHeight="1">
      <c r="A34" s="9"/>
      <c r="B34" s="9"/>
      <c r="C34" s="9"/>
      <c r="D34" s="9"/>
      <c r="E34" s="5">
        <v>5.0</v>
      </c>
      <c r="F34" s="5" t="s">
        <v>66</v>
      </c>
      <c r="G34" s="5"/>
    </row>
    <row r="35" ht="15.75" customHeight="1">
      <c r="A35" s="9"/>
      <c r="B35" s="9"/>
      <c r="C35" s="9"/>
      <c r="D35" s="9"/>
      <c r="E35" s="5">
        <v>6.0</v>
      </c>
      <c r="F35" s="5" t="s">
        <v>67</v>
      </c>
      <c r="G35" s="5"/>
    </row>
    <row r="36" ht="15.75" customHeight="1">
      <c r="A36" s="9"/>
      <c r="B36" s="9"/>
      <c r="C36" s="10"/>
      <c r="D36" s="10"/>
      <c r="E36" s="5">
        <v>7.0</v>
      </c>
      <c r="F36" s="5" t="s">
        <v>68</v>
      </c>
      <c r="G36" s="5"/>
    </row>
    <row r="37" ht="15.75" customHeight="1">
      <c r="A37" s="9"/>
      <c r="B37" s="9"/>
      <c r="C37" s="6">
        <v>6.0</v>
      </c>
      <c r="D37" s="8" t="s">
        <v>69</v>
      </c>
      <c r="E37" s="5">
        <v>1.0</v>
      </c>
      <c r="F37" s="5" t="s">
        <v>70</v>
      </c>
      <c r="G37" s="5"/>
    </row>
    <row r="38" ht="15.75" customHeight="1">
      <c r="A38" s="9"/>
      <c r="B38" s="9"/>
      <c r="C38" s="9"/>
      <c r="D38" s="9"/>
      <c r="E38" s="5">
        <v>2.0</v>
      </c>
      <c r="F38" s="5" t="s">
        <v>71</v>
      </c>
      <c r="G38" s="5"/>
    </row>
    <row r="39" ht="15.75" customHeight="1">
      <c r="A39" s="9"/>
      <c r="B39" s="9"/>
      <c r="C39" s="9"/>
      <c r="D39" s="9"/>
      <c r="E39" s="5">
        <v>3.0</v>
      </c>
      <c r="F39" s="5" t="s">
        <v>72</v>
      </c>
      <c r="G39" s="5"/>
    </row>
    <row r="40" ht="15.75" customHeight="1">
      <c r="A40" s="9"/>
      <c r="B40" s="9"/>
      <c r="C40" s="9"/>
      <c r="D40" s="9"/>
      <c r="E40" s="5">
        <v>4.0</v>
      </c>
      <c r="F40" s="5" t="s">
        <v>73</v>
      </c>
      <c r="G40" s="5"/>
    </row>
    <row r="41" ht="15.75" customHeight="1">
      <c r="A41" s="9"/>
      <c r="B41" s="9"/>
      <c r="C41" s="9"/>
      <c r="D41" s="9"/>
      <c r="E41" s="5">
        <v>5.0</v>
      </c>
      <c r="F41" s="5" t="s">
        <v>74</v>
      </c>
      <c r="G41" s="5"/>
    </row>
    <row r="42" ht="15.75" customHeight="1">
      <c r="A42" s="9"/>
      <c r="B42" s="9"/>
      <c r="C42" s="9"/>
      <c r="D42" s="9"/>
      <c r="E42" s="5">
        <v>6.0</v>
      </c>
      <c r="F42" s="5" t="s">
        <v>75</v>
      </c>
      <c r="G42" s="5" t="s">
        <v>76</v>
      </c>
    </row>
    <row r="43" ht="15.75" customHeight="1">
      <c r="A43" s="9"/>
      <c r="B43" s="9"/>
      <c r="C43" s="10"/>
      <c r="D43" s="10"/>
      <c r="E43" s="5">
        <v>7.0</v>
      </c>
      <c r="F43" s="5" t="s">
        <v>77</v>
      </c>
      <c r="G43" s="5" t="s">
        <v>78</v>
      </c>
    </row>
    <row r="44" ht="15.75" customHeight="1">
      <c r="A44" s="9"/>
      <c r="B44" s="9"/>
      <c r="C44" s="6">
        <v>7.0</v>
      </c>
      <c r="D44" s="8" t="s">
        <v>69</v>
      </c>
      <c r="E44" s="5">
        <v>1.0</v>
      </c>
      <c r="F44" s="5" t="s">
        <v>79</v>
      </c>
      <c r="G44" s="5"/>
    </row>
    <row r="45" ht="15.75" customHeight="1">
      <c r="A45" s="9"/>
      <c r="B45" s="9"/>
      <c r="C45" s="9"/>
      <c r="D45" s="9"/>
      <c r="E45" s="5">
        <v>2.0</v>
      </c>
      <c r="F45" s="5" t="s">
        <v>80</v>
      </c>
      <c r="G45" s="5"/>
    </row>
    <row r="46" ht="15.75" customHeight="1">
      <c r="A46" s="9"/>
      <c r="B46" s="9"/>
      <c r="C46" s="9"/>
      <c r="D46" s="9"/>
      <c r="E46" s="5">
        <v>3.0</v>
      </c>
      <c r="F46" s="11" t="s">
        <v>81</v>
      </c>
      <c r="G46" s="5"/>
    </row>
    <row r="47" ht="15.75" customHeight="1">
      <c r="A47" s="9"/>
      <c r="B47" s="9"/>
      <c r="C47" s="9"/>
      <c r="D47" s="9"/>
      <c r="E47" s="5">
        <v>4.0</v>
      </c>
      <c r="F47" s="5" t="s">
        <v>82</v>
      </c>
      <c r="G47" s="5"/>
    </row>
    <row r="48" ht="15.75" customHeight="1">
      <c r="A48" s="9"/>
      <c r="B48" s="9"/>
      <c r="C48" s="9"/>
      <c r="D48" s="9"/>
      <c r="E48" s="5">
        <v>5.0</v>
      </c>
      <c r="F48" s="5" t="s">
        <v>83</v>
      </c>
      <c r="G48" s="5"/>
    </row>
    <row r="49" ht="15.75" customHeight="1">
      <c r="A49" s="9"/>
      <c r="B49" s="9"/>
      <c r="C49" s="9"/>
      <c r="D49" s="9"/>
      <c r="E49" s="5">
        <v>6.0</v>
      </c>
      <c r="F49" s="5" t="s">
        <v>84</v>
      </c>
      <c r="G49" s="5"/>
    </row>
    <row r="50" ht="15.75" customHeight="1">
      <c r="A50" s="9"/>
      <c r="B50" s="9"/>
      <c r="C50" s="10"/>
      <c r="D50" s="10"/>
      <c r="E50" s="5">
        <v>7.0</v>
      </c>
      <c r="F50" s="11" t="s">
        <v>85</v>
      </c>
      <c r="G50" s="5"/>
    </row>
    <row r="51" ht="15.75" customHeight="1">
      <c r="A51" s="9"/>
      <c r="B51" s="9"/>
      <c r="C51" s="6">
        <v>8.0</v>
      </c>
      <c r="D51" s="8" t="s">
        <v>69</v>
      </c>
      <c r="E51" s="5">
        <v>1.0</v>
      </c>
      <c r="F51" s="5" t="s">
        <v>86</v>
      </c>
      <c r="G51" s="5"/>
    </row>
    <row r="52" ht="15.75" customHeight="1">
      <c r="A52" s="9"/>
      <c r="B52" s="9"/>
      <c r="C52" s="9"/>
      <c r="D52" s="9"/>
      <c r="E52" s="5">
        <v>2.0</v>
      </c>
      <c r="F52" s="5" t="s">
        <v>87</v>
      </c>
      <c r="G52" s="5"/>
    </row>
    <row r="53" ht="15.75" customHeight="1">
      <c r="A53" s="9"/>
      <c r="B53" s="9"/>
      <c r="C53" s="9"/>
      <c r="D53" s="9"/>
      <c r="E53" s="5">
        <v>3.0</v>
      </c>
      <c r="F53" s="5" t="s">
        <v>88</v>
      </c>
      <c r="G53" s="5"/>
    </row>
    <row r="54" ht="15.75" customHeight="1">
      <c r="A54" s="9"/>
      <c r="B54" s="9"/>
      <c r="C54" s="9"/>
      <c r="D54" s="9"/>
      <c r="E54" s="5">
        <v>4.0</v>
      </c>
      <c r="F54" s="5" t="s">
        <v>89</v>
      </c>
      <c r="G54" s="5"/>
    </row>
    <row r="55" ht="15.75" customHeight="1">
      <c r="A55" s="9"/>
      <c r="B55" s="9"/>
      <c r="C55" s="9"/>
      <c r="D55" s="9"/>
      <c r="E55" s="5">
        <v>5.0</v>
      </c>
      <c r="F55" s="5" t="s">
        <v>90</v>
      </c>
      <c r="G55" s="5"/>
    </row>
    <row r="56" ht="15.75" customHeight="1">
      <c r="A56" s="9"/>
      <c r="B56" s="9"/>
      <c r="C56" s="9"/>
      <c r="D56" s="9"/>
      <c r="E56" s="5">
        <v>6.0</v>
      </c>
      <c r="F56" s="11" t="s">
        <v>91</v>
      </c>
      <c r="G56" s="5" t="s">
        <v>92</v>
      </c>
    </row>
    <row r="57" ht="15.75" customHeight="1">
      <c r="A57" s="10"/>
      <c r="B57" s="10"/>
      <c r="C57" s="10"/>
      <c r="D57" s="10"/>
      <c r="E57" s="5">
        <v>7.0</v>
      </c>
      <c r="F57" s="5" t="s">
        <v>93</v>
      </c>
      <c r="G57" s="5" t="s">
        <v>94</v>
      </c>
    </row>
    <row r="58" ht="15.75" customHeight="1">
      <c r="A58" s="6">
        <v>3.0</v>
      </c>
      <c r="B58" s="13" t="s">
        <v>95</v>
      </c>
      <c r="C58" s="6">
        <v>9.0</v>
      </c>
      <c r="D58" s="8" t="s">
        <v>95</v>
      </c>
      <c r="E58" s="5">
        <v>1.0</v>
      </c>
      <c r="F58" s="11" t="s">
        <v>96</v>
      </c>
      <c r="G58" s="5"/>
    </row>
    <row r="59" ht="15.75" customHeight="1">
      <c r="A59" s="9"/>
      <c r="B59" s="9"/>
      <c r="C59" s="9"/>
      <c r="D59" s="9"/>
      <c r="E59" s="5">
        <v>2.0</v>
      </c>
      <c r="F59" s="5" t="s">
        <v>97</v>
      </c>
      <c r="G59" s="5"/>
    </row>
    <row r="60" ht="15.75" customHeight="1">
      <c r="A60" s="9"/>
      <c r="B60" s="9"/>
      <c r="C60" s="9"/>
      <c r="D60" s="9"/>
      <c r="E60" s="5">
        <v>3.0</v>
      </c>
      <c r="F60" s="5" t="s">
        <v>98</v>
      </c>
      <c r="G60" s="5"/>
    </row>
    <row r="61" ht="15.75" customHeight="1">
      <c r="A61" s="9"/>
      <c r="B61" s="9"/>
      <c r="C61" s="9"/>
      <c r="D61" s="9"/>
      <c r="E61" s="5">
        <v>4.0</v>
      </c>
      <c r="F61" s="5" t="s">
        <v>99</v>
      </c>
      <c r="G61" s="5"/>
    </row>
    <row r="62" ht="15.75" customHeight="1">
      <c r="A62" s="9"/>
      <c r="B62" s="9"/>
      <c r="C62" s="9"/>
      <c r="D62" s="9"/>
      <c r="E62" s="5">
        <v>5.0</v>
      </c>
      <c r="F62" s="5" t="s">
        <v>100</v>
      </c>
      <c r="G62" s="5"/>
    </row>
    <row r="63" ht="15.75" customHeight="1">
      <c r="A63" s="9"/>
      <c r="B63" s="9"/>
      <c r="C63" s="9"/>
      <c r="D63" s="9"/>
      <c r="E63" s="5">
        <v>6.0</v>
      </c>
      <c r="F63" s="5" t="s">
        <v>101</v>
      </c>
      <c r="G63" s="5"/>
    </row>
    <row r="64" ht="15.75" customHeight="1">
      <c r="A64" s="9"/>
      <c r="B64" s="9"/>
      <c r="C64" s="10"/>
      <c r="D64" s="10"/>
      <c r="E64" s="5">
        <v>7.0</v>
      </c>
      <c r="F64" s="5" t="s">
        <v>102</v>
      </c>
      <c r="G64" s="5" t="s">
        <v>51</v>
      </c>
    </row>
    <row r="65" ht="15.75" customHeight="1">
      <c r="A65" s="9"/>
      <c r="B65" s="9"/>
      <c r="C65" s="6">
        <v>10.0</v>
      </c>
      <c r="D65" s="8" t="s">
        <v>95</v>
      </c>
      <c r="E65" s="5">
        <v>1.0</v>
      </c>
      <c r="F65" s="5" t="s">
        <v>103</v>
      </c>
      <c r="G65" s="5"/>
    </row>
    <row r="66" ht="15.75" customHeight="1">
      <c r="A66" s="9"/>
      <c r="B66" s="9"/>
      <c r="C66" s="9"/>
      <c r="D66" s="9"/>
      <c r="E66" s="5">
        <v>2.0</v>
      </c>
      <c r="F66" s="5" t="s">
        <v>104</v>
      </c>
      <c r="G66" s="5"/>
    </row>
    <row r="67" ht="15.75" customHeight="1">
      <c r="A67" s="9"/>
      <c r="B67" s="9"/>
      <c r="C67" s="9"/>
      <c r="D67" s="9"/>
      <c r="E67" s="5">
        <v>3.0</v>
      </c>
      <c r="F67" s="5" t="s">
        <v>105</v>
      </c>
      <c r="G67" s="5"/>
    </row>
    <row r="68" ht="15.75" customHeight="1">
      <c r="A68" s="9"/>
      <c r="B68" s="9"/>
      <c r="C68" s="9"/>
      <c r="D68" s="9"/>
      <c r="E68" s="5">
        <v>4.0</v>
      </c>
      <c r="F68" s="11" t="s">
        <v>106</v>
      </c>
      <c r="G68" s="5"/>
    </row>
    <row r="69" ht="15.75" customHeight="1">
      <c r="A69" s="9"/>
      <c r="B69" s="9"/>
      <c r="C69" s="9"/>
      <c r="D69" s="9"/>
      <c r="E69" s="5">
        <v>5.0</v>
      </c>
      <c r="F69" s="5" t="s">
        <v>107</v>
      </c>
      <c r="G69" s="5"/>
    </row>
    <row r="70" ht="15.75" customHeight="1">
      <c r="A70" s="9"/>
      <c r="B70" s="9"/>
      <c r="C70" s="9"/>
      <c r="D70" s="9"/>
      <c r="E70" s="5">
        <v>6.0</v>
      </c>
      <c r="F70" s="5" t="s">
        <v>108</v>
      </c>
      <c r="G70" s="5"/>
    </row>
    <row r="71" ht="15.75" customHeight="1">
      <c r="A71" s="9"/>
      <c r="B71" s="9"/>
      <c r="C71" s="10"/>
      <c r="D71" s="10"/>
      <c r="E71" s="5">
        <v>7.0</v>
      </c>
      <c r="F71" s="5" t="s">
        <v>109</v>
      </c>
      <c r="G71" s="5" t="s">
        <v>110</v>
      </c>
    </row>
    <row r="72" ht="15.75" customHeight="1">
      <c r="A72" s="9"/>
      <c r="B72" s="9"/>
      <c r="C72" s="6">
        <v>11.0</v>
      </c>
      <c r="D72" s="8" t="s">
        <v>95</v>
      </c>
      <c r="E72" s="5">
        <v>1.0</v>
      </c>
      <c r="F72" s="5" t="s">
        <v>111</v>
      </c>
      <c r="G72" s="5"/>
    </row>
    <row r="73" ht="15.75" customHeight="1">
      <c r="A73" s="9"/>
      <c r="B73" s="9"/>
      <c r="C73" s="9"/>
      <c r="D73" s="9"/>
      <c r="E73" s="5">
        <v>2.0</v>
      </c>
      <c r="F73" s="5" t="s">
        <v>112</v>
      </c>
      <c r="G73" s="5"/>
    </row>
    <row r="74" ht="15.75" customHeight="1">
      <c r="A74" s="9"/>
      <c r="B74" s="9"/>
      <c r="C74" s="9"/>
      <c r="D74" s="9"/>
      <c r="E74" s="5">
        <v>3.0</v>
      </c>
      <c r="F74" s="11" t="s">
        <v>113</v>
      </c>
      <c r="G74" s="5"/>
    </row>
    <row r="75" ht="15.75" customHeight="1">
      <c r="A75" s="9"/>
      <c r="B75" s="9"/>
      <c r="C75" s="9"/>
      <c r="D75" s="9"/>
      <c r="E75" s="5">
        <v>4.0</v>
      </c>
      <c r="F75" s="5" t="s">
        <v>114</v>
      </c>
      <c r="G75" s="5"/>
    </row>
    <row r="76" ht="15.75" customHeight="1">
      <c r="A76" s="9"/>
      <c r="B76" s="9"/>
      <c r="C76" s="9"/>
      <c r="D76" s="9"/>
      <c r="E76" s="5">
        <v>5.0</v>
      </c>
      <c r="F76" s="11" t="s">
        <v>115</v>
      </c>
      <c r="G76" s="5"/>
    </row>
    <row r="77" ht="15.75" customHeight="1">
      <c r="A77" s="9"/>
      <c r="B77" s="9"/>
      <c r="C77" s="9"/>
      <c r="D77" s="9"/>
      <c r="E77" s="5">
        <v>6.0</v>
      </c>
      <c r="F77" s="11" t="s">
        <v>116</v>
      </c>
      <c r="G77" s="5"/>
    </row>
    <row r="78" ht="15.75" customHeight="1">
      <c r="A78" s="9"/>
      <c r="B78" s="9"/>
      <c r="C78" s="10"/>
      <c r="D78" s="10"/>
      <c r="E78" s="5">
        <v>7.0</v>
      </c>
      <c r="F78" s="5" t="s">
        <v>117</v>
      </c>
      <c r="G78" s="5"/>
    </row>
    <row r="79" ht="15.75" customHeight="1">
      <c r="A79" s="9"/>
      <c r="B79" s="9"/>
      <c r="C79" s="6">
        <v>12.0</v>
      </c>
      <c r="D79" s="8" t="s">
        <v>95</v>
      </c>
      <c r="E79" s="5">
        <v>1.0</v>
      </c>
      <c r="F79" s="11" t="s">
        <v>118</v>
      </c>
      <c r="G79" s="5"/>
    </row>
    <row r="80" ht="15.75" customHeight="1">
      <c r="A80" s="9"/>
      <c r="B80" s="9"/>
      <c r="C80" s="9"/>
      <c r="D80" s="9"/>
      <c r="E80" s="5">
        <v>2.0</v>
      </c>
      <c r="F80" s="5" t="s">
        <v>119</v>
      </c>
      <c r="G80" s="5"/>
    </row>
    <row r="81" ht="15.75" customHeight="1">
      <c r="A81" s="9"/>
      <c r="B81" s="9"/>
      <c r="C81" s="9"/>
      <c r="D81" s="9"/>
      <c r="E81" s="5">
        <v>3.0</v>
      </c>
      <c r="F81" s="5" t="s">
        <v>120</v>
      </c>
      <c r="G81" s="5"/>
    </row>
    <row r="82" ht="15.75" customHeight="1">
      <c r="A82" s="9"/>
      <c r="B82" s="9"/>
      <c r="C82" s="9"/>
      <c r="D82" s="9"/>
      <c r="E82" s="5">
        <v>4.0</v>
      </c>
      <c r="F82" s="5" t="s">
        <v>121</v>
      </c>
      <c r="G82" s="5"/>
    </row>
    <row r="83" ht="15.75" customHeight="1">
      <c r="A83" s="9"/>
      <c r="B83" s="9"/>
      <c r="C83" s="9"/>
      <c r="D83" s="9"/>
      <c r="E83" s="5">
        <v>5.0</v>
      </c>
      <c r="F83" s="5" t="s">
        <v>122</v>
      </c>
      <c r="G83" s="5" t="s">
        <v>123</v>
      </c>
    </row>
    <row r="84" ht="15.75" customHeight="1">
      <c r="A84" s="9"/>
      <c r="B84" s="9"/>
      <c r="C84" s="9"/>
      <c r="D84" s="9"/>
      <c r="E84" s="5">
        <v>6.0</v>
      </c>
      <c r="F84" s="5" t="s">
        <v>124</v>
      </c>
      <c r="G84" s="5" t="s">
        <v>125</v>
      </c>
    </row>
    <row r="85" ht="15.75" customHeight="1">
      <c r="A85" s="10"/>
      <c r="B85" s="10"/>
      <c r="C85" s="10"/>
      <c r="D85" s="10"/>
      <c r="E85" s="5">
        <v>7.0</v>
      </c>
      <c r="F85" s="5" t="s">
        <v>126</v>
      </c>
      <c r="G85" s="5" t="s">
        <v>78</v>
      </c>
    </row>
    <row r="86" ht="15.75" customHeight="1">
      <c r="A86" s="6">
        <v>4.0</v>
      </c>
      <c r="B86" s="14" t="s">
        <v>127</v>
      </c>
      <c r="C86" s="6">
        <v>13.0</v>
      </c>
      <c r="D86" s="8" t="s">
        <v>128</v>
      </c>
      <c r="E86" s="5">
        <v>1.0</v>
      </c>
      <c r="F86" s="11" t="s">
        <v>129</v>
      </c>
      <c r="G86" s="5"/>
    </row>
    <row r="87" ht="15.75" customHeight="1">
      <c r="A87" s="9"/>
      <c r="B87" s="9"/>
      <c r="C87" s="9"/>
      <c r="D87" s="9"/>
      <c r="E87" s="5">
        <v>2.0</v>
      </c>
      <c r="F87" s="5" t="s">
        <v>130</v>
      </c>
      <c r="G87" s="5"/>
    </row>
    <row r="88" ht="15.75" customHeight="1">
      <c r="A88" s="9"/>
      <c r="B88" s="9"/>
      <c r="C88" s="9"/>
      <c r="D88" s="9"/>
      <c r="E88" s="5">
        <v>3.0</v>
      </c>
      <c r="F88" s="5" t="s">
        <v>131</v>
      </c>
      <c r="G88" s="5"/>
    </row>
    <row r="89" ht="15.75" customHeight="1">
      <c r="A89" s="9"/>
      <c r="B89" s="9"/>
      <c r="C89" s="9"/>
      <c r="D89" s="9"/>
      <c r="E89" s="5">
        <v>4.0</v>
      </c>
      <c r="F89" s="5" t="s">
        <v>32</v>
      </c>
      <c r="G89" s="5"/>
    </row>
    <row r="90" ht="15.75" customHeight="1">
      <c r="A90" s="9"/>
      <c r="B90" s="9"/>
      <c r="C90" s="9"/>
      <c r="D90" s="9"/>
      <c r="E90" s="5">
        <v>5.0</v>
      </c>
      <c r="F90" s="5" t="s">
        <v>132</v>
      </c>
      <c r="G90" s="5"/>
    </row>
    <row r="91" ht="15.75" customHeight="1">
      <c r="A91" s="9"/>
      <c r="B91" s="9"/>
      <c r="C91" s="9"/>
      <c r="D91" s="9"/>
      <c r="E91" s="5">
        <v>6.0</v>
      </c>
      <c r="F91" s="5" t="s">
        <v>133</v>
      </c>
      <c r="G91" s="5"/>
    </row>
    <row r="92" ht="15.75" customHeight="1">
      <c r="A92" s="9"/>
      <c r="B92" s="9"/>
      <c r="C92" s="10"/>
      <c r="D92" s="10"/>
      <c r="E92" s="5">
        <v>7.0</v>
      </c>
      <c r="F92" s="5" t="s">
        <v>134</v>
      </c>
    </row>
    <row r="93" ht="15.75" customHeight="1">
      <c r="A93" s="9"/>
      <c r="B93" s="9"/>
      <c r="C93" s="6">
        <v>14.0</v>
      </c>
      <c r="D93" s="8" t="s">
        <v>128</v>
      </c>
      <c r="E93" s="5">
        <v>1.0</v>
      </c>
      <c r="F93" s="5" t="s">
        <v>135</v>
      </c>
      <c r="G93" s="5"/>
    </row>
    <row r="94" ht="15.75" customHeight="1">
      <c r="A94" s="9"/>
      <c r="B94" s="9"/>
      <c r="C94" s="9"/>
      <c r="D94" s="9"/>
      <c r="E94" s="5">
        <v>2.0</v>
      </c>
      <c r="F94" s="5" t="s">
        <v>136</v>
      </c>
      <c r="G94" s="5"/>
    </row>
    <row r="95" ht="15.75" customHeight="1">
      <c r="A95" s="9"/>
      <c r="B95" s="9"/>
      <c r="C95" s="9"/>
      <c r="D95" s="9"/>
      <c r="E95" s="5">
        <v>3.0</v>
      </c>
      <c r="F95" s="5" t="s">
        <v>137</v>
      </c>
      <c r="G95" s="5"/>
    </row>
    <row r="96" ht="15.75" customHeight="1">
      <c r="A96" s="9"/>
      <c r="B96" s="9"/>
      <c r="C96" s="9"/>
      <c r="D96" s="9"/>
      <c r="E96" s="5">
        <v>4.0</v>
      </c>
      <c r="F96" s="5" t="s">
        <v>138</v>
      </c>
      <c r="G96" s="5"/>
    </row>
    <row r="97" ht="15.75" customHeight="1">
      <c r="A97" s="9"/>
      <c r="B97" s="9"/>
      <c r="C97" s="9"/>
      <c r="D97" s="9"/>
      <c r="E97" s="5">
        <v>5.0</v>
      </c>
      <c r="F97" s="5" t="s">
        <v>139</v>
      </c>
      <c r="G97" s="5"/>
    </row>
    <row r="98" ht="15.75" customHeight="1">
      <c r="A98" s="9"/>
      <c r="B98" s="9"/>
      <c r="C98" s="9"/>
      <c r="D98" s="9"/>
      <c r="E98" s="5">
        <v>6.0</v>
      </c>
      <c r="F98" s="5" t="s">
        <v>140</v>
      </c>
      <c r="G98" s="5" t="s">
        <v>141</v>
      </c>
    </row>
    <row r="99" ht="15.75" customHeight="1">
      <c r="A99" s="10"/>
      <c r="B99" s="10"/>
      <c r="C99" s="10"/>
      <c r="D99" s="10"/>
      <c r="E99" s="5">
        <v>7.0</v>
      </c>
      <c r="F99" s="5" t="s">
        <v>142</v>
      </c>
      <c r="G99" s="5" t="s">
        <v>143</v>
      </c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2:A29"/>
    <mergeCell ref="A30:A57"/>
    <mergeCell ref="B30:B57"/>
    <mergeCell ref="A58:A85"/>
    <mergeCell ref="B58:B85"/>
    <mergeCell ref="A86:A99"/>
    <mergeCell ref="B86:B99"/>
    <mergeCell ref="B2:B29"/>
    <mergeCell ref="C2:C8"/>
    <mergeCell ref="D2:D8"/>
    <mergeCell ref="C9:C15"/>
    <mergeCell ref="D9:D15"/>
    <mergeCell ref="D16:D22"/>
    <mergeCell ref="D23:D29"/>
    <mergeCell ref="C65:C71"/>
    <mergeCell ref="C72:C78"/>
    <mergeCell ref="C79:C85"/>
    <mergeCell ref="C86:C92"/>
    <mergeCell ref="C93:C99"/>
    <mergeCell ref="C16:C22"/>
    <mergeCell ref="C23:C29"/>
    <mergeCell ref="C30:C36"/>
    <mergeCell ref="C37:C43"/>
    <mergeCell ref="C44:C50"/>
    <mergeCell ref="C51:C57"/>
    <mergeCell ref="C58:C64"/>
    <mergeCell ref="D79:D85"/>
    <mergeCell ref="D86:D92"/>
    <mergeCell ref="D93:D99"/>
    <mergeCell ref="D30:D36"/>
    <mergeCell ref="D37:D43"/>
    <mergeCell ref="D44:D50"/>
    <mergeCell ref="D51:D57"/>
    <mergeCell ref="D58:D64"/>
    <mergeCell ref="D65:D71"/>
    <mergeCell ref="D72:D7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1.0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1.0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28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28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5" t="s">
        <v>29</v>
      </c>
      <c r="C9" s="37" t="s">
        <v>156</v>
      </c>
      <c r="D9" s="37"/>
      <c r="E9" s="37" t="s">
        <v>156</v>
      </c>
      <c r="F9" s="37"/>
      <c r="G9" s="37"/>
      <c r="H9" s="37"/>
      <c r="I9" s="37"/>
      <c r="J9" s="37">
        <f>IF(C9="X",$C$7,0)+IF(D9="X",$D$7,0)+IF(E9="X",$E$7,0)+IF(F9="X",$F$7,0)+IF(G9="X",$G$7,0)+IF(H9="X",$H$7,0)+IF(I9="X",$I$7,0)</f>
        <v>25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30</v>
      </c>
      <c r="C10" s="38"/>
      <c r="D10" s="39" t="s">
        <v>156</v>
      </c>
      <c r="E10" s="38"/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5" t="s">
        <v>31</v>
      </c>
      <c r="C11" s="38"/>
      <c r="D11" s="38"/>
      <c r="E11" s="38"/>
      <c r="F11" s="39" t="s">
        <v>156</v>
      </c>
      <c r="G11" s="38"/>
      <c r="H11" s="38"/>
      <c r="I11" s="38"/>
      <c r="J11" s="37">
        <f t="shared" si="2"/>
        <v>15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32</v>
      </c>
      <c r="C12" s="39"/>
      <c r="D12" s="39" t="s">
        <v>156</v>
      </c>
      <c r="E12" s="38" t="s">
        <v>156</v>
      </c>
      <c r="F12" s="38"/>
      <c r="G12" s="38"/>
      <c r="H12" s="38"/>
      <c r="I12" s="38"/>
      <c r="J12" s="37">
        <f t="shared" si="2"/>
        <v>20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33</v>
      </c>
      <c r="C13" s="38"/>
      <c r="D13" s="38"/>
      <c r="E13" s="38"/>
      <c r="F13" s="38"/>
      <c r="G13" s="38"/>
      <c r="H13" s="39" t="s">
        <v>156</v>
      </c>
      <c r="I13" s="39"/>
      <c r="J13" s="37">
        <f t="shared" si="2"/>
        <v>5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34</v>
      </c>
      <c r="C14" s="38"/>
      <c r="D14" s="38"/>
      <c r="E14" s="38" t="s">
        <v>156</v>
      </c>
      <c r="F14" s="39"/>
      <c r="G14" s="39" t="s">
        <v>156</v>
      </c>
      <c r="H14" s="38"/>
      <c r="I14" s="38"/>
      <c r="J14" s="37">
        <f t="shared" si="2"/>
        <v>15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35</v>
      </c>
      <c r="C15" s="38"/>
      <c r="D15" s="39" t="s">
        <v>156</v>
      </c>
      <c r="E15" s="38"/>
      <c r="F15" s="38"/>
      <c r="G15" s="38"/>
      <c r="H15" s="39"/>
      <c r="I15" s="39" t="s">
        <v>156</v>
      </c>
      <c r="J15" s="37">
        <f t="shared" si="2"/>
        <v>25</v>
      </c>
      <c r="K15" s="38"/>
      <c r="L15" s="38"/>
      <c r="M15" s="38">
        <f t="shared" si="1"/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115</v>
      </c>
      <c r="K16" s="17"/>
      <c r="L16" s="20" t="s">
        <v>158</v>
      </c>
      <c r="M16" s="17">
        <f>SUM(M9:M15)</f>
        <v>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160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1.0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2.0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28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28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5" t="s">
        <v>36</v>
      </c>
      <c r="C9" s="37" t="s">
        <v>156</v>
      </c>
      <c r="D9" s="37"/>
      <c r="E9" s="37"/>
      <c r="F9" s="37"/>
      <c r="G9" s="37"/>
      <c r="H9" s="37"/>
      <c r="I9" s="37"/>
      <c r="J9" s="37">
        <f>IF(C9="X",$C$7,0)+IF(D9="X",$D$7,0)+IF(E9="X",$E$7,0)+IF(F9="X",$F$7,0)+IF(G9="X",$G$7,0)+IF(H9="X",$H$7,0)+IF(I9="X",$I$7,0)</f>
        <v>15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37</v>
      </c>
      <c r="C10" s="38"/>
      <c r="D10" s="39" t="s">
        <v>156</v>
      </c>
      <c r="E10" s="38"/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5" t="s">
        <v>38</v>
      </c>
      <c r="C11" s="38"/>
      <c r="D11" s="38"/>
      <c r="E11" s="38"/>
      <c r="F11" s="38"/>
      <c r="G11" s="38"/>
      <c r="H11" s="39" t="s">
        <v>156</v>
      </c>
      <c r="I11" s="38"/>
      <c r="J11" s="37">
        <f t="shared" si="2"/>
        <v>5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39</v>
      </c>
      <c r="C12" s="38"/>
      <c r="D12" s="38"/>
      <c r="E12" s="39" t="s">
        <v>156</v>
      </c>
      <c r="F12" s="38"/>
      <c r="G12" s="38"/>
      <c r="H12" s="38"/>
      <c r="I12" s="38"/>
      <c r="J12" s="37">
        <f t="shared" si="2"/>
        <v>10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40</v>
      </c>
      <c r="C13" s="38"/>
      <c r="D13" s="38"/>
      <c r="E13" s="39" t="s">
        <v>156</v>
      </c>
      <c r="F13" s="38"/>
      <c r="G13" s="38"/>
      <c r="H13" s="38"/>
      <c r="I13" s="38"/>
      <c r="J13" s="37">
        <f t="shared" si="2"/>
        <v>10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41</v>
      </c>
      <c r="C14" s="38"/>
      <c r="D14" s="38"/>
      <c r="E14" s="39" t="s">
        <v>156</v>
      </c>
      <c r="F14" s="39" t="s">
        <v>156</v>
      </c>
      <c r="G14" s="38"/>
      <c r="H14" s="38"/>
      <c r="I14" s="38"/>
      <c r="J14" s="37">
        <f t="shared" si="2"/>
        <v>25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43</v>
      </c>
      <c r="C15" s="38"/>
      <c r="D15" s="39" t="s">
        <v>156</v>
      </c>
      <c r="E15" s="38" t="s">
        <v>156</v>
      </c>
      <c r="F15" s="38" t="s">
        <v>156</v>
      </c>
      <c r="G15" s="38"/>
      <c r="H15" s="38"/>
      <c r="I15" s="38"/>
      <c r="J15" s="37">
        <f t="shared" si="2"/>
        <v>35</v>
      </c>
      <c r="K15" s="38">
        <v>1.0</v>
      </c>
      <c r="L15" s="38"/>
      <c r="M15" s="38">
        <f t="shared" si="1"/>
        <v>1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110</v>
      </c>
      <c r="K16" s="17"/>
      <c r="L16" s="20" t="s">
        <v>158</v>
      </c>
      <c r="M16" s="17">
        <f>SUM(M9:M15)</f>
        <v>1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162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1.0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3.0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28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28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5" t="s">
        <v>44</v>
      </c>
      <c r="C9" s="37" t="s">
        <v>156</v>
      </c>
      <c r="D9" s="37"/>
      <c r="E9" s="37" t="s">
        <v>156</v>
      </c>
      <c r="F9" s="37"/>
      <c r="G9" s="37"/>
      <c r="H9" s="37"/>
      <c r="I9" s="37"/>
      <c r="J9" s="37">
        <f>IF(C9="X",$C$7,0)+IF(D9="X",$D$7,0)+IF(E9="X",$E$7,0)+IF(F9="X",$F$7,0)+IF(G9="X",$G$7,0)+IF(H9="X",$H$7,0)+IF(I9="X",$I$7,0)</f>
        <v>25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45</v>
      </c>
      <c r="C10" s="38"/>
      <c r="D10" s="38"/>
      <c r="E10" s="38" t="s">
        <v>156</v>
      </c>
      <c r="F10" s="38"/>
      <c r="G10" s="38"/>
      <c r="H10" s="38"/>
      <c r="I10" s="39" t="s">
        <v>156</v>
      </c>
      <c r="J10" s="37">
        <f t="shared" ref="J10:J15" si="2">IF(D10="X",$D$7,0)+IF(E10="X",$E$7,0)+IF(F10="X",$F$7,0)+IF(G10="X",$G$7,0)+IF(H10="X",$H$7,0)+IF(I10="X",$I$7,0)</f>
        <v>25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11" t="s">
        <v>46</v>
      </c>
      <c r="C11" s="38"/>
      <c r="D11" s="38"/>
      <c r="E11" s="38" t="s">
        <v>156</v>
      </c>
      <c r="F11" s="38"/>
      <c r="G11" s="38"/>
      <c r="H11" s="38"/>
      <c r="I11" s="38"/>
      <c r="J11" s="37">
        <f t="shared" si="2"/>
        <v>10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47</v>
      </c>
      <c r="C12" s="38"/>
      <c r="D12" s="38"/>
      <c r="E12" s="38" t="s">
        <v>156</v>
      </c>
      <c r="F12" s="38"/>
      <c r="G12" s="38"/>
      <c r="H12" s="38"/>
      <c r="I12" s="38"/>
      <c r="J12" s="37">
        <f t="shared" si="2"/>
        <v>10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48</v>
      </c>
      <c r="C13" s="38"/>
      <c r="D13" s="39" t="s">
        <v>156</v>
      </c>
      <c r="E13" s="38"/>
      <c r="F13" s="38"/>
      <c r="G13" s="38"/>
      <c r="H13" s="38"/>
      <c r="I13" s="38"/>
      <c r="J13" s="37">
        <f t="shared" si="2"/>
        <v>10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49</v>
      </c>
      <c r="C14" s="38"/>
      <c r="D14" s="38"/>
      <c r="E14" s="38"/>
      <c r="F14" s="39"/>
      <c r="G14" s="38"/>
      <c r="H14" s="38"/>
      <c r="I14" s="39" t="s">
        <v>156</v>
      </c>
      <c r="J14" s="37">
        <f t="shared" si="2"/>
        <v>15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50</v>
      </c>
      <c r="C15" s="38"/>
      <c r="D15" s="39" t="s">
        <v>156</v>
      </c>
      <c r="E15" s="38"/>
      <c r="F15" s="38" t="s">
        <v>156</v>
      </c>
      <c r="G15" s="38"/>
      <c r="H15" s="38"/>
      <c r="I15" s="38"/>
      <c r="J15" s="37">
        <f t="shared" si="2"/>
        <v>25</v>
      </c>
      <c r="K15" s="38">
        <v>1.0</v>
      </c>
      <c r="L15" s="38"/>
      <c r="M15" s="38">
        <f t="shared" si="1"/>
        <v>1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120</v>
      </c>
      <c r="K16" s="17"/>
      <c r="L16" s="20" t="s">
        <v>158</v>
      </c>
      <c r="M16" s="17">
        <f>SUM(M9:M15)</f>
        <v>1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163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1.0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4.0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28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28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5" t="s">
        <v>52</v>
      </c>
      <c r="C9" s="37" t="s">
        <v>156</v>
      </c>
      <c r="D9" s="37"/>
      <c r="E9" s="37"/>
      <c r="F9" s="37"/>
      <c r="G9" s="37"/>
      <c r="H9" s="37"/>
      <c r="I9" s="37"/>
      <c r="J9" s="37">
        <f>IF(C9="X",$C$7,0)+IF(D9="X",$D$7,0)+IF(E9="X",$E$7,0)+IF(F9="X",$F$7,0)+IF(G9="X",$G$7,0)+IF(H9="X",$H$7,0)+IF(I9="X",$I$7,0)</f>
        <v>15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53</v>
      </c>
      <c r="C10" s="38"/>
      <c r="D10" s="38"/>
      <c r="E10" s="38" t="s">
        <v>156</v>
      </c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5" t="s">
        <v>54</v>
      </c>
      <c r="C11" s="38"/>
      <c r="D11" s="38"/>
      <c r="E11" s="38" t="s">
        <v>156</v>
      </c>
      <c r="F11" s="38"/>
      <c r="G11" s="38"/>
      <c r="H11" s="38"/>
      <c r="I11" s="38"/>
      <c r="J11" s="37">
        <f t="shared" si="2"/>
        <v>10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55</v>
      </c>
      <c r="C12" s="38"/>
      <c r="D12" s="38"/>
      <c r="E12" s="39" t="s">
        <v>156</v>
      </c>
      <c r="F12" s="38"/>
      <c r="G12" s="38"/>
      <c r="H12" s="38"/>
      <c r="I12" s="39" t="s">
        <v>156</v>
      </c>
      <c r="J12" s="37">
        <f t="shared" si="2"/>
        <v>25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56</v>
      </c>
      <c r="C13" s="38"/>
      <c r="D13" s="38"/>
      <c r="E13" s="38"/>
      <c r="F13" s="38"/>
      <c r="G13" s="38"/>
      <c r="H13" s="38"/>
      <c r="I13" s="39" t="s">
        <v>156</v>
      </c>
      <c r="J13" s="37">
        <f t="shared" si="2"/>
        <v>15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57</v>
      </c>
      <c r="C14" s="38"/>
      <c r="D14" s="39" t="s">
        <v>156</v>
      </c>
      <c r="E14" s="38"/>
      <c r="F14" s="38"/>
      <c r="G14" s="38"/>
      <c r="H14" s="38"/>
      <c r="I14" s="38"/>
      <c r="J14" s="37">
        <f t="shared" si="2"/>
        <v>10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11" t="s">
        <v>59</v>
      </c>
      <c r="C15" s="38"/>
      <c r="D15" s="39" t="s">
        <v>156</v>
      </c>
      <c r="E15" s="38"/>
      <c r="F15" s="38" t="s">
        <v>156</v>
      </c>
      <c r="G15" s="38"/>
      <c r="H15" s="38"/>
      <c r="I15" s="38"/>
      <c r="J15" s="37">
        <f t="shared" si="2"/>
        <v>25</v>
      </c>
      <c r="K15" s="38">
        <v>1.0</v>
      </c>
      <c r="L15" s="38">
        <v>1.0</v>
      </c>
      <c r="M15" s="38">
        <f t="shared" si="1"/>
        <v>2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110</v>
      </c>
      <c r="K16" s="17"/>
      <c r="L16" s="20" t="s">
        <v>158</v>
      </c>
      <c r="M16" s="17">
        <f>SUM(M9:M15)</f>
        <v>2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164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2.0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1.0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61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61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11" t="s">
        <v>62</v>
      </c>
      <c r="C9" s="37" t="s">
        <v>156</v>
      </c>
      <c r="D9" s="37"/>
      <c r="E9" s="37"/>
      <c r="F9" s="37"/>
      <c r="G9" s="37"/>
      <c r="H9" s="37"/>
      <c r="I9" s="37"/>
      <c r="J9" s="37">
        <f>IF(C9="X",$C$7,0)+IF(D9="X",$D$7,0)+IF(E9="X",$E$7,0)+IF(F9="X",$F$7,0)+IF(G9="X",$G$7,0)+IF(H9="X",$H$7,0)+IF(I9="X",$I$7,0)</f>
        <v>15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63</v>
      </c>
      <c r="C10" s="38"/>
      <c r="D10" s="38"/>
      <c r="E10" s="38" t="s">
        <v>156</v>
      </c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5" t="s">
        <v>64</v>
      </c>
      <c r="C11" s="38"/>
      <c r="D11" s="38"/>
      <c r="E11" s="38" t="s">
        <v>156</v>
      </c>
      <c r="F11" s="39" t="s">
        <v>156</v>
      </c>
      <c r="G11" s="38"/>
      <c r="H11" s="38"/>
      <c r="I11" s="38"/>
      <c r="J11" s="37">
        <f t="shared" si="2"/>
        <v>25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65</v>
      </c>
      <c r="C12" s="38"/>
      <c r="D12" s="39" t="s">
        <v>156</v>
      </c>
      <c r="E12" s="38"/>
      <c r="F12" s="38"/>
      <c r="G12" s="38"/>
      <c r="H12" s="38"/>
      <c r="I12" s="39" t="s">
        <v>156</v>
      </c>
      <c r="J12" s="37">
        <f t="shared" si="2"/>
        <v>25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66</v>
      </c>
      <c r="C13" s="38"/>
      <c r="D13" s="38"/>
      <c r="E13" s="38" t="s">
        <v>156</v>
      </c>
      <c r="F13" s="38"/>
      <c r="G13" s="38"/>
      <c r="H13" s="38"/>
      <c r="I13" s="38"/>
      <c r="J13" s="37">
        <f t="shared" si="2"/>
        <v>10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67</v>
      </c>
      <c r="C14" s="38"/>
      <c r="D14" s="39" t="s">
        <v>156</v>
      </c>
      <c r="E14" s="38"/>
      <c r="F14" s="38"/>
      <c r="G14" s="38"/>
      <c r="H14" s="38"/>
      <c r="I14" s="38"/>
      <c r="J14" s="37">
        <f t="shared" si="2"/>
        <v>10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68</v>
      </c>
      <c r="C15" s="38"/>
      <c r="D15" s="38"/>
      <c r="E15" s="38"/>
      <c r="F15" s="38"/>
      <c r="G15" s="39"/>
      <c r="H15" s="39" t="s">
        <v>156</v>
      </c>
      <c r="I15" s="39" t="s">
        <v>156</v>
      </c>
      <c r="J15" s="37">
        <f t="shared" si="2"/>
        <v>20</v>
      </c>
      <c r="K15" s="38"/>
      <c r="L15" s="38"/>
      <c r="M15" s="38">
        <f t="shared" si="1"/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115</v>
      </c>
      <c r="K16" s="17"/>
      <c r="L16" s="20" t="s">
        <v>158</v>
      </c>
      <c r="M16" s="17">
        <f>SUM(M9:M15)</f>
        <v>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165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2.0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2.0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61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61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5" t="s">
        <v>70</v>
      </c>
      <c r="C9" s="37" t="s">
        <v>156</v>
      </c>
      <c r="D9" s="37"/>
      <c r="E9" s="37" t="s">
        <v>156</v>
      </c>
      <c r="F9" s="37"/>
      <c r="G9" s="37"/>
      <c r="H9" s="37"/>
      <c r="I9" s="37"/>
      <c r="J9" s="37">
        <f>IF(C9="X",$C$7,0)+IF(D9="X",$D$7,0)+IF(E9="X",$E$7,0)+IF(F9="X",$F$7,0)+IF(G9="X",$G$7,0)+IF(H9="X",$H$7,0)+IF(I9="X",$I$7,0)</f>
        <v>25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71</v>
      </c>
      <c r="C10" s="38"/>
      <c r="D10" s="39"/>
      <c r="E10" s="39" t="s">
        <v>156</v>
      </c>
      <c r="F10" s="38"/>
      <c r="G10" s="38"/>
      <c r="H10" s="39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5" t="s">
        <v>72</v>
      </c>
      <c r="C11" s="38"/>
      <c r="D11" s="38"/>
      <c r="E11" s="38"/>
      <c r="F11" s="39" t="s">
        <v>156</v>
      </c>
      <c r="G11" s="38"/>
      <c r="H11" s="38"/>
      <c r="I11" s="39"/>
      <c r="J11" s="37">
        <f t="shared" si="2"/>
        <v>15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73</v>
      </c>
      <c r="C12" s="38"/>
      <c r="D12" s="38"/>
      <c r="E12" s="39" t="s">
        <v>156</v>
      </c>
      <c r="F12" s="38"/>
      <c r="G12" s="38"/>
      <c r="H12" s="38"/>
      <c r="I12" s="38"/>
      <c r="J12" s="37">
        <f t="shared" si="2"/>
        <v>10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74</v>
      </c>
      <c r="C13" s="38"/>
      <c r="D13" s="39"/>
      <c r="E13" s="39" t="s">
        <v>156</v>
      </c>
      <c r="F13" s="38"/>
      <c r="G13" s="38"/>
      <c r="H13" s="38"/>
      <c r="I13" s="39"/>
      <c r="J13" s="37">
        <f t="shared" si="2"/>
        <v>10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75</v>
      </c>
      <c r="C14" s="38"/>
      <c r="D14" s="38"/>
      <c r="E14" s="38" t="s">
        <v>156</v>
      </c>
      <c r="F14" s="38"/>
      <c r="G14" s="38"/>
      <c r="H14" s="38"/>
      <c r="I14" s="39" t="s">
        <v>156</v>
      </c>
      <c r="J14" s="37">
        <f t="shared" si="2"/>
        <v>25</v>
      </c>
      <c r="K14" s="38">
        <v>1.0</v>
      </c>
      <c r="L14" s="38"/>
      <c r="M14" s="38">
        <f t="shared" si="1"/>
        <v>1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77</v>
      </c>
      <c r="C15" s="38"/>
      <c r="D15" s="38"/>
      <c r="E15" s="38" t="s">
        <v>156</v>
      </c>
      <c r="F15" s="38"/>
      <c r="G15" s="38"/>
      <c r="H15" s="38"/>
      <c r="I15" s="39" t="s">
        <v>156</v>
      </c>
      <c r="J15" s="37">
        <f t="shared" si="2"/>
        <v>25</v>
      </c>
      <c r="K15" s="38">
        <v>1.0</v>
      </c>
      <c r="L15" s="38"/>
      <c r="M15" s="38">
        <f t="shared" si="1"/>
        <v>1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120</v>
      </c>
      <c r="K16" s="17"/>
      <c r="L16" s="20" t="s">
        <v>158</v>
      </c>
      <c r="M16" s="17">
        <f>SUM(M9:M15)</f>
        <v>2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166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2.0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3.0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61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61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5" t="s">
        <v>79</v>
      </c>
      <c r="C9" s="37" t="s">
        <v>156</v>
      </c>
      <c r="D9" s="37"/>
      <c r="E9" s="37" t="s">
        <v>156</v>
      </c>
      <c r="F9" s="37"/>
      <c r="G9" s="37"/>
      <c r="H9" s="37"/>
      <c r="I9" s="37"/>
      <c r="J9" s="37">
        <f>IF(C9="X",$C$7,0)+IF(D9="X",$D$7,0)+IF(E9="X",$E$7,0)+IF(F9="X",$F$7,0)+IF(G9="X",$G$7,0)+IF(H9="X",$H$7,0)+IF(I9="X",$I$7,0)</f>
        <v>25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80</v>
      </c>
      <c r="C10" s="38"/>
      <c r="D10" s="38"/>
      <c r="E10" s="38" t="s">
        <v>156</v>
      </c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11" t="s">
        <v>81</v>
      </c>
      <c r="C11" s="38"/>
      <c r="D11" s="39"/>
      <c r="E11" s="39" t="s">
        <v>156</v>
      </c>
      <c r="F11" s="38"/>
      <c r="G11" s="38"/>
      <c r="H11" s="38"/>
      <c r="I11" s="38"/>
      <c r="J11" s="37">
        <f t="shared" si="2"/>
        <v>10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82</v>
      </c>
      <c r="C12" s="38"/>
      <c r="D12" s="38"/>
      <c r="E12" s="38" t="s">
        <v>156</v>
      </c>
      <c r="F12" s="38"/>
      <c r="G12" s="38"/>
      <c r="H12" s="38"/>
      <c r="I12" s="39" t="s">
        <v>156</v>
      </c>
      <c r="J12" s="37">
        <f t="shared" si="2"/>
        <v>25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83</v>
      </c>
      <c r="C13" s="38"/>
      <c r="D13" s="38"/>
      <c r="E13" s="38"/>
      <c r="F13" s="39" t="s">
        <v>156</v>
      </c>
      <c r="G13" s="38"/>
      <c r="H13" s="38"/>
      <c r="I13" s="38"/>
      <c r="J13" s="37">
        <f t="shared" si="2"/>
        <v>15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84</v>
      </c>
      <c r="C14" s="38"/>
      <c r="D14" s="39"/>
      <c r="E14" s="39" t="s">
        <v>156</v>
      </c>
      <c r="F14" s="38"/>
      <c r="G14" s="38"/>
      <c r="H14" s="38"/>
      <c r="I14" s="38"/>
      <c r="J14" s="37">
        <f t="shared" si="2"/>
        <v>10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11" t="s">
        <v>85</v>
      </c>
      <c r="C15" s="38"/>
      <c r="D15" s="38"/>
      <c r="E15" s="38" t="s">
        <v>156</v>
      </c>
      <c r="F15" s="38"/>
      <c r="G15" s="38"/>
      <c r="H15" s="38"/>
      <c r="I15" s="39" t="s">
        <v>156</v>
      </c>
      <c r="J15" s="37">
        <f t="shared" si="2"/>
        <v>25</v>
      </c>
      <c r="K15" s="38"/>
      <c r="L15" s="38"/>
      <c r="M15" s="38">
        <f t="shared" si="1"/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120</v>
      </c>
      <c r="K16" s="17"/>
      <c r="L16" s="20" t="s">
        <v>158</v>
      </c>
      <c r="M16" s="17">
        <f>SUM(M9:M15)</f>
        <v>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167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2.0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4.0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61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61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5" t="s">
        <v>86</v>
      </c>
      <c r="C9" s="37" t="s">
        <v>156</v>
      </c>
      <c r="D9" s="37"/>
      <c r="E9" s="37" t="s">
        <v>156</v>
      </c>
      <c r="F9" s="37"/>
      <c r="G9" s="37"/>
      <c r="H9" s="37"/>
      <c r="I9" s="37"/>
      <c r="J9" s="37">
        <f>IF(C9="X",$C$7,0)+IF(D9="X",$D$7,0)+IF(E9="X",$E$7,0)+IF(F9="X",$F$7,0)+IF(G9="X",$G$7,0)+IF(H9="X",$H$7,0)+IF(I9="X",$I$7,0)</f>
        <v>25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87</v>
      </c>
      <c r="C10" s="38" t="s">
        <v>156</v>
      </c>
      <c r="D10" s="38"/>
      <c r="E10" s="38" t="s">
        <v>156</v>
      </c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5" t="s">
        <v>88</v>
      </c>
      <c r="C11" s="38" t="s">
        <v>156</v>
      </c>
      <c r="D11" s="38"/>
      <c r="E11" s="38" t="s">
        <v>156</v>
      </c>
      <c r="F11" s="38"/>
      <c r="G11" s="38"/>
      <c r="H11" s="38"/>
      <c r="I11" s="38"/>
      <c r="J11" s="37">
        <f t="shared" si="2"/>
        <v>10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89</v>
      </c>
      <c r="C12" s="38" t="s">
        <v>156</v>
      </c>
      <c r="D12" s="38"/>
      <c r="E12" s="38" t="s">
        <v>156</v>
      </c>
      <c r="F12" s="38"/>
      <c r="G12" s="38"/>
      <c r="H12" s="38"/>
      <c r="I12" s="38"/>
      <c r="J12" s="37">
        <f t="shared" si="2"/>
        <v>10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90</v>
      </c>
      <c r="C13" s="38" t="s">
        <v>156</v>
      </c>
      <c r="D13" s="38"/>
      <c r="E13" s="38" t="s">
        <v>156</v>
      </c>
      <c r="F13" s="38"/>
      <c r="G13" s="38"/>
      <c r="H13" s="38"/>
      <c r="I13" s="38"/>
      <c r="J13" s="37">
        <f t="shared" si="2"/>
        <v>10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11" t="s">
        <v>91</v>
      </c>
      <c r="C14" s="38" t="s">
        <v>156</v>
      </c>
      <c r="D14" s="38"/>
      <c r="E14" s="38" t="s">
        <v>156</v>
      </c>
      <c r="F14" s="38"/>
      <c r="G14" s="38"/>
      <c r="H14" s="38"/>
      <c r="I14" s="38"/>
      <c r="J14" s="37">
        <f t="shared" si="2"/>
        <v>10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93</v>
      </c>
      <c r="C15" s="38" t="s">
        <v>156</v>
      </c>
      <c r="D15" s="38"/>
      <c r="E15" s="38" t="s">
        <v>156</v>
      </c>
      <c r="F15" s="38" t="s">
        <v>156</v>
      </c>
      <c r="G15" s="38"/>
      <c r="H15" s="38"/>
      <c r="I15" s="38" t="s">
        <v>156</v>
      </c>
      <c r="J15" s="37">
        <f t="shared" si="2"/>
        <v>40</v>
      </c>
      <c r="K15" s="38">
        <v>1.0</v>
      </c>
      <c r="L15" s="38">
        <v>1.0</v>
      </c>
      <c r="M15" s="38">
        <f t="shared" si="1"/>
        <v>2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115</v>
      </c>
      <c r="K16" s="17"/>
      <c r="L16" s="20" t="s">
        <v>158</v>
      </c>
      <c r="M16" s="17">
        <f>SUM(M9:M15)</f>
        <v>2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168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3.0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1.0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95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95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11" t="s">
        <v>96</v>
      </c>
      <c r="C9" s="37" t="s">
        <v>156</v>
      </c>
      <c r="D9" s="37"/>
      <c r="E9" s="37" t="s">
        <v>156</v>
      </c>
      <c r="F9" s="37"/>
      <c r="G9" s="37"/>
      <c r="H9" s="37"/>
      <c r="I9" s="37"/>
      <c r="J9" s="37">
        <f>IF(C9="X",$C$7,0)+IF(D9="X",$D$7,0)+IF(E9="X",$E$7,0)+IF(F9="X",$F$7,0)+IF(G9="X",$G$7,0)+IF(H9="X",$H$7,0)+IF(I9="X",$I$7,0)</f>
        <v>25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97</v>
      </c>
      <c r="C10" s="38" t="s">
        <v>156</v>
      </c>
      <c r="D10" s="38"/>
      <c r="E10" s="38" t="s">
        <v>156</v>
      </c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5" t="s">
        <v>98</v>
      </c>
      <c r="C11" s="38" t="s">
        <v>156</v>
      </c>
      <c r="D11" s="38"/>
      <c r="E11" s="38" t="s">
        <v>156</v>
      </c>
      <c r="F11" s="38"/>
      <c r="G11" s="38"/>
      <c r="H11" s="38"/>
      <c r="I11" s="38"/>
      <c r="J11" s="37">
        <f t="shared" si="2"/>
        <v>10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99</v>
      </c>
      <c r="C12" s="38" t="s">
        <v>156</v>
      </c>
      <c r="D12" s="38"/>
      <c r="E12" s="38" t="s">
        <v>156</v>
      </c>
      <c r="F12" s="38"/>
      <c r="G12" s="38"/>
      <c r="H12" s="38"/>
      <c r="I12" s="38"/>
      <c r="J12" s="37">
        <f t="shared" si="2"/>
        <v>10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100</v>
      </c>
      <c r="C13" s="38" t="s">
        <v>156</v>
      </c>
      <c r="D13" s="38"/>
      <c r="E13" s="38" t="s">
        <v>156</v>
      </c>
      <c r="F13" s="38"/>
      <c r="G13" s="38"/>
      <c r="H13" s="38"/>
      <c r="I13" s="38"/>
      <c r="J13" s="37">
        <f t="shared" si="2"/>
        <v>10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101</v>
      </c>
      <c r="C14" s="38" t="s">
        <v>156</v>
      </c>
      <c r="D14" s="38"/>
      <c r="E14" s="38" t="s">
        <v>156</v>
      </c>
      <c r="F14" s="38"/>
      <c r="G14" s="38"/>
      <c r="H14" s="38"/>
      <c r="I14" s="38"/>
      <c r="J14" s="37">
        <f t="shared" si="2"/>
        <v>10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102</v>
      </c>
      <c r="C15" s="38" t="s">
        <v>156</v>
      </c>
      <c r="D15" s="38"/>
      <c r="E15" s="38" t="s">
        <v>156</v>
      </c>
      <c r="F15" s="38" t="s">
        <v>156</v>
      </c>
      <c r="G15" s="38"/>
      <c r="H15" s="38"/>
      <c r="I15" s="38"/>
      <c r="J15" s="37">
        <f t="shared" si="2"/>
        <v>25</v>
      </c>
      <c r="K15" s="38">
        <v>1.0</v>
      </c>
      <c r="L15" s="38"/>
      <c r="M15" s="38">
        <f t="shared" si="1"/>
        <v>1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100</v>
      </c>
      <c r="K16" s="17"/>
      <c r="L16" s="20" t="s">
        <v>158</v>
      </c>
      <c r="M16" s="17">
        <f>SUM(M9:M15)</f>
        <v>1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169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3.0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2.0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95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95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5" t="s">
        <v>103</v>
      </c>
      <c r="C9" s="37" t="s">
        <v>156</v>
      </c>
      <c r="D9" s="37"/>
      <c r="E9" s="37" t="s">
        <v>156</v>
      </c>
      <c r="F9" s="37"/>
      <c r="G9" s="37"/>
      <c r="H9" s="37"/>
      <c r="I9" s="37"/>
      <c r="J9" s="37">
        <f>IF(C9="X",$C$7,0)+IF(D9="X",$D$7,0)+IF(E9="X",$E$7,0)+IF(F9="X",$F$7,0)+IF(G9="X",$G$7,0)+IF(H9="X",$H$7,0)+IF(I9="X",$I$7,0)</f>
        <v>25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104</v>
      </c>
      <c r="C10" s="38" t="s">
        <v>156</v>
      </c>
      <c r="D10" s="38"/>
      <c r="E10" s="38" t="s">
        <v>156</v>
      </c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5" t="s">
        <v>105</v>
      </c>
      <c r="C11" s="38" t="s">
        <v>156</v>
      </c>
      <c r="D11" s="38"/>
      <c r="E11" s="38" t="s">
        <v>156</v>
      </c>
      <c r="F11" s="38"/>
      <c r="G11" s="38"/>
      <c r="H11" s="38"/>
      <c r="I11" s="38"/>
      <c r="J11" s="37">
        <f t="shared" si="2"/>
        <v>10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11" t="s">
        <v>106</v>
      </c>
      <c r="C12" s="38" t="s">
        <v>156</v>
      </c>
      <c r="D12" s="38"/>
      <c r="E12" s="38" t="s">
        <v>156</v>
      </c>
      <c r="F12" s="38"/>
      <c r="G12" s="38"/>
      <c r="H12" s="38"/>
      <c r="I12" s="38"/>
      <c r="J12" s="37">
        <f t="shared" si="2"/>
        <v>10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107</v>
      </c>
      <c r="C13" s="38" t="s">
        <v>156</v>
      </c>
      <c r="D13" s="38"/>
      <c r="E13" s="38" t="s">
        <v>156</v>
      </c>
      <c r="F13" s="38"/>
      <c r="G13" s="38"/>
      <c r="H13" s="38"/>
      <c r="I13" s="38"/>
      <c r="J13" s="37">
        <f t="shared" si="2"/>
        <v>10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108</v>
      </c>
      <c r="C14" s="38" t="s">
        <v>156</v>
      </c>
      <c r="D14" s="38"/>
      <c r="E14" s="38" t="s">
        <v>156</v>
      </c>
      <c r="F14" s="38"/>
      <c r="G14" s="38"/>
      <c r="H14" s="38"/>
      <c r="I14" s="38"/>
      <c r="J14" s="37">
        <f t="shared" si="2"/>
        <v>10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109</v>
      </c>
      <c r="C15" s="38" t="s">
        <v>156</v>
      </c>
      <c r="D15" s="38"/>
      <c r="E15" s="38" t="s">
        <v>156</v>
      </c>
      <c r="F15" s="38" t="s">
        <v>156</v>
      </c>
      <c r="G15" s="38"/>
      <c r="H15" s="38"/>
      <c r="I15" s="38"/>
      <c r="J15" s="37">
        <f t="shared" si="2"/>
        <v>25</v>
      </c>
      <c r="K15" s="38">
        <v>1.0</v>
      </c>
      <c r="L15" s="38"/>
      <c r="M15" s="38">
        <f t="shared" si="1"/>
        <v>1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100</v>
      </c>
      <c r="K16" s="17"/>
      <c r="L16" s="20" t="s">
        <v>158</v>
      </c>
      <c r="M16" s="17">
        <f>SUM(M9:M15)</f>
        <v>1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170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3.0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3.0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95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95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5" t="s">
        <v>111</v>
      </c>
      <c r="C9" s="37" t="s">
        <v>156</v>
      </c>
      <c r="D9" s="37"/>
      <c r="E9" s="37" t="s">
        <v>156</v>
      </c>
      <c r="F9" s="37"/>
      <c r="G9" s="37"/>
      <c r="H9" s="37"/>
      <c r="I9" s="37"/>
      <c r="J9" s="37">
        <f>IF(C9="X",$C$7,0)+IF(D9="X",$D$7,0)+IF(E9="X",$E$7,0)+IF(F9="X",$F$7,0)+IF(G9="X",$G$7,0)+IF(H9="X",$H$7,0)+IF(I9="X",$I$7,0)</f>
        <v>25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112</v>
      </c>
      <c r="C10" s="38" t="s">
        <v>156</v>
      </c>
      <c r="D10" s="38"/>
      <c r="E10" s="38" t="s">
        <v>156</v>
      </c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11" t="s">
        <v>113</v>
      </c>
      <c r="C11" s="38" t="s">
        <v>156</v>
      </c>
      <c r="D11" s="38"/>
      <c r="E11" s="38" t="s">
        <v>156</v>
      </c>
      <c r="F11" s="38"/>
      <c r="G11" s="38"/>
      <c r="H11" s="38"/>
      <c r="I11" s="38"/>
      <c r="J11" s="37">
        <f t="shared" si="2"/>
        <v>10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114</v>
      </c>
      <c r="C12" s="38" t="s">
        <v>156</v>
      </c>
      <c r="D12" s="38"/>
      <c r="E12" s="38" t="s">
        <v>156</v>
      </c>
      <c r="F12" s="38"/>
      <c r="G12" s="38"/>
      <c r="H12" s="38"/>
      <c r="I12" s="38"/>
      <c r="J12" s="37">
        <f t="shared" si="2"/>
        <v>10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11" t="s">
        <v>115</v>
      </c>
      <c r="C13" s="38" t="s">
        <v>156</v>
      </c>
      <c r="D13" s="38"/>
      <c r="E13" s="38" t="s">
        <v>156</v>
      </c>
      <c r="F13" s="38"/>
      <c r="G13" s="38"/>
      <c r="H13" s="38"/>
      <c r="I13" s="38"/>
      <c r="J13" s="37">
        <f t="shared" si="2"/>
        <v>10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11" t="s">
        <v>116</v>
      </c>
      <c r="C14" s="38" t="s">
        <v>156</v>
      </c>
      <c r="D14" s="38"/>
      <c r="E14" s="38" t="s">
        <v>156</v>
      </c>
      <c r="F14" s="38"/>
      <c r="G14" s="38"/>
      <c r="H14" s="38"/>
      <c r="I14" s="38"/>
      <c r="J14" s="37">
        <f t="shared" si="2"/>
        <v>10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117</v>
      </c>
      <c r="C15" s="38" t="s">
        <v>156</v>
      </c>
      <c r="D15" s="38"/>
      <c r="E15" s="38" t="s">
        <v>156</v>
      </c>
      <c r="F15" s="38"/>
      <c r="G15" s="38"/>
      <c r="H15" s="38"/>
      <c r="I15" s="38"/>
      <c r="J15" s="37">
        <f t="shared" si="2"/>
        <v>10</v>
      </c>
      <c r="K15" s="38"/>
      <c r="L15" s="38"/>
      <c r="M15" s="38">
        <f t="shared" si="1"/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85</v>
      </c>
      <c r="K16" s="17"/>
      <c r="L16" s="20" t="s">
        <v>158</v>
      </c>
      <c r="M16" s="17">
        <f>SUM(M9:M15)</f>
        <v>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171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3.0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4.0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95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95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11" t="s">
        <v>118</v>
      </c>
      <c r="C9" s="37" t="s">
        <v>156</v>
      </c>
      <c r="D9" s="37"/>
      <c r="E9" s="37" t="s">
        <v>156</v>
      </c>
      <c r="F9" s="37"/>
      <c r="G9" s="37"/>
      <c r="H9" s="37"/>
      <c r="I9" s="37"/>
      <c r="J9" s="37">
        <f>IF(C9="X",$C$7,0)+IF(D9="X",$D$7,0)+IF(E9="X",$E$7,0)+IF(F9="X",$F$7,0)+IF(G9="X",$G$7,0)+IF(H9="X",$H$7,0)+IF(I9="X",$I$7,0)</f>
        <v>25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119</v>
      </c>
      <c r="C10" s="38" t="s">
        <v>156</v>
      </c>
      <c r="D10" s="38"/>
      <c r="E10" s="38" t="s">
        <v>156</v>
      </c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5" t="s">
        <v>120</v>
      </c>
      <c r="C11" s="38" t="s">
        <v>156</v>
      </c>
      <c r="D11" s="38"/>
      <c r="E11" s="38" t="s">
        <v>156</v>
      </c>
      <c r="F11" s="38"/>
      <c r="G11" s="38"/>
      <c r="H11" s="38"/>
      <c r="I11" s="38"/>
      <c r="J11" s="37">
        <f t="shared" si="2"/>
        <v>10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121</v>
      </c>
      <c r="C12" s="38" t="s">
        <v>156</v>
      </c>
      <c r="D12" s="38"/>
      <c r="E12" s="38" t="s">
        <v>156</v>
      </c>
      <c r="F12" s="38"/>
      <c r="G12" s="38"/>
      <c r="H12" s="38"/>
      <c r="I12" s="38"/>
      <c r="J12" s="37">
        <f t="shared" si="2"/>
        <v>10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122</v>
      </c>
      <c r="C13" s="38" t="s">
        <v>156</v>
      </c>
      <c r="D13" s="38"/>
      <c r="E13" s="38" t="s">
        <v>156</v>
      </c>
      <c r="F13" s="38"/>
      <c r="G13" s="38"/>
      <c r="H13" s="38"/>
      <c r="I13" s="38"/>
      <c r="J13" s="37">
        <f t="shared" si="2"/>
        <v>10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124</v>
      </c>
      <c r="C14" s="38" t="s">
        <v>156</v>
      </c>
      <c r="D14" s="38"/>
      <c r="E14" s="38" t="s">
        <v>156</v>
      </c>
      <c r="F14" s="38"/>
      <c r="G14" s="38"/>
      <c r="H14" s="38"/>
      <c r="I14" s="38"/>
      <c r="J14" s="37">
        <f t="shared" si="2"/>
        <v>10</v>
      </c>
      <c r="K14" s="38">
        <v>1.0</v>
      </c>
      <c r="L14" s="38"/>
      <c r="M14" s="38">
        <f t="shared" si="1"/>
        <v>1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126</v>
      </c>
      <c r="C15" s="38" t="s">
        <v>156</v>
      </c>
      <c r="D15" s="38"/>
      <c r="E15" s="38" t="s">
        <v>156</v>
      </c>
      <c r="F15" s="38" t="s">
        <v>156</v>
      </c>
      <c r="G15" s="38"/>
      <c r="H15" s="38"/>
      <c r="I15" s="38" t="s">
        <v>156</v>
      </c>
      <c r="J15" s="37">
        <f t="shared" si="2"/>
        <v>40</v>
      </c>
      <c r="K15" s="38">
        <v>1.0</v>
      </c>
      <c r="L15" s="38">
        <v>1.0</v>
      </c>
      <c r="M15" s="38">
        <f t="shared" si="1"/>
        <v>2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115</v>
      </c>
      <c r="K16" s="17"/>
      <c r="L16" s="20" t="s">
        <v>158</v>
      </c>
      <c r="M16" s="17">
        <f>SUM(M9:M15)</f>
        <v>3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172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4.0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1.0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128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128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11" t="s">
        <v>129</v>
      </c>
      <c r="C9" s="37" t="s">
        <v>156</v>
      </c>
      <c r="D9" s="37"/>
      <c r="E9" s="37" t="s">
        <v>156</v>
      </c>
      <c r="F9" s="37"/>
      <c r="G9" s="37"/>
      <c r="H9" s="37"/>
      <c r="I9" s="37"/>
      <c r="J9" s="37">
        <f>IF(C9="X",$C$7,0)+IF(D9="X",$D$7,0)+IF(E9="X",$E$7,0)+IF(F9="X",$F$7,0)+IF(G9="X",$G$7,0)+IF(H9="X",$H$7,0)+IF(I9="X",$I$7,0)</f>
        <v>25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130</v>
      </c>
      <c r="C10" s="38" t="s">
        <v>156</v>
      </c>
      <c r="D10" s="38"/>
      <c r="E10" s="38" t="s">
        <v>156</v>
      </c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5" t="s">
        <v>131</v>
      </c>
      <c r="C11" s="38" t="s">
        <v>156</v>
      </c>
      <c r="D11" s="38"/>
      <c r="E11" s="38" t="s">
        <v>156</v>
      </c>
      <c r="F11" s="38"/>
      <c r="G11" s="38"/>
      <c r="H11" s="38"/>
      <c r="I11" s="38"/>
      <c r="J11" s="37">
        <f t="shared" si="2"/>
        <v>10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32</v>
      </c>
      <c r="C12" s="38" t="s">
        <v>156</v>
      </c>
      <c r="D12" s="38"/>
      <c r="E12" s="38" t="s">
        <v>156</v>
      </c>
      <c r="F12" s="38"/>
      <c r="G12" s="38"/>
      <c r="H12" s="38"/>
      <c r="I12" s="38"/>
      <c r="J12" s="37">
        <f t="shared" si="2"/>
        <v>10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132</v>
      </c>
      <c r="C13" s="38" t="s">
        <v>156</v>
      </c>
      <c r="D13" s="38"/>
      <c r="E13" s="38" t="s">
        <v>156</v>
      </c>
      <c r="F13" s="38"/>
      <c r="G13" s="38"/>
      <c r="H13" s="38"/>
      <c r="I13" s="38"/>
      <c r="J13" s="37">
        <f t="shared" si="2"/>
        <v>10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133</v>
      </c>
      <c r="C14" s="38" t="s">
        <v>156</v>
      </c>
      <c r="D14" s="38"/>
      <c r="E14" s="38" t="s">
        <v>156</v>
      </c>
      <c r="F14" s="38"/>
      <c r="G14" s="38"/>
      <c r="H14" s="38"/>
      <c r="I14" s="38"/>
      <c r="J14" s="37">
        <f t="shared" si="2"/>
        <v>10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134</v>
      </c>
      <c r="C15" s="38" t="s">
        <v>156</v>
      </c>
      <c r="D15" s="38" t="s">
        <v>156</v>
      </c>
      <c r="E15" s="38" t="s">
        <v>156</v>
      </c>
      <c r="F15" s="38"/>
      <c r="G15" s="38"/>
      <c r="H15" s="38"/>
      <c r="I15" s="38"/>
      <c r="J15" s="37">
        <f t="shared" si="2"/>
        <v>20</v>
      </c>
      <c r="K15" s="38"/>
      <c r="L15" s="38"/>
      <c r="M15" s="38">
        <f t="shared" si="1"/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95</v>
      </c>
      <c r="K16" s="17"/>
      <c r="L16" s="20" t="s">
        <v>158</v>
      </c>
      <c r="M16" s="17">
        <f>SUM(M9:M15)</f>
        <v>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173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5" t="s">
        <v>144</v>
      </c>
      <c r="B1" s="16">
        <v>4.0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5" t="s">
        <v>145</v>
      </c>
      <c r="B2" s="18">
        <v>2.0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5" t="s">
        <v>22</v>
      </c>
      <c r="B3" s="19" t="s">
        <v>128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5" t="s">
        <v>24</v>
      </c>
      <c r="B4" s="20" t="s">
        <v>128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21" t="s">
        <v>25</v>
      </c>
      <c r="B6" s="22" t="s">
        <v>146</v>
      </c>
      <c r="C6" s="23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27" t="s">
        <v>150</v>
      </c>
      <c r="L6" s="28" t="s">
        <v>151</v>
      </c>
      <c r="M6" s="29" t="s">
        <v>153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30"/>
      <c r="B7" s="22" t="s">
        <v>154</v>
      </c>
      <c r="C7" s="31">
        <v>15.0</v>
      </c>
      <c r="D7" s="31">
        <v>10.0</v>
      </c>
      <c r="E7" s="32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33" t="s">
        <v>155</v>
      </c>
      <c r="L7" s="33" t="s">
        <v>155</v>
      </c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34"/>
      <c r="B8" s="35" t="s">
        <v>26</v>
      </c>
      <c r="C8" s="34"/>
      <c r="D8" s="34"/>
      <c r="E8" s="34"/>
      <c r="F8" s="34"/>
      <c r="G8" s="34"/>
      <c r="H8" s="34"/>
      <c r="I8" s="34"/>
      <c r="J8" s="34"/>
      <c r="K8" s="10"/>
      <c r="L8" s="10"/>
      <c r="M8" s="1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7.0" customHeight="1">
      <c r="A9" s="36">
        <v>1.0</v>
      </c>
      <c r="B9" s="5" t="s">
        <v>135</v>
      </c>
      <c r="C9" s="37" t="s">
        <v>156</v>
      </c>
      <c r="D9" s="37"/>
      <c r="E9" s="37" t="s">
        <v>156</v>
      </c>
      <c r="F9" s="37"/>
      <c r="G9" s="37"/>
      <c r="H9" s="37"/>
      <c r="I9" s="37"/>
      <c r="J9" s="37">
        <f>IF(C9="X",$C$7,0)+IF(D9="X",$D$7,0)+IF(E9="X",$E$7,0)+IF(F9="X",$F$7,0)+IF(G9="X",$G$7,0)+IF(H9="X",$H$7,0)+IF(I9="X",$I$7,0)</f>
        <v>25</v>
      </c>
      <c r="K9" s="5"/>
      <c r="L9" s="38"/>
      <c r="M9" s="38">
        <f t="shared" ref="M9:M15" si="1">SUM(K9:L9)</f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38">
        <v>2.0</v>
      </c>
      <c r="B10" s="5" t="s">
        <v>136</v>
      </c>
      <c r="C10" s="38" t="s">
        <v>156</v>
      </c>
      <c r="D10" s="38"/>
      <c r="E10" s="38" t="s">
        <v>156</v>
      </c>
      <c r="F10" s="38"/>
      <c r="G10" s="38"/>
      <c r="H10" s="38"/>
      <c r="I10" s="38"/>
      <c r="J10" s="37">
        <f t="shared" ref="J10:J15" si="2">IF(D10="X",$D$7,0)+IF(E10="X",$E$7,0)+IF(F10="X",$F$7,0)+IF(G10="X",$G$7,0)+IF(H10="X",$H$7,0)+IF(I10="X",$I$7,0)</f>
        <v>10</v>
      </c>
      <c r="K10" s="38"/>
      <c r="L10" s="38"/>
      <c r="M10" s="3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38">
        <v>3.0</v>
      </c>
      <c r="B11" s="5" t="s">
        <v>137</v>
      </c>
      <c r="C11" s="38" t="s">
        <v>156</v>
      </c>
      <c r="D11" s="38"/>
      <c r="E11" s="38" t="s">
        <v>156</v>
      </c>
      <c r="F11" s="38"/>
      <c r="G11" s="38"/>
      <c r="H11" s="38"/>
      <c r="I11" s="38"/>
      <c r="J11" s="37">
        <f t="shared" si="2"/>
        <v>10</v>
      </c>
      <c r="K11" s="38"/>
      <c r="L11" s="38"/>
      <c r="M11" s="3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38">
        <v>4.0</v>
      </c>
      <c r="B12" s="5" t="s">
        <v>138</v>
      </c>
      <c r="C12" s="38" t="s">
        <v>156</v>
      </c>
      <c r="D12" s="38"/>
      <c r="E12" s="38" t="s">
        <v>156</v>
      </c>
      <c r="F12" s="38"/>
      <c r="G12" s="38"/>
      <c r="H12" s="38"/>
      <c r="I12" s="38"/>
      <c r="J12" s="37">
        <f t="shared" si="2"/>
        <v>10</v>
      </c>
      <c r="K12" s="38"/>
      <c r="L12" s="38"/>
      <c r="M12" s="3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38">
        <v>5.0</v>
      </c>
      <c r="B13" s="5" t="s">
        <v>139</v>
      </c>
      <c r="C13" s="38" t="s">
        <v>156</v>
      </c>
      <c r="D13" s="38"/>
      <c r="E13" s="38" t="s">
        <v>156</v>
      </c>
      <c r="F13" s="38"/>
      <c r="G13" s="38"/>
      <c r="H13" s="38"/>
      <c r="I13" s="38"/>
      <c r="J13" s="37">
        <f t="shared" si="2"/>
        <v>10</v>
      </c>
      <c r="K13" s="38"/>
      <c r="L13" s="38"/>
      <c r="M13" s="3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38">
        <v>6.0</v>
      </c>
      <c r="B14" s="5" t="s">
        <v>140</v>
      </c>
      <c r="C14" s="38" t="s">
        <v>156</v>
      </c>
      <c r="D14" s="38"/>
      <c r="E14" s="38" t="s">
        <v>156</v>
      </c>
      <c r="F14" s="38"/>
      <c r="G14" s="38"/>
      <c r="H14" s="38"/>
      <c r="I14" s="38"/>
      <c r="J14" s="37">
        <f t="shared" si="2"/>
        <v>10</v>
      </c>
      <c r="K14" s="38"/>
      <c r="L14" s="38"/>
      <c r="M14" s="3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38">
        <v>7.0</v>
      </c>
      <c r="B15" s="5" t="s">
        <v>142</v>
      </c>
      <c r="C15" s="38" t="s">
        <v>156</v>
      </c>
      <c r="D15" s="38"/>
      <c r="E15" s="38" t="s">
        <v>156</v>
      </c>
      <c r="F15" s="38" t="s">
        <v>156</v>
      </c>
      <c r="G15" s="38"/>
      <c r="H15" s="38"/>
      <c r="I15" s="38" t="s">
        <v>156</v>
      </c>
      <c r="J15" s="37">
        <f t="shared" si="2"/>
        <v>40</v>
      </c>
      <c r="K15" s="38">
        <v>1.0</v>
      </c>
      <c r="L15" s="38">
        <v>1.0</v>
      </c>
      <c r="M15" s="38">
        <f t="shared" si="1"/>
        <v>2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40" t="s">
        <v>157</v>
      </c>
      <c r="J16" s="41">
        <f>SUM(J9:J15)</f>
        <v>115</v>
      </c>
      <c r="K16" s="17"/>
      <c r="L16" s="20" t="s">
        <v>158</v>
      </c>
      <c r="M16" s="17">
        <f>SUM(M9:M15)</f>
        <v>2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42" t="s">
        <v>159</v>
      </c>
      <c r="B17" s="17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42" t="s">
        <v>174</v>
      </c>
      <c r="B18" s="17"/>
      <c r="C18" s="17"/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42" t="s">
        <v>161</v>
      </c>
      <c r="B19" s="17"/>
      <c r="C19" s="17"/>
      <c r="D19" s="17"/>
      <c r="E19" s="17"/>
      <c r="F19" s="17"/>
      <c r="G19" s="17"/>
      <c r="H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15" t="s">
        <v>144</v>
      </c>
      <c r="B1" s="16" t="s">
        <v>175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15.75" customHeight="1">
      <c r="A2" s="15" t="s">
        <v>145</v>
      </c>
      <c r="B2" s="18">
        <v>1.0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15.75" customHeight="1">
      <c r="A3" s="15" t="s">
        <v>22</v>
      </c>
      <c r="B3" s="19" t="s">
        <v>176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15.75" customHeight="1">
      <c r="A4" s="15" t="s">
        <v>24</v>
      </c>
      <c r="B4" s="20" t="s">
        <v>177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15.75" customHeight="1">
      <c r="A5" s="17"/>
      <c r="B5" s="20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15.75" customHeight="1">
      <c r="A6" s="21" t="s">
        <v>25</v>
      </c>
      <c r="B6" s="43" t="s">
        <v>146</v>
      </c>
      <c r="C6" s="44" t="s">
        <v>147</v>
      </c>
      <c r="D6" s="23" t="s">
        <v>148</v>
      </c>
      <c r="E6" s="23" t="s">
        <v>149</v>
      </c>
      <c r="F6" s="24" t="s">
        <v>150</v>
      </c>
      <c r="G6" s="25"/>
      <c r="H6" s="24" t="s">
        <v>151</v>
      </c>
      <c r="I6" s="25"/>
      <c r="J6" s="26" t="s">
        <v>152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15.75" customHeight="1">
      <c r="A7" s="30"/>
      <c r="B7" s="43" t="s">
        <v>178</v>
      </c>
      <c r="C7" s="45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30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15.75" customHeight="1">
      <c r="A8" s="34"/>
      <c r="B8" s="43" t="s">
        <v>24</v>
      </c>
      <c r="C8" s="34"/>
      <c r="D8" s="34"/>
      <c r="E8" s="34"/>
      <c r="F8" s="34"/>
      <c r="G8" s="34"/>
      <c r="H8" s="34"/>
      <c r="I8" s="34"/>
      <c r="J8" s="34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15.75" customHeight="1">
      <c r="A9" s="36">
        <v>1.0</v>
      </c>
      <c r="B9" s="46" t="s">
        <v>179</v>
      </c>
      <c r="C9" s="17"/>
      <c r="D9" s="36" t="s">
        <v>180</v>
      </c>
      <c r="E9" s="36" t="s">
        <v>180</v>
      </c>
      <c r="F9" s="36"/>
      <c r="G9" s="36"/>
      <c r="H9" s="36" t="s">
        <v>180</v>
      </c>
      <c r="I9" s="36"/>
      <c r="J9" s="36">
        <f t="shared" ref="J9:J14" si="1">IF(D9="X",$D$7,0)+IF(E9="X",$E$7,0)+IF(F9="X",$F$7,0)+IF(G9="X",$G$7,0)+IF(H9="X",$H$7,0)+IF(I9="X",$I$7,0)</f>
        <v>25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15.75" customHeight="1">
      <c r="A10" s="38">
        <v>2.0</v>
      </c>
      <c r="B10" s="47" t="s">
        <v>181</v>
      </c>
      <c r="C10" s="38"/>
      <c r="D10" s="38" t="s">
        <v>180</v>
      </c>
      <c r="E10" s="38"/>
      <c r="F10" s="38" t="s">
        <v>180</v>
      </c>
      <c r="G10" s="38"/>
      <c r="H10" s="38"/>
      <c r="I10" s="38"/>
      <c r="J10" s="36">
        <f t="shared" si="1"/>
        <v>25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15.75" customHeight="1">
      <c r="A11" s="38">
        <v>3.0</v>
      </c>
      <c r="B11" s="20" t="s">
        <v>182</v>
      </c>
      <c r="C11" s="17"/>
      <c r="D11" s="38" t="s">
        <v>156</v>
      </c>
      <c r="E11" s="38" t="s">
        <v>156</v>
      </c>
      <c r="F11" s="38"/>
      <c r="G11" s="38"/>
      <c r="H11" s="38" t="s">
        <v>156</v>
      </c>
      <c r="I11" s="38"/>
      <c r="J11" s="36">
        <f t="shared" si="1"/>
        <v>25</v>
      </c>
      <c r="K11" s="17"/>
      <c r="L11" s="20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15.75" customHeight="1">
      <c r="A12" s="38">
        <v>4.0</v>
      </c>
      <c r="B12" s="47" t="s">
        <v>183</v>
      </c>
      <c r="C12" s="38"/>
      <c r="D12" s="38" t="s">
        <v>156</v>
      </c>
      <c r="E12" s="38"/>
      <c r="F12" s="38" t="s">
        <v>156</v>
      </c>
      <c r="G12" s="38"/>
      <c r="H12" s="38"/>
      <c r="I12" s="38"/>
      <c r="J12" s="36">
        <f t="shared" si="1"/>
        <v>25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15.75" customHeight="1">
      <c r="A13" s="38">
        <v>5.0</v>
      </c>
      <c r="B13" s="47" t="s">
        <v>184</v>
      </c>
      <c r="C13" s="38"/>
      <c r="D13" s="38"/>
      <c r="E13" s="38" t="s">
        <v>156</v>
      </c>
      <c r="F13" s="38" t="s">
        <v>156</v>
      </c>
      <c r="G13" s="38"/>
      <c r="H13" s="38"/>
      <c r="I13" s="38"/>
      <c r="J13" s="36">
        <f t="shared" si="1"/>
        <v>25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15.75" customHeight="1">
      <c r="A14" s="38">
        <v>6.0</v>
      </c>
      <c r="B14" s="47" t="s">
        <v>185</v>
      </c>
      <c r="C14" s="38"/>
      <c r="D14" s="38"/>
      <c r="E14" s="38"/>
      <c r="F14" s="38"/>
      <c r="G14" s="38" t="s">
        <v>156</v>
      </c>
      <c r="H14" s="38"/>
      <c r="I14" s="38" t="s">
        <v>156</v>
      </c>
      <c r="J14" s="36">
        <f t="shared" si="1"/>
        <v>20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15.75" customHeight="1">
      <c r="A15" s="17"/>
      <c r="B15" s="20"/>
      <c r="C15" s="17"/>
      <c r="D15" s="17"/>
      <c r="E15" s="17"/>
      <c r="F15" s="17"/>
      <c r="G15" s="17"/>
      <c r="H15" s="48" t="s">
        <v>186</v>
      </c>
      <c r="I15" s="49"/>
      <c r="J15" s="50">
        <f>SUM(J7:J14)</f>
        <v>145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15.75" customHeight="1">
      <c r="A16" s="17"/>
      <c r="B16" s="20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15.75" customHeight="1">
      <c r="A17" s="17"/>
      <c r="B17" s="20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15.75" customHeight="1">
      <c r="A18" s="17"/>
      <c r="B18" s="20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15.75" customHeight="1">
      <c r="A19" s="17"/>
      <c r="B19" s="20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15.75" customHeight="1">
      <c r="A20" s="17"/>
      <c r="B20" s="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5.75" customHeight="1">
      <c r="A21" s="17"/>
      <c r="B21" s="20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5.75" customHeight="1">
      <c r="A22" s="17"/>
      <c r="B22" s="20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15.75" customHeight="1">
      <c r="A23" s="17"/>
      <c r="B23" s="20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15.75" customHeight="1">
      <c r="A24" s="17"/>
      <c r="B24" s="20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15.75" customHeight="1">
      <c r="A25" s="17"/>
      <c r="B25" s="20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15.75" customHeight="1">
      <c r="A26" s="17"/>
      <c r="B26" s="20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15.75" customHeight="1">
      <c r="A27" s="17"/>
      <c r="B27" s="20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15.75" customHeight="1">
      <c r="A28" s="17"/>
      <c r="B28" s="20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15.75" customHeight="1">
      <c r="A29" s="17"/>
      <c r="B29" s="20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15.75" customHeight="1">
      <c r="A30" s="17"/>
      <c r="B30" s="2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15.75" customHeight="1">
      <c r="A31" s="17"/>
      <c r="B31" s="20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15.75" customHeight="1">
      <c r="A32" s="17"/>
      <c r="B32" s="20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15.75" customHeight="1">
      <c r="A33" s="17"/>
      <c r="B33" s="20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15.75" customHeight="1">
      <c r="A34" s="17"/>
      <c r="B34" s="20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15.75" customHeight="1">
      <c r="A35" s="17"/>
      <c r="B35" s="20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15.75" customHeight="1">
      <c r="A36" s="17"/>
      <c r="B36" s="20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15.75" customHeight="1">
      <c r="A37" s="17"/>
      <c r="B37" s="20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15.75" customHeight="1">
      <c r="A38" s="17"/>
      <c r="B38" s="20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15.75" customHeight="1">
      <c r="A39" s="17"/>
      <c r="B39" s="20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5.75" customHeight="1">
      <c r="A40" s="17"/>
      <c r="B40" s="2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15.75" customHeight="1">
      <c r="A41" s="17"/>
      <c r="B41" s="20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15.75" customHeight="1">
      <c r="A42" s="17"/>
      <c r="B42" s="20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15.75" customHeight="1">
      <c r="A43" s="17"/>
      <c r="B43" s="20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15.75" customHeight="1">
      <c r="A44" s="17"/>
      <c r="B44" s="20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15.75" customHeight="1">
      <c r="A45" s="17"/>
      <c r="B45" s="20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15.75" customHeight="1">
      <c r="A46" s="17"/>
      <c r="B46" s="20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15.75" customHeight="1">
      <c r="A47" s="17"/>
      <c r="B47" s="20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15.75" customHeight="1">
      <c r="A48" s="17"/>
      <c r="B48" s="20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15.75" customHeight="1">
      <c r="A49" s="17"/>
      <c r="B49" s="20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15.75" customHeight="1">
      <c r="A50" s="17"/>
      <c r="B50" s="2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15.75" customHeight="1">
      <c r="A51" s="17"/>
      <c r="B51" s="20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15.75" customHeight="1">
      <c r="A52" s="17"/>
      <c r="B52" s="20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15.75" customHeight="1">
      <c r="A53" s="17"/>
      <c r="B53" s="20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15.75" customHeight="1">
      <c r="A54" s="17"/>
      <c r="B54" s="20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15.75" customHeight="1">
      <c r="A55" s="17"/>
      <c r="B55" s="20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15.75" customHeight="1">
      <c r="A56" s="17"/>
      <c r="B56" s="20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15.75" customHeight="1">
      <c r="A57" s="17"/>
      <c r="B57" s="20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15.75" customHeight="1">
      <c r="A58" s="17"/>
      <c r="B58" s="20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15.75" customHeight="1">
      <c r="A59" s="17"/>
      <c r="B59" s="20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15.75" customHeight="1">
      <c r="A60" s="17"/>
      <c r="B60" s="2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15.75" customHeight="1">
      <c r="A61" s="17"/>
      <c r="B61" s="20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15.75" customHeight="1">
      <c r="A62" s="17"/>
      <c r="B62" s="20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15.75" customHeight="1">
      <c r="A63" s="17"/>
      <c r="B63" s="20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15.75" customHeight="1">
      <c r="A64" s="17"/>
      <c r="B64" s="20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15.75" customHeight="1">
      <c r="A65" s="17"/>
      <c r="B65" s="20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15.75" customHeight="1">
      <c r="A66" s="17"/>
      <c r="B66" s="20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15.75" customHeight="1">
      <c r="A67" s="17"/>
      <c r="B67" s="20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15.75" customHeight="1">
      <c r="A68" s="17"/>
      <c r="B68" s="20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15.75" customHeight="1">
      <c r="A69" s="17"/>
      <c r="B69" s="20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15.75" customHeight="1">
      <c r="A70" s="17"/>
      <c r="B70" s="2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15.75" customHeight="1">
      <c r="A71" s="17"/>
      <c r="B71" s="20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15.75" customHeight="1">
      <c r="A72" s="17"/>
      <c r="B72" s="20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15.75" customHeight="1">
      <c r="A73" s="17"/>
      <c r="B73" s="20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15.75" customHeight="1">
      <c r="A74" s="17"/>
      <c r="B74" s="20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15.75" customHeight="1">
      <c r="A75" s="17"/>
      <c r="B75" s="20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15.75" customHeight="1">
      <c r="A76" s="17"/>
      <c r="B76" s="20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15.75" customHeight="1">
      <c r="A77" s="17"/>
      <c r="B77" s="20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15.75" customHeight="1">
      <c r="A78" s="17"/>
      <c r="B78" s="20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15.75" customHeight="1">
      <c r="A79" s="17"/>
      <c r="B79" s="20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15.75" customHeight="1">
      <c r="A80" s="17"/>
      <c r="B80" s="2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15.75" customHeight="1">
      <c r="A81" s="17"/>
      <c r="B81" s="20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15.75" customHeight="1">
      <c r="A82" s="17"/>
      <c r="B82" s="20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15.75" customHeight="1">
      <c r="A83" s="17"/>
      <c r="B83" s="20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15.75" customHeight="1">
      <c r="A84" s="17"/>
      <c r="B84" s="20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15.75" customHeight="1">
      <c r="A85" s="17"/>
      <c r="B85" s="20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15.75" customHeight="1">
      <c r="A86" s="17"/>
      <c r="B86" s="20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15.75" customHeight="1">
      <c r="A87" s="17"/>
      <c r="B87" s="20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15.75" customHeight="1">
      <c r="A88" s="17"/>
      <c r="B88" s="20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15.75" customHeight="1">
      <c r="A89" s="17"/>
      <c r="B89" s="20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15.75" customHeight="1">
      <c r="A90" s="17"/>
      <c r="B90" s="2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15.75" customHeight="1">
      <c r="A91" s="17"/>
      <c r="B91" s="20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15.75" customHeight="1">
      <c r="A92" s="17"/>
      <c r="B92" s="20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15.75" customHeight="1">
      <c r="A93" s="17"/>
      <c r="B93" s="20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15.75" customHeight="1">
      <c r="A94" s="17"/>
      <c r="B94" s="20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15.75" customHeight="1">
      <c r="A95" s="17"/>
      <c r="B95" s="20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15.75" customHeight="1">
      <c r="A96" s="17"/>
      <c r="B96" s="20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15.75" customHeight="1">
      <c r="A97" s="17"/>
      <c r="B97" s="20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15.75" customHeight="1">
      <c r="A98" s="17"/>
      <c r="B98" s="20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15.75" customHeight="1">
      <c r="A99" s="17"/>
      <c r="B99" s="20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15.75" customHeight="1">
      <c r="A100" s="17"/>
      <c r="B100" s="20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5.75" customHeight="1">
      <c r="A101" s="17"/>
      <c r="B101" s="20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5.75" customHeight="1">
      <c r="A102" s="17"/>
      <c r="B102" s="20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5.75" customHeight="1">
      <c r="A103" s="17"/>
      <c r="B103" s="20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5.75" customHeight="1">
      <c r="A104" s="17"/>
      <c r="B104" s="20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5.75" customHeight="1">
      <c r="A105" s="17"/>
      <c r="B105" s="20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5.75" customHeight="1">
      <c r="A106" s="17"/>
      <c r="B106" s="20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15.75" customHeight="1">
      <c r="A107" s="17"/>
      <c r="B107" s="20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15.75" customHeight="1">
      <c r="A108" s="17"/>
      <c r="B108" s="20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5.75" customHeight="1">
      <c r="A109" s="17"/>
      <c r="B109" s="20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15.75" customHeight="1">
      <c r="A110" s="17"/>
      <c r="B110" s="20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15.75" customHeight="1">
      <c r="A111" s="17"/>
      <c r="B111" s="20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15.75" customHeight="1">
      <c r="A112" s="17"/>
      <c r="B112" s="20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15.75" customHeight="1">
      <c r="A113" s="17"/>
      <c r="B113" s="20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15.75" customHeight="1">
      <c r="A114" s="17"/>
      <c r="B114" s="20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15.75" customHeight="1">
      <c r="A115" s="17"/>
      <c r="B115" s="20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15.75" customHeight="1">
      <c r="A116" s="17"/>
      <c r="B116" s="20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15.75" customHeight="1">
      <c r="A117" s="17"/>
      <c r="B117" s="20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15.75" customHeight="1">
      <c r="A118" s="17"/>
      <c r="B118" s="20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15.75" customHeight="1">
      <c r="A119" s="17"/>
      <c r="B119" s="20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15.75" customHeight="1">
      <c r="A120" s="17"/>
      <c r="B120" s="20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15.75" customHeight="1">
      <c r="A121" s="17"/>
      <c r="B121" s="20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15.75" customHeight="1">
      <c r="A122" s="17"/>
      <c r="B122" s="20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15.75" customHeight="1">
      <c r="A123" s="17"/>
      <c r="B123" s="20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15.75" customHeight="1">
      <c r="A124" s="17"/>
      <c r="B124" s="20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15.75" customHeight="1">
      <c r="A125" s="17"/>
      <c r="B125" s="20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15.75" customHeight="1">
      <c r="A126" s="17"/>
      <c r="B126" s="20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15.75" customHeight="1">
      <c r="A127" s="17"/>
      <c r="B127" s="20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15.75" customHeight="1">
      <c r="A128" s="17"/>
      <c r="B128" s="20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15.75" customHeight="1">
      <c r="A129" s="17"/>
      <c r="B129" s="20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15.75" customHeight="1">
      <c r="A130" s="17"/>
      <c r="B130" s="20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15.75" customHeight="1">
      <c r="A131" s="17"/>
      <c r="B131" s="20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15.75" customHeight="1">
      <c r="A132" s="17"/>
      <c r="B132" s="20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15.75" customHeight="1">
      <c r="A133" s="17"/>
      <c r="B133" s="20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15.75" customHeight="1">
      <c r="A134" s="17"/>
      <c r="B134" s="20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15.75" customHeight="1">
      <c r="A135" s="17"/>
      <c r="B135" s="20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15.75" customHeight="1">
      <c r="A136" s="17"/>
      <c r="B136" s="20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15.75" customHeight="1">
      <c r="A137" s="17"/>
      <c r="B137" s="20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15.75" customHeight="1">
      <c r="A138" s="17"/>
      <c r="B138" s="20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15.75" customHeight="1">
      <c r="A139" s="17"/>
      <c r="B139" s="20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15.75" customHeight="1">
      <c r="A140" s="17"/>
      <c r="B140" s="20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15.75" customHeight="1">
      <c r="A141" s="17"/>
      <c r="B141" s="20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15.75" customHeight="1">
      <c r="A142" s="17"/>
      <c r="B142" s="20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15.75" customHeight="1">
      <c r="A143" s="17"/>
      <c r="B143" s="20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15.75" customHeight="1">
      <c r="A144" s="17"/>
      <c r="B144" s="20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15.75" customHeight="1">
      <c r="A145" s="17"/>
      <c r="B145" s="20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15.75" customHeight="1">
      <c r="A146" s="17"/>
      <c r="B146" s="20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15.75" customHeight="1">
      <c r="A147" s="17"/>
      <c r="B147" s="20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15.75" customHeight="1">
      <c r="A148" s="17"/>
      <c r="B148" s="20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15.75" customHeight="1">
      <c r="A149" s="17"/>
      <c r="B149" s="20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15.75" customHeight="1">
      <c r="A150" s="17"/>
      <c r="B150" s="20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15.75" customHeight="1">
      <c r="A151" s="17"/>
      <c r="B151" s="20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15.75" customHeight="1">
      <c r="A152" s="17"/>
      <c r="B152" s="20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15.75" customHeight="1">
      <c r="A153" s="17"/>
      <c r="B153" s="20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15.75" customHeight="1">
      <c r="A154" s="17"/>
      <c r="B154" s="20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15.75" customHeight="1">
      <c r="A155" s="17"/>
      <c r="B155" s="20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15.75" customHeight="1">
      <c r="A156" s="17"/>
      <c r="B156" s="20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15.75" customHeight="1">
      <c r="A157" s="17"/>
      <c r="B157" s="20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15.75" customHeight="1">
      <c r="A158" s="17"/>
      <c r="B158" s="20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15.75" customHeight="1">
      <c r="A159" s="17"/>
      <c r="B159" s="20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15.75" customHeight="1">
      <c r="A160" s="17"/>
      <c r="B160" s="20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15.75" customHeight="1">
      <c r="A161" s="17"/>
      <c r="B161" s="20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15.75" customHeight="1">
      <c r="A162" s="17"/>
      <c r="B162" s="20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15.75" customHeight="1">
      <c r="A163" s="17"/>
      <c r="B163" s="20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15.75" customHeight="1">
      <c r="A164" s="17"/>
      <c r="B164" s="20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15.75" customHeight="1">
      <c r="A165" s="17"/>
      <c r="B165" s="20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15.75" customHeight="1">
      <c r="A166" s="17"/>
      <c r="B166" s="20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15.75" customHeight="1">
      <c r="A167" s="17"/>
      <c r="B167" s="20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15.75" customHeight="1">
      <c r="A168" s="17"/>
      <c r="B168" s="20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15.75" customHeight="1">
      <c r="A169" s="17"/>
      <c r="B169" s="20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15.75" customHeight="1">
      <c r="A170" s="17"/>
      <c r="B170" s="20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15.75" customHeight="1">
      <c r="A171" s="17"/>
      <c r="B171" s="20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15.75" customHeight="1">
      <c r="A172" s="17"/>
      <c r="B172" s="20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15.75" customHeight="1">
      <c r="A173" s="17"/>
      <c r="B173" s="20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15.75" customHeight="1">
      <c r="A174" s="17"/>
      <c r="B174" s="20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15.75" customHeight="1">
      <c r="A175" s="17"/>
      <c r="B175" s="20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15.75" customHeight="1">
      <c r="A176" s="17"/>
      <c r="B176" s="20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15.75" customHeight="1">
      <c r="A177" s="17"/>
      <c r="B177" s="20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15.75" customHeight="1">
      <c r="A178" s="17"/>
      <c r="B178" s="20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15.75" customHeight="1">
      <c r="A179" s="17"/>
      <c r="B179" s="20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15.75" customHeight="1">
      <c r="A180" s="17"/>
      <c r="B180" s="20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15.75" customHeight="1">
      <c r="A181" s="17"/>
      <c r="B181" s="20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15.75" customHeight="1">
      <c r="A182" s="17"/>
      <c r="B182" s="20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15.75" customHeight="1">
      <c r="A183" s="17"/>
      <c r="B183" s="20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15.75" customHeight="1">
      <c r="A184" s="17"/>
      <c r="B184" s="20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15.75" customHeight="1">
      <c r="A185" s="17"/>
      <c r="B185" s="20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15.75" customHeight="1">
      <c r="A186" s="17"/>
      <c r="B186" s="20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15.75" customHeight="1">
      <c r="A187" s="17"/>
      <c r="B187" s="20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15.75" customHeight="1">
      <c r="A188" s="17"/>
      <c r="B188" s="20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15.75" customHeight="1">
      <c r="A189" s="17"/>
      <c r="B189" s="20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15.75" customHeight="1">
      <c r="A190" s="17"/>
      <c r="B190" s="20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15.75" customHeight="1">
      <c r="A191" s="17"/>
      <c r="B191" s="20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15.75" customHeight="1">
      <c r="A192" s="17"/>
      <c r="B192" s="20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15.75" customHeight="1">
      <c r="A193" s="17"/>
      <c r="B193" s="20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15.75" customHeight="1">
      <c r="A194" s="17"/>
      <c r="B194" s="20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15.75" customHeight="1">
      <c r="A195" s="17"/>
      <c r="B195" s="20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15.75" customHeight="1">
      <c r="A196" s="17"/>
      <c r="B196" s="20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15.75" customHeight="1">
      <c r="A197" s="17"/>
      <c r="B197" s="20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15.75" customHeight="1">
      <c r="A198" s="17"/>
      <c r="B198" s="20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15.75" customHeight="1">
      <c r="A199" s="17"/>
      <c r="B199" s="20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15.75" customHeight="1">
      <c r="A200" s="17"/>
      <c r="B200" s="20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15.75" customHeight="1">
      <c r="A201" s="17"/>
      <c r="B201" s="20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15.75" customHeight="1">
      <c r="A202" s="17"/>
      <c r="B202" s="20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15.75" customHeight="1">
      <c r="A203" s="17"/>
      <c r="B203" s="20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15.75" customHeight="1">
      <c r="A204" s="17"/>
      <c r="B204" s="20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15.75" customHeight="1">
      <c r="A205" s="17"/>
      <c r="B205" s="20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15.75" customHeight="1">
      <c r="A206" s="17"/>
      <c r="B206" s="20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15.75" customHeight="1">
      <c r="A207" s="17"/>
      <c r="B207" s="20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15.75" customHeight="1">
      <c r="A208" s="17"/>
      <c r="B208" s="20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15.75" customHeight="1">
      <c r="A209" s="17"/>
      <c r="B209" s="20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15.75" customHeight="1">
      <c r="A210" s="17"/>
      <c r="B210" s="20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15.75" customHeight="1">
      <c r="A211" s="17"/>
      <c r="B211" s="20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15.75" customHeight="1">
      <c r="A212" s="17"/>
      <c r="B212" s="20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15.75" customHeight="1">
      <c r="A213" s="17"/>
      <c r="B213" s="20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15.75" customHeight="1">
      <c r="A214" s="17"/>
      <c r="B214" s="20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15.75" customHeight="1">
      <c r="A215" s="17"/>
      <c r="B215" s="20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15.75" customHeight="1">
      <c r="A216" s="17"/>
      <c r="B216" s="20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15.75" customHeight="1">
      <c r="A217" s="17"/>
      <c r="B217" s="20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15.75" customHeight="1">
      <c r="A218" s="17"/>
      <c r="B218" s="20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15.75" customHeight="1">
      <c r="A219" s="17"/>
      <c r="B219" s="20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15.75" customHeight="1">
      <c r="A220" s="17"/>
      <c r="B220" s="20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5:I15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
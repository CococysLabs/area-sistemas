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s" sheetId="1" r:id="rId4"/>
    <sheet state="visible" name="Base del Diseño Curricular" sheetId="2" r:id="rId5"/>
    <sheet state="visible" name="DC con actividades" sheetId="3" r:id="rId6"/>
    <sheet state="visible" name="Ejemplo" sheetId="4" r:id="rId7"/>
    <sheet state="visible" name="S1" sheetId="5" r:id="rId8"/>
    <sheet state="visible" name="S2" sheetId="6" r:id="rId9"/>
    <sheet state="visible" name="S3" sheetId="7" r:id="rId10"/>
    <sheet state="visible" name="S4" sheetId="8" r:id="rId11"/>
    <sheet state="visible" name="S5" sheetId="9" r:id="rId12"/>
    <sheet state="visible" name="S6" sheetId="10" r:id="rId13"/>
    <sheet state="visible" name="S7" sheetId="11" r:id="rId14"/>
    <sheet state="visible" name="S8" sheetId="12" r:id="rId15"/>
    <sheet state="visible" name="S9" sheetId="13" r:id="rId16"/>
    <sheet state="visible" name="S10" sheetId="14" r:id="rId17"/>
    <sheet state="visible" name="S11" sheetId="15" r:id="rId18"/>
    <sheet state="visible" name="S12" sheetId="16" r:id="rId19"/>
    <sheet state="visible" name="S13" sheetId="17" r:id="rId20"/>
    <sheet state="visible" name="S14" sheetId="18" r:id="rId21"/>
  </sheets>
  <definedNames/>
  <calcPr/>
  <extLst>
    <ext uri="GoogleSheetsCustomDataVersion2">
      <go:sheetsCustomData xmlns:go="http://customooxmlschemas.google.com/" r:id="rId22" roundtripDataChecksum="7vbTkn0Eo328i+Gf8CeZWomSTCuD345kwHXmog84Y48="/>
    </ext>
  </extLst>
</workbook>
</file>

<file path=xl/sharedStrings.xml><?xml version="1.0" encoding="utf-8"?>
<sst xmlns="http://schemas.openxmlformats.org/spreadsheetml/2006/main" count="795" uniqueCount="196">
  <si>
    <t>Número</t>
  </si>
  <si>
    <t>Nombre de la Meta</t>
  </si>
  <si>
    <t>Descripcion de la Meta</t>
  </si>
  <si>
    <t>Introducción al entorno del laboratorio.</t>
  </si>
  <si>
    <t>Presentar el programa del laboratorio, reglas de trabajo, formatos de entrega y medios de comunicación.</t>
  </si>
  <si>
    <t>Familiarización con los conceptos básicos de modelación y simulación.</t>
  </si>
  <si>
    <t>Explicación sobre qué es la modelación y simulación, introducción a Simio y sus componentes generales, además de explorar la interfaz y librería estándar de Simio.</t>
  </si>
  <si>
    <t>Comprender las distribuciones de probabilidad y sus aplicaciones.</t>
  </si>
  <si>
    <t>Explicación de qué son, para qué sirven, sus aplicaciones y cómo se relacionan con Simio. Además, análisis y ajuste de datos a una distribución.</t>
  </si>
  <si>
    <t>Adquirir habilidades en el manejo de modelos de datos y en la aplicación y utilización de diversas tablas dentro de la herramienta Simio.</t>
  </si>
  <si>
    <t>Uso de data tables, rate tables, work schedule y sequence tables en la modelación.</t>
  </si>
  <si>
    <t>Implementar gráficas, listas y colas en Simio.</t>
  </si>
  <si>
    <t>Explicación de cómo crear gráficas, listas y aplicar teoría de colas en Simio.</t>
  </si>
  <si>
    <t>Aprender a usar combiner, separator e inventarios.</t>
  </si>
  <si>
    <t>Uso de los componentes combiner y separator, manipulación de inventarios, aplicación de un timer y políticas de reorden en Simio.</t>
  </si>
  <si>
    <t>Dominar el modelado de procesos en Simio.</t>
  </si>
  <si>
    <t>Tipos de procesos y steps, junto con el estudio de balking y reneging en sistemas de simulación.</t>
  </si>
  <si>
    <t>Introducción y aplicaciones de transportadores en Simio.</t>
  </si>
  <si>
    <t>Uso de workers, vehículos y lift trucks para modelos en Simio.</t>
  </si>
  <si>
    <t>Introducción y aplicación de la librería extra de Simio.</t>
  </si>
  <si>
    <t>Explicación de componentes de la librería extra y cómo aplicarlos en modelos.</t>
  </si>
  <si>
    <t>Modelado en 3D dentro de Simio.</t>
  </si>
  <si>
    <t>Explicación del modelado 3D funcional y ambiental, además de la creación y modificación de vistas.</t>
  </si>
  <si>
    <t>Realizar análisis financiero en Simio.</t>
  </si>
  <si>
    <t>Introducción a conceptos financieros, cambio de divisas, creación de variables de centro de costos, y gastos por uso de servidores.</t>
  </si>
  <si>
    <t>Analizar resultados en Simio.</t>
  </si>
  <si>
    <t>Uso de tablas pivote, generación de reportes y dashboards.</t>
  </si>
  <si>
    <t>Comprender y realizar experimentos en Simio.</t>
  </si>
  <si>
    <t>Explicación de experimentos, parámetros, configuración y ejecución, con análisis de resultados comparativos.</t>
  </si>
  <si>
    <t>Introducción y uso de la librería de flujos en Simio.</t>
  </si>
  <si>
    <t>Aplicación de componentes de la librería de flujos en modelos simulados.</t>
  </si>
  <si>
    <t>Numero de Mes</t>
  </si>
  <si>
    <t>Concepto Principal</t>
  </si>
  <si>
    <t>Semana</t>
  </si>
  <si>
    <t>Tema</t>
  </si>
  <si>
    <t>Numeral</t>
  </si>
  <si>
    <t>Sub Tema</t>
  </si>
  <si>
    <t>Nombre del Proyecto que abarca los conceptos impartidos</t>
  </si>
  <si>
    <t>Introduccion a la Modelación y Simulación</t>
  </si>
  <si>
    <t>Presentación de Laboratorio</t>
  </si>
  <si>
    <t>Presentacion de programa de laboratorio</t>
  </si>
  <si>
    <t>Proyecto de modelación y simulación fase 1</t>
  </si>
  <si>
    <t>19/07</t>
  </si>
  <si>
    <t>O</t>
  </si>
  <si>
    <t>Datos generales</t>
  </si>
  <si>
    <t>Reglas de trabajo</t>
  </si>
  <si>
    <t>Formatos de entrega</t>
  </si>
  <si>
    <t>Medios de comunicación</t>
  </si>
  <si>
    <t>¿Qué es la modelación y simulación?</t>
  </si>
  <si>
    <t>26/07</t>
  </si>
  <si>
    <t>Explicación de que es Simio</t>
  </si>
  <si>
    <t>Componentes generales y uso de Simio</t>
  </si>
  <si>
    <t>Explicación de la interfaz de Simio</t>
  </si>
  <si>
    <t>Explicación de la libreria estándar de Simio</t>
  </si>
  <si>
    <t>Componentes generales</t>
  </si>
  <si>
    <t>Herramientas y Técnicas para la Modelación y Simulación en Simio</t>
  </si>
  <si>
    <t>Distribuciones de probabilidad</t>
  </si>
  <si>
    <t>¿Qué son las distribuciones de probabilidad?</t>
  </si>
  <si>
    <t>D</t>
  </si>
  <si>
    <t>Para qué nos sirven</t>
  </si>
  <si>
    <t>Aplicaciones de la distribuciones</t>
  </si>
  <si>
    <t>Relación de las distribuciones con Simio</t>
  </si>
  <si>
    <t>Análisis de datos</t>
  </si>
  <si>
    <t>Como ajustar una serie de datos a una distribución</t>
  </si>
  <si>
    <t>Ejemplo de ajustar una serie de datos a una distribución</t>
  </si>
  <si>
    <t>Modelos basados en datos</t>
  </si>
  <si>
    <t>Explicación y uso de data tables</t>
  </si>
  <si>
    <t>Explicación y uso de rate tables</t>
  </si>
  <si>
    <t>Explicación y uso de work schedule</t>
  </si>
  <si>
    <t>Explicación y uso de sequence tables</t>
  </si>
  <si>
    <t>Utilización de gráficas, listas y colas</t>
  </si>
  <si>
    <t>Explicación de las graficas de Simio</t>
  </si>
  <si>
    <t>16/08</t>
  </si>
  <si>
    <t>Definición y creación de listas en Simio</t>
  </si>
  <si>
    <t>Teoría de colas</t>
  </si>
  <si>
    <t>Aplicación de colas</t>
  </si>
  <si>
    <t>Combiners, separadors, inventarios</t>
  </si>
  <si>
    <t>Explicación y uso de Combiner</t>
  </si>
  <si>
    <t>23/08</t>
  </si>
  <si>
    <t>Explicación y uso Separator</t>
  </si>
  <si>
    <t>Como manipular Inventarios en Simio</t>
  </si>
  <si>
    <t>Como aplicar un Timer en Simio</t>
  </si>
  <si>
    <t>Política mínimo y máximo</t>
  </si>
  <si>
    <t>Política de punto de reorden</t>
  </si>
  <si>
    <t>Procesos y Modelado Avanzado en Simio</t>
  </si>
  <si>
    <t>Modelado de procesos</t>
  </si>
  <si>
    <t>Tipos y usos de procesos</t>
  </si>
  <si>
    <t>Tipos y usos de steps</t>
  </si>
  <si>
    <t>Balking y reneging</t>
  </si>
  <si>
    <t>Tranportadores</t>
  </si>
  <si>
    <t>Como generar Workers y usarlos en nuestos modelos en Simio</t>
  </si>
  <si>
    <t>Como generar Vehiculos y aplicarlos en nuestros modelos en Simio</t>
  </si>
  <si>
    <t>Que es y como funcionan los Lift trucks</t>
  </si>
  <si>
    <t>Libreria extra de Simio</t>
  </si>
  <si>
    <t>Introduccion a libreria extra de Simio</t>
  </si>
  <si>
    <t>13/09</t>
  </si>
  <si>
    <t>Explicacion de los componentes de la libreria extra</t>
  </si>
  <si>
    <t>Como aplicar los componentes de la libreria extra</t>
  </si>
  <si>
    <t>Como modelar en 3D usando Simio</t>
  </si>
  <si>
    <t>Explicacion de que es el modelado 3D</t>
  </si>
  <si>
    <t>Proyecto de modelación y simulación fase 2</t>
  </si>
  <si>
    <t>20/09</t>
  </si>
  <si>
    <t>Para que sirve el modelado 3D</t>
  </si>
  <si>
    <t>Modelado 3D funcional</t>
  </si>
  <si>
    <t>Modelado 3D ambiental</t>
  </si>
  <si>
    <t>Como descargar mas modelos en 3D</t>
  </si>
  <si>
    <t>Creación, modificación de vistas</t>
  </si>
  <si>
    <t>Análisis Financiero y Experimentos Avanzados en Simio</t>
  </si>
  <si>
    <t>Como realizar finanzas en Simio</t>
  </si>
  <si>
    <t>Introduccion a finanzas</t>
  </si>
  <si>
    <t>Como realizar el cambio de divisas</t>
  </si>
  <si>
    <t>Como aplicar gastos por uso de un servidor</t>
  </si>
  <si>
    <t>Creacion de variables de centro de costos</t>
  </si>
  <si>
    <t>Análisis de resultados en Simio</t>
  </si>
  <si>
    <t>Uso de la tabla pivote de resultados</t>
  </si>
  <si>
    <t>Visualización y generación de reportes</t>
  </si>
  <si>
    <t>Generación y visualización de dashboards</t>
  </si>
  <si>
    <t>Experimentos</t>
  </si>
  <si>
    <t>¿Qué son experimentos?</t>
  </si>
  <si>
    <t>¿Qué son escenarios?</t>
  </si>
  <si>
    <t>Parámetros de experimentos</t>
  </si>
  <si>
    <t>Configuración de experimentos</t>
  </si>
  <si>
    <t>Ejecución de experimentos</t>
  </si>
  <si>
    <t>Análisis de resutaltados</t>
  </si>
  <si>
    <t>Análisis comparativo</t>
  </si>
  <si>
    <t>Aplicacion de fluidos usando Simio</t>
  </si>
  <si>
    <t>Introduccion a la libreria de flujos</t>
  </si>
  <si>
    <t>Explicacion de como podemos aplicarla en nuestros modelos</t>
  </si>
  <si>
    <t>Componentes principales de la libreria de flujos</t>
  </si>
  <si>
    <t>Tarea #1</t>
  </si>
  <si>
    <t>Corto #1</t>
  </si>
  <si>
    <t>Proyecto - Fase 1</t>
  </si>
  <si>
    <t>Que son las distribuciones de probabilidad</t>
  </si>
  <si>
    <t>Para que nos sirven</t>
  </si>
  <si>
    <t>Examen Corto #1</t>
  </si>
  <si>
    <t>Tarea #2</t>
  </si>
  <si>
    <t>Politica minimo y maximo</t>
  </si>
  <si>
    <t>Politica de punto de reorden</t>
  </si>
  <si>
    <t>Hoja de trabajo #2</t>
  </si>
  <si>
    <t>Examen Corto #2</t>
  </si>
  <si>
    <t>Proyecto - Fase 2</t>
  </si>
  <si>
    <t>Hoja de trabajo #3</t>
  </si>
  <si>
    <t>Examen Corto #3</t>
  </si>
  <si>
    <t>Que son experimentos</t>
  </si>
  <si>
    <t>Que son escenarios</t>
  </si>
  <si>
    <t>Parametros de experimentos</t>
  </si>
  <si>
    <t>Configuracion de experimentos</t>
  </si>
  <si>
    <t>Ejecucion de experimentos</t>
  </si>
  <si>
    <t>Analisis de resutaltados</t>
  </si>
  <si>
    <t>Examen Final</t>
  </si>
  <si>
    <t>Mes</t>
  </si>
  <si>
    <t>Enero</t>
  </si>
  <si>
    <t>Habilidades de Resolución de Problemas y Lógicas</t>
  </si>
  <si>
    <t>Fundamentos de Algoritmos y Pensamiento Computacional</t>
  </si>
  <si>
    <t>Recurso</t>
  </si>
  <si>
    <t>Presentación</t>
  </si>
  <si>
    <t>Video</t>
  </si>
  <si>
    <t>Lectura</t>
  </si>
  <si>
    <t>Ejercicio</t>
  </si>
  <si>
    <t>Cuestionario</t>
  </si>
  <si>
    <t>Total de Tiempo</t>
  </si>
  <si>
    <t>Tiempo aproximado</t>
  </si>
  <si>
    <t>Pensamiento Algorítmico para la Resolución de Problemas Complejos</t>
  </si>
  <si>
    <t>X</t>
  </si>
  <si>
    <t>Algoritmos Aplicados en Ciencias: Biología, Criptografía, Finanzas y Más</t>
  </si>
  <si>
    <t>Comprendiendo los Sistemas Numéricos</t>
  </si>
  <si>
    <t>x</t>
  </si>
  <si>
    <t>Creación de Algoritmos Interactivos con Scratch</t>
  </si>
  <si>
    <t>Taller Práctico: Resolución de Problemas y Aplicación de Algoritmos</t>
  </si>
  <si>
    <t>Evaluación de Conocimientos: Cuestionario de Algoritmos y Sistemas Numéricos</t>
  </si>
  <si>
    <t>Tiempo Total</t>
  </si>
  <si>
    <t>Total Ponderación</t>
  </si>
  <si>
    <t>Tiempo aproximado en minutos</t>
  </si>
  <si>
    <t>Ponderación</t>
  </si>
  <si>
    <t>Introducción modelación y simulación</t>
  </si>
  <si>
    <t>Tiempo Total en minutos</t>
  </si>
  <si>
    <t>Total Ponderacion</t>
  </si>
  <si>
    <t xml:space="preserve">Notas: </t>
  </si>
  <si>
    <r>
      <rPr>
        <rFont val="Arial Rounded"/>
        <color rgb="FF1F1F1F"/>
        <sz val="10.0"/>
      </rPr>
      <t>Colocar X en la casilla del recurso que se utilizara</t>
    </r>
  </si>
  <si>
    <t>Se recomienda que la sumatoria de los minutos no supere los 120 minutos semanales</t>
  </si>
  <si>
    <r>
      <rPr>
        <rFont val="Arial Rounded"/>
        <color rgb="FF1F1F1F"/>
        <sz val="10.0"/>
      </rPr>
      <t>Colocar X en la casilla del recurso que se utilizara</t>
    </r>
  </si>
  <si>
    <t>Febrero</t>
  </si>
  <si>
    <r>
      <rPr>
        <rFont val="Arial Rounded"/>
        <color rgb="FF1F1F1F"/>
        <sz val="10.0"/>
      </rPr>
      <t>Colocar X en la casilla del recurso que se utilizara</t>
    </r>
  </si>
  <si>
    <r>
      <rPr>
        <rFont val="Arial Rounded"/>
        <color rgb="FF1F1F1F"/>
        <sz val="10.0"/>
      </rPr>
      <t>Colocar X en la casilla del recurso que se utilizara</t>
    </r>
  </si>
  <si>
    <r>
      <rPr>
        <rFont val="Arial Rounded"/>
        <color rgb="FF1F1F1F"/>
        <sz val="10.0"/>
      </rPr>
      <t>Colocar X en la casilla del recurso que se utilizara</t>
    </r>
  </si>
  <si>
    <r>
      <rPr>
        <rFont val="Arial Rounded"/>
        <color rgb="FF1F1F1F"/>
        <sz val="10.0"/>
      </rPr>
      <t>Colocar X en la casilla del recurso que se utilizara</t>
    </r>
  </si>
  <si>
    <t>Marzo</t>
  </si>
  <si>
    <r>
      <rPr>
        <rFont val="Arial Rounded"/>
        <color rgb="FF1F1F1F"/>
        <sz val="10.0"/>
      </rPr>
      <t>Colocar X en la casilla del recurso que se utilizara</t>
    </r>
  </si>
  <si>
    <r>
      <rPr>
        <rFont val="Arial Rounded"/>
        <color rgb="FF1F1F1F"/>
        <sz val="10.0"/>
      </rPr>
      <t>Colocar X en la casilla del recurso que se utilizara</t>
    </r>
  </si>
  <si>
    <r>
      <rPr>
        <rFont val="Arial Rounded"/>
        <color rgb="FF1F1F1F"/>
        <sz val="10.0"/>
      </rPr>
      <t>Colocar X en la casilla del recurso que se utilizara</t>
    </r>
  </si>
  <si>
    <r>
      <rPr>
        <rFont val="Arial Rounded"/>
        <color rgb="FF1F1F1F"/>
        <sz val="10.0"/>
      </rPr>
      <t>Colocar X en la casilla del recurso que se utilizara</t>
    </r>
  </si>
  <si>
    <t>Abril</t>
  </si>
  <si>
    <r>
      <rPr>
        <rFont val="Arial Rounded"/>
        <color rgb="FF1F1F1F"/>
        <sz val="10.0"/>
      </rPr>
      <t>Colocar X en la casilla del recurso que se utilizara</t>
    </r>
  </si>
  <si>
    <r>
      <rPr>
        <rFont val="Arial Rounded"/>
        <color rgb="FF1F1F1F"/>
        <sz val="10.0"/>
      </rPr>
      <t>Colocar X en la casilla del recurso que se utilizara</t>
    </r>
  </si>
  <si>
    <r>
      <rPr>
        <rFont val="Arial Rounded"/>
        <color rgb="FF1F1F1F"/>
        <sz val="10.0"/>
      </rPr>
      <t>Colocar X en la casilla del recurso que se utilizara</t>
    </r>
  </si>
  <si>
    <r>
      <rPr>
        <rFont val="Arial Rounded"/>
        <color rgb="FF1F1F1F"/>
        <sz val="10.0"/>
      </rPr>
      <t>Colocar X en la casilla del recurso que se utilizara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</si>
</sst>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"/>
    <numFmt numFmtId="165" formatCode="m/d"/>
  </numFmts>
  <fonts count="1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b/>
      <sz val="10.0"/>
      <color theme="1"/>
      <name val="Arial"/>
    </font>
    <font>
      <sz val="16.0"/>
      <color rgb="FF0D0D0D"/>
      <name val="Arial"/>
    </font>
    <font/>
    <font>
      <sz val="16.0"/>
      <color theme="1"/>
      <name val="Arial"/>
    </font>
    <font>
      <sz val="10.0"/>
      <color theme="1"/>
      <name val="Arial"/>
    </font>
    <font>
      <color rgb="FF000000"/>
      <name val="Arial"/>
    </font>
    <font>
      <sz val="12.0"/>
      <color rgb="FFFFFFFF"/>
      <name val="Arial"/>
    </font>
    <font>
      <sz val="12.0"/>
      <color theme="1"/>
      <name val="Arial"/>
    </font>
    <font>
      <sz val="12.0"/>
      <color rgb="FF1F1F1F"/>
      <name val="Arial"/>
    </font>
    <font>
      <b/>
      <sz val="12.0"/>
      <color rgb="FFFFFFFF"/>
      <name val="Arial"/>
    </font>
    <font>
      <sz val="12.0"/>
      <color rgb="FF000000"/>
      <name val="Arial"/>
    </font>
    <font>
      <b/>
      <sz val="12.0"/>
      <color theme="1"/>
      <name val="Arial"/>
    </font>
    <font>
      <sz val="10.0"/>
      <color theme="1"/>
      <name val="Arial Rounded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999999"/>
        <bgColor rgb="FF999999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1" fillId="0" fontId="4" numFmtId="0" xfId="0" applyAlignment="1" applyBorder="1" applyFont="1">
      <alignment horizontal="center"/>
    </xf>
    <xf borderId="1" fillId="0" fontId="4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vertical="center"/>
    </xf>
    <xf borderId="2" fillId="2" fontId="5" numFmtId="0" xfId="0" applyAlignment="1" applyBorder="1" applyFill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right" vertical="center"/>
    </xf>
    <xf borderId="1" fillId="0" fontId="2" numFmtId="0" xfId="0" applyAlignment="1" applyBorder="1" applyFont="1">
      <alignment horizontal="left" readingOrder="0" vertical="center"/>
    </xf>
    <xf borderId="2" fillId="0" fontId="2" numFmtId="0" xfId="0" applyAlignment="1" applyBorder="1" applyFont="1">
      <alignment horizontal="center" readingOrder="0" vertical="center"/>
    </xf>
    <xf borderId="0" fillId="0" fontId="3" numFmtId="0" xfId="0" applyAlignment="1" applyFont="1">
      <alignment readingOrder="0"/>
    </xf>
    <xf borderId="3" fillId="0" fontId="6" numFmtId="0" xfId="0" applyBorder="1" applyFont="1"/>
    <xf borderId="1" fillId="0" fontId="2" numFmtId="0" xfId="0" applyAlignment="1" applyBorder="1" applyFont="1">
      <alignment horizontal="left" vertical="center"/>
    </xf>
    <xf borderId="4" fillId="0" fontId="6" numFmtId="0" xfId="0" applyBorder="1" applyFont="1"/>
    <xf borderId="0" fillId="0" fontId="3" numFmtId="0" xfId="0" applyAlignment="1" applyFont="1">
      <alignment horizontal="left" readingOrder="0" vertical="center"/>
    </xf>
    <xf borderId="2" fillId="0" fontId="7" numFmtId="0" xfId="0" applyAlignment="1" applyBorder="1" applyFont="1">
      <alignment horizontal="center" readingOrder="0" shrinkToFit="0" vertical="center" wrapText="1"/>
    </xf>
    <xf borderId="0" fillId="0" fontId="3" numFmtId="164" xfId="0" applyAlignment="1" applyFont="1" applyNumberFormat="1">
      <alignment readingOrder="0"/>
    </xf>
    <xf borderId="1" fillId="0" fontId="8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center" vertical="center"/>
    </xf>
    <xf borderId="0" fillId="0" fontId="2" numFmtId="165" xfId="0" applyAlignment="1" applyFont="1" applyNumberFormat="1">
      <alignment horizontal="right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165" xfId="0" applyAlignment="1" applyFont="1" applyNumberFormat="1">
      <alignment horizontal="right" readingOrder="0" vertical="bottom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left" vertical="center"/>
    </xf>
    <xf borderId="1" fillId="2" fontId="9" numFmtId="0" xfId="0" applyAlignment="1" applyBorder="1" applyFont="1">
      <alignment horizontal="center" readingOrder="0" vertical="center"/>
    </xf>
    <xf borderId="5" fillId="3" fontId="10" numFmtId="0" xfId="0" applyBorder="1" applyFill="1" applyFont="1"/>
    <xf borderId="5" fillId="0" fontId="11" numFmtId="0" xfId="0" applyAlignment="1" applyBorder="1" applyFont="1">
      <alignment shrinkToFit="0" wrapText="1"/>
    </xf>
    <xf borderId="0" fillId="0" fontId="11" numFmtId="0" xfId="0" applyFont="1"/>
    <xf borderId="5" fillId="2" fontId="12" numFmtId="0" xfId="0" applyAlignment="1" applyBorder="1" applyFont="1">
      <alignment horizontal="left" shrinkToFit="0" wrapText="1"/>
    </xf>
    <xf borderId="5" fillId="2" fontId="12" numFmtId="0" xfId="0" applyAlignment="1" applyBorder="1" applyFont="1">
      <alignment shrinkToFit="0" wrapText="1"/>
    </xf>
    <xf borderId="0" fillId="0" fontId="11" numFmtId="0" xfId="0" applyAlignment="1" applyFont="1">
      <alignment shrinkToFit="0" wrapText="1"/>
    </xf>
    <xf borderId="6" fillId="4" fontId="10" numFmtId="0" xfId="0" applyBorder="1" applyFill="1" applyFont="1"/>
    <xf borderId="5" fillId="4" fontId="10" numFmtId="0" xfId="0" applyAlignment="1" applyBorder="1" applyFont="1">
      <alignment shrinkToFit="0" wrapText="1"/>
    </xf>
    <xf borderId="6" fillId="4" fontId="10" numFmtId="0" xfId="0" applyAlignment="1" applyBorder="1" applyFont="1">
      <alignment horizontal="center" shrinkToFit="0" wrapText="1"/>
    </xf>
    <xf borderId="5" fillId="4" fontId="10" numFmtId="0" xfId="0" applyAlignment="1" applyBorder="1" applyFont="1">
      <alignment horizontal="center"/>
    </xf>
    <xf borderId="7" fillId="4" fontId="10" numFmtId="0" xfId="0" applyAlignment="1" applyBorder="1" applyFont="1">
      <alignment horizontal="center"/>
    </xf>
    <xf borderId="8" fillId="0" fontId="6" numFmtId="0" xfId="0" applyBorder="1" applyFont="1"/>
    <xf borderId="9" fillId="0" fontId="6" numFmtId="0" xfId="0" applyBorder="1" applyFont="1"/>
    <xf borderId="9" fillId="4" fontId="10" numFmtId="0" xfId="0" applyAlignment="1" applyBorder="1" applyFont="1">
      <alignment horizontal="center" shrinkToFit="0" wrapText="1"/>
    </xf>
    <xf borderId="6" fillId="4" fontId="10" numFmtId="0" xfId="0" applyAlignment="1" applyBorder="1" applyFont="1">
      <alignment horizontal="center"/>
    </xf>
    <xf borderId="10" fillId="0" fontId="6" numFmtId="0" xfId="0" applyBorder="1" applyFont="1"/>
    <xf borderId="4" fillId="0" fontId="11" numFmtId="0" xfId="0" applyBorder="1" applyFont="1"/>
    <xf borderId="0" fillId="0" fontId="11" numFmtId="0" xfId="0" applyAlignment="1" applyFont="1">
      <alignment horizontal="left" shrinkToFit="0" wrapText="1"/>
    </xf>
    <xf borderId="1" fillId="0" fontId="11" numFmtId="0" xfId="0" applyBorder="1" applyFont="1"/>
    <xf borderId="1" fillId="0" fontId="11" numFmtId="0" xfId="0" applyAlignment="1" applyBorder="1" applyFont="1">
      <alignment shrinkToFit="0" wrapText="1"/>
    </xf>
    <xf borderId="0" fillId="3" fontId="13" numFmtId="0" xfId="0" applyFont="1"/>
    <xf borderId="5" fillId="4" fontId="10" numFmtId="0" xfId="0" applyBorder="1" applyFont="1"/>
    <xf borderId="1" fillId="5" fontId="14" numFmtId="0" xfId="0" applyAlignment="1" applyBorder="1" applyFill="1" applyFont="1">
      <alignment horizontal="center"/>
    </xf>
    <xf borderId="2" fillId="5" fontId="14" numFmtId="0" xfId="0" applyAlignment="1" applyBorder="1" applyFont="1">
      <alignment horizontal="center" vertical="center"/>
    </xf>
    <xf borderId="2" fillId="5" fontId="14" numFmtId="0" xfId="0" applyAlignment="1" applyBorder="1" applyFont="1">
      <alignment horizontal="center"/>
    </xf>
    <xf borderId="4" fillId="0" fontId="2" numFmtId="0" xfId="0" applyAlignment="1" applyBorder="1" applyFont="1">
      <alignment shrinkToFit="0" wrapText="1"/>
    </xf>
    <xf borderId="4" fillId="0" fontId="2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center"/>
    </xf>
    <xf borderId="4" fillId="0" fontId="2" numFmtId="0" xfId="0" applyBorder="1" applyFont="1"/>
    <xf borderId="1" fillId="0" fontId="2" numFmtId="0" xfId="0" applyBorder="1" applyFont="1"/>
    <xf borderId="1" fillId="0" fontId="8" numFmtId="0" xfId="0" applyAlignment="1" applyBorder="1" applyFont="1">
      <alignment horizontal="center" readingOrder="0"/>
    </xf>
    <xf borderId="1" fillId="0" fontId="11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/>
    </xf>
    <xf borderId="1" fillId="0" fontId="11" numFmtId="0" xfId="0" applyAlignment="1" applyBorder="1" applyFont="1">
      <alignment horizontal="center"/>
    </xf>
    <xf borderId="4" fillId="0" fontId="2" numFmtId="0" xfId="0" applyAlignment="1" applyBorder="1" applyFont="1">
      <alignment readingOrder="0" shrinkToFit="0" wrapText="1"/>
    </xf>
    <xf borderId="1" fillId="0" fontId="11" numFmtId="0" xfId="0" applyAlignment="1" applyBorder="1" applyFont="1">
      <alignment readingOrder="0"/>
    </xf>
    <xf borderId="0" fillId="0" fontId="1" numFmtId="0" xfId="0" applyAlignment="1" applyFont="1">
      <alignment shrinkToFit="0" wrapText="1"/>
    </xf>
    <xf borderId="0" fillId="0" fontId="15" numFmtId="0" xfId="0" applyFont="1"/>
    <xf borderId="0" fillId="0" fontId="16" numFmtId="0" xfId="0" applyFont="1"/>
    <xf borderId="5" fillId="2" fontId="12" numFmtId="0" xfId="0" applyAlignment="1" applyBorder="1" applyFont="1">
      <alignment horizontal="left" readingOrder="0" shrinkToFit="0" wrapText="1"/>
    </xf>
    <xf borderId="6" fillId="4" fontId="10" numFmtId="0" xfId="0" applyAlignment="1" applyBorder="1" applyFont="1">
      <alignment horizontal="center" readingOrder="0"/>
    </xf>
    <xf borderId="5" fillId="0" fontId="11" numFmtId="0" xfId="0" applyAlignment="1" applyBorder="1" applyFont="1">
      <alignment readingOrder="0" shrinkToFit="0" wrapText="1"/>
    </xf>
    <xf borderId="5" fillId="3" fontId="10" numFmtId="0" xfId="0" applyAlignment="1" applyBorder="1" applyFont="1">
      <alignment horizontal="left" vertical="center"/>
    </xf>
    <xf borderId="6" fillId="4" fontId="10" numFmtId="0" xfId="0" applyAlignment="1" applyBorder="1" applyFont="1">
      <alignment horizontal="center" vertical="center"/>
    </xf>
    <xf borderId="1" fillId="0" fontId="8" numFmtId="0" xfId="0" applyAlignment="1" applyBorder="1" applyFont="1">
      <alignment readingOrder="0"/>
    </xf>
    <xf borderId="1" fillId="0" fontId="1" numFmtId="0" xfId="0" applyAlignment="1" applyBorder="1" applyFont="1">
      <alignment shrinkToFit="0" wrapText="1"/>
    </xf>
    <xf borderId="6" fillId="4" fontId="10" numFmtId="0" xfId="0" applyAlignment="1" applyBorder="1" applyFont="1">
      <alignment horizontal="center" shrinkToFit="0" vertical="center" wrapText="1"/>
    </xf>
    <xf borderId="4" fillId="0" fontId="11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customschemas.google.com/relationships/workbookmetadata" Target="metadata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88"/>
    <col customWidth="1" min="2" max="2" width="30.63"/>
    <col customWidth="1" min="3" max="3" width="64.5"/>
  </cols>
  <sheetData>
    <row r="1" ht="37.5" customHeight="1">
      <c r="A1" s="1" t="s">
        <v>0</v>
      </c>
      <c r="B1" s="2" t="s">
        <v>1</v>
      </c>
      <c r="C1" s="2" t="s">
        <v>2</v>
      </c>
    </row>
    <row r="2" ht="33.75" customHeight="1">
      <c r="A2" s="3">
        <v>1.0</v>
      </c>
      <c r="B2" s="4" t="s">
        <v>3</v>
      </c>
      <c r="C2" s="4" t="s">
        <v>4</v>
      </c>
    </row>
    <row r="3" ht="33.75" customHeight="1">
      <c r="A3" s="3">
        <v>2.0</v>
      </c>
      <c r="B3" s="4" t="s">
        <v>5</v>
      </c>
      <c r="C3" s="4" t="s">
        <v>6</v>
      </c>
    </row>
    <row r="4" ht="33.75" customHeight="1">
      <c r="A4" s="3">
        <v>3.0</v>
      </c>
      <c r="B4" s="4" t="s">
        <v>7</v>
      </c>
      <c r="C4" s="4" t="s">
        <v>8</v>
      </c>
    </row>
    <row r="5" ht="64.5" customHeight="1">
      <c r="A5" s="3">
        <v>4.0</v>
      </c>
      <c r="B5" s="4" t="s">
        <v>9</v>
      </c>
      <c r="C5" s="4" t="s">
        <v>10</v>
      </c>
    </row>
    <row r="6" ht="33.75" customHeight="1">
      <c r="A6" s="3">
        <v>5.0</v>
      </c>
      <c r="B6" s="4" t="s">
        <v>11</v>
      </c>
      <c r="C6" s="4" t="s">
        <v>12</v>
      </c>
    </row>
    <row r="7" ht="33.75" customHeight="1">
      <c r="A7" s="3">
        <v>6.0</v>
      </c>
      <c r="B7" s="5" t="s">
        <v>13</v>
      </c>
      <c r="C7" s="5" t="s">
        <v>14</v>
      </c>
    </row>
    <row r="8" ht="33.75" customHeight="1">
      <c r="A8" s="3">
        <v>7.0</v>
      </c>
      <c r="B8" s="5" t="s">
        <v>15</v>
      </c>
      <c r="C8" s="5" t="s">
        <v>16</v>
      </c>
    </row>
    <row r="9" ht="33.75" customHeight="1">
      <c r="A9" s="3">
        <v>8.0</v>
      </c>
      <c r="B9" s="5" t="s">
        <v>17</v>
      </c>
      <c r="C9" s="5" t="s">
        <v>18</v>
      </c>
    </row>
    <row r="10" ht="33.75" customHeight="1">
      <c r="A10" s="3">
        <v>9.0</v>
      </c>
      <c r="B10" s="5" t="s">
        <v>19</v>
      </c>
      <c r="C10" s="5" t="s">
        <v>20</v>
      </c>
    </row>
    <row r="11" ht="33.75" customHeight="1">
      <c r="A11" s="3">
        <v>10.0</v>
      </c>
      <c r="B11" s="5" t="s">
        <v>21</v>
      </c>
      <c r="C11" s="5" t="s">
        <v>22</v>
      </c>
    </row>
    <row r="12" ht="33.75" customHeight="1">
      <c r="A12" s="3">
        <v>11.0</v>
      </c>
      <c r="B12" s="5" t="s">
        <v>23</v>
      </c>
      <c r="C12" s="5" t="s">
        <v>24</v>
      </c>
    </row>
    <row r="13" ht="33.75" customHeight="1">
      <c r="A13" s="3">
        <v>12.0</v>
      </c>
      <c r="B13" s="5" t="s">
        <v>25</v>
      </c>
      <c r="C13" s="5" t="s">
        <v>26</v>
      </c>
    </row>
    <row r="14" ht="33.75" customHeight="1">
      <c r="A14" s="3">
        <v>13.0</v>
      </c>
      <c r="B14" s="5" t="s">
        <v>27</v>
      </c>
      <c r="C14" s="5" t="s">
        <v>28</v>
      </c>
    </row>
    <row r="15" ht="33.75" customHeight="1">
      <c r="A15" s="3">
        <v>14.0</v>
      </c>
      <c r="B15" s="5" t="s">
        <v>29</v>
      </c>
      <c r="C15" s="5" t="s">
        <v>30</v>
      </c>
    </row>
    <row r="16" ht="15.75" customHeight="1">
      <c r="A16" s="6"/>
      <c r="B16" s="6"/>
      <c r="C16" s="6"/>
    </row>
    <row r="17" ht="15.75" customHeight="1">
      <c r="A17" s="6"/>
      <c r="B17" s="6"/>
      <c r="C17" s="6"/>
    </row>
    <row r="18" ht="15.75" customHeight="1">
      <c r="A18" s="6"/>
      <c r="B18" s="6"/>
      <c r="C18" s="6"/>
    </row>
    <row r="19" ht="15.75" customHeight="1">
      <c r="A19" s="6"/>
      <c r="B19" s="6"/>
      <c r="C19" s="6"/>
    </row>
    <row r="20" ht="15.75" customHeight="1">
      <c r="A20" s="6"/>
      <c r="B20" s="6"/>
      <c r="C20" s="6"/>
    </row>
    <row r="21" ht="15.75" customHeight="1">
      <c r="A21" s="6"/>
      <c r="B21" s="6"/>
      <c r="C21" s="6"/>
    </row>
    <row r="22" ht="15.75" customHeight="1">
      <c r="A22" s="6"/>
      <c r="B22" s="6"/>
      <c r="C22" s="6"/>
    </row>
    <row r="23" ht="15.75" customHeight="1">
      <c r="A23" s="6"/>
      <c r="B23" s="6"/>
      <c r="C23" s="6"/>
    </row>
    <row r="24" ht="15.75" customHeight="1">
      <c r="A24" s="6"/>
      <c r="B24" s="6"/>
      <c r="C24" s="6"/>
    </row>
    <row r="25" ht="15.75" customHeight="1">
      <c r="A25" s="6"/>
      <c r="B25" s="6"/>
      <c r="C25" s="6"/>
    </row>
    <row r="26" ht="15.75" customHeight="1">
      <c r="A26" s="6"/>
      <c r="B26" s="6"/>
      <c r="C26" s="6"/>
    </row>
    <row r="27" ht="15.75" customHeight="1">
      <c r="A27" s="6"/>
      <c r="B27" s="6"/>
      <c r="C27" s="6"/>
    </row>
    <row r="28" ht="15.75" customHeight="1">
      <c r="A28" s="6"/>
      <c r="B28" s="6"/>
      <c r="C28" s="6"/>
    </row>
    <row r="29" ht="15.75" customHeight="1">
      <c r="A29" s="6"/>
      <c r="B29" s="6"/>
      <c r="C29" s="6"/>
    </row>
    <row r="30" ht="15.75" customHeight="1">
      <c r="A30" s="6"/>
      <c r="B30" s="6"/>
      <c r="C30" s="6"/>
    </row>
    <row r="31" ht="15.75" customHeight="1">
      <c r="A31" s="6"/>
      <c r="B31" s="6"/>
      <c r="C31" s="6"/>
    </row>
    <row r="32" ht="15.75" customHeight="1">
      <c r="A32" s="6"/>
      <c r="B32" s="6"/>
      <c r="C32" s="6"/>
    </row>
    <row r="33" ht="15.75" customHeight="1">
      <c r="A33" s="6"/>
      <c r="B33" s="6"/>
      <c r="C33" s="6"/>
    </row>
    <row r="34" ht="15.75" customHeight="1">
      <c r="A34" s="6"/>
      <c r="B34" s="6"/>
      <c r="C34" s="6"/>
    </row>
    <row r="35" ht="15.75" customHeight="1">
      <c r="A35" s="6"/>
      <c r="B35" s="6"/>
      <c r="C35" s="6"/>
    </row>
    <row r="36" ht="15.75" customHeight="1">
      <c r="A36" s="6"/>
      <c r="B36" s="6"/>
      <c r="C36" s="6"/>
    </row>
    <row r="37" ht="15.75" customHeight="1">
      <c r="A37" s="6"/>
      <c r="B37" s="6"/>
      <c r="C37" s="6"/>
    </row>
    <row r="38" ht="15.75" customHeight="1">
      <c r="A38" s="6"/>
      <c r="B38" s="6"/>
      <c r="C38" s="6"/>
    </row>
    <row r="39" ht="15.75" customHeight="1">
      <c r="A39" s="6"/>
      <c r="B39" s="6"/>
      <c r="C39" s="6"/>
    </row>
    <row r="40" ht="15.75" customHeight="1">
      <c r="A40" s="6"/>
      <c r="B40" s="6"/>
      <c r="C40" s="6"/>
    </row>
    <row r="41" ht="15.75" customHeight="1">
      <c r="A41" s="6"/>
      <c r="B41" s="6"/>
      <c r="C41" s="6"/>
    </row>
    <row r="42" ht="15.75" customHeight="1">
      <c r="A42" s="6"/>
      <c r="B42" s="6"/>
      <c r="C42" s="6"/>
    </row>
    <row r="43" ht="15.75" customHeight="1">
      <c r="A43" s="6"/>
      <c r="B43" s="6"/>
      <c r="C43" s="6"/>
    </row>
    <row r="44" ht="15.75" customHeight="1">
      <c r="A44" s="6"/>
      <c r="B44" s="6"/>
      <c r="C44" s="6"/>
    </row>
    <row r="45" ht="15.75" customHeight="1">
      <c r="A45" s="6"/>
      <c r="B45" s="6"/>
      <c r="C45" s="6"/>
    </row>
    <row r="46" ht="15.75" customHeight="1">
      <c r="A46" s="6"/>
      <c r="B46" s="6"/>
      <c r="C46" s="6"/>
    </row>
    <row r="47" ht="15.75" customHeight="1">
      <c r="A47" s="6"/>
      <c r="B47" s="6"/>
      <c r="C47" s="6"/>
    </row>
    <row r="48" ht="15.75" customHeight="1">
      <c r="A48" s="6"/>
      <c r="B48" s="6"/>
      <c r="C48" s="6"/>
    </row>
    <row r="49" ht="15.75" customHeight="1">
      <c r="A49" s="6"/>
      <c r="B49" s="6"/>
      <c r="C49" s="6"/>
    </row>
    <row r="50" ht="15.75" customHeight="1">
      <c r="A50" s="6"/>
      <c r="B50" s="6"/>
      <c r="C50" s="6"/>
    </row>
    <row r="51" ht="15.75" customHeight="1">
      <c r="A51" s="6"/>
      <c r="B51" s="6"/>
      <c r="C51" s="6"/>
    </row>
    <row r="52" ht="15.75" customHeight="1">
      <c r="A52" s="6"/>
      <c r="B52" s="6"/>
      <c r="C52" s="6"/>
    </row>
    <row r="53" ht="15.75" customHeight="1">
      <c r="A53" s="6"/>
      <c r="B53" s="6"/>
      <c r="C53" s="6"/>
    </row>
    <row r="54" ht="15.75" customHeight="1">
      <c r="A54" s="6"/>
      <c r="B54" s="6"/>
      <c r="C54" s="6"/>
    </row>
    <row r="55" ht="15.75" customHeight="1">
      <c r="A55" s="6"/>
      <c r="B55" s="6"/>
      <c r="C55" s="6"/>
    </row>
    <row r="56" ht="15.75" customHeight="1">
      <c r="A56" s="6"/>
      <c r="B56" s="6"/>
      <c r="C56" s="6"/>
    </row>
    <row r="57" ht="15.75" customHeight="1">
      <c r="A57" s="6"/>
      <c r="B57" s="6"/>
      <c r="C57" s="6"/>
    </row>
    <row r="58" ht="15.75" customHeight="1">
      <c r="A58" s="6"/>
      <c r="B58" s="6"/>
      <c r="C58" s="6"/>
    </row>
    <row r="59" ht="15.75" customHeight="1">
      <c r="A59" s="6"/>
      <c r="B59" s="6"/>
      <c r="C59" s="6"/>
    </row>
    <row r="60" ht="15.75" customHeight="1">
      <c r="A60" s="6"/>
      <c r="B60" s="6"/>
      <c r="C60" s="6"/>
    </row>
    <row r="61" ht="15.75" customHeight="1">
      <c r="A61" s="6"/>
      <c r="B61" s="6"/>
      <c r="C61" s="6"/>
    </row>
    <row r="62" ht="15.75" customHeight="1">
      <c r="A62" s="6"/>
      <c r="B62" s="6"/>
      <c r="C62" s="6"/>
    </row>
    <row r="63" ht="15.75" customHeight="1">
      <c r="A63" s="6"/>
      <c r="B63" s="6"/>
      <c r="C63" s="6"/>
    </row>
    <row r="64" ht="15.75" customHeight="1">
      <c r="A64" s="6"/>
      <c r="B64" s="6"/>
      <c r="C64" s="6"/>
    </row>
    <row r="65" ht="15.75" customHeight="1">
      <c r="A65" s="6"/>
      <c r="B65" s="6"/>
      <c r="C65" s="6"/>
    </row>
    <row r="66" ht="15.75" customHeight="1">
      <c r="A66" s="6"/>
      <c r="B66" s="6"/>
      <c r="C66" s="6"/>
    </row>
    <row r="67" ht="15.75" customHeight="1">
      <c r="A67" s="6"/>
      <c r="B67" s="6"/>
      <c r="C67" s="6"/>
    </row>
    <row r="68" ht="15.75" customHeight="1">
      <c r="A68" s="6"/>
      <c r="B68" s="6"/>
      <c r="C68" s="6"/>
    </row>
    <row r="69" ht="15.75" customHeight="1">
      <c r="A69" s="6"/>
      <c r="B69" s="6"/>
      <c r="C69" s="6"/>
    </row>
    <row r="70" ht="15.75" customHeight="1">
      <c r="A70" s="6"/>
      <c r="B70" s="6"/>
      <c r="C70" s="6"/>
    </row>
    <row r="71" ht="15.75" customHeight="1">
      <c r="A71" s="6"/>
      <c r="B71" s="6"/>
      <c r="C71" s="6"/>
    </row>
    <row r="72" ht="15.75" customHeight="1">
      <c r="A72" s="6"/>
      <c r="B72" s="6"/>
      <c r="C72" s="6"/>
    </row>
    <row r="73" ht="15.75" customHeight="1">
      <c r="A73" s="6"/>
      <c r="B73" s="6"/>
      <c r="C73" s="6"/>
    </row>
    <row r="74" ht="15.75" customHeight="1">
      <c r="A74" s="6"/>
      <c r="B74" s="6"/>
      <c r="C74" s="6"/>
    </row>
    <row r="75" ht="15.75" customHeight="1">
      <c r="A75" s="6"/>
      <c r="B75" s="6"/>
      <c r="C75" s="6"/>
    </row>
    <row r="76" ht="15.75" customHeight="1">
      <c r="A76" s="6"/>
      <c r="B76" s="6"/>
      <c r="C76" s="6"/>
    </row>
    <row r="77" ht="15.75" customHeight="1">
      <c r="A77" s="6"/>
      <c r="B77" s="6"/>
      <c r="C77" s="6"/>
    </row>
    <row r="78" ht="15.75" customHeight="1">
      <c r="A78" s="6"/>
      <c r="B78" s="6"/>
      <c r="C78" s="6"/>
    </row>
    <row r="79" ht="15.75" customHeight="1">
      <c r="A79" s="6"/>
      <c r="B79" s="6"/>
      <c r="C79" s="6"/>
    </row>
    <row r="80" ht="15.75" customHeight="1">
      <c r="A80" s="6"/>
      <c r="B80" s="6"/>
      <c r="C80" s="6"/>
    </row>
    <row r="81" ht="15.75" customHeight="1">
      <c r="A81" s="6"/>
      <c r="B81" s="6"/>
      <c r="C81" s="6"/>
    </row>
    <row r="82" ht="15.75" customHeight="1">
      <c r="A82" s="6"/>
      <c r="B82" s="6"/>
      <c r="C82" s="6"/>
    </row>
    <row r="83" ht="15.75" customHeight="1">
      <c r="A83" s="6"/>
      <c r="B83" s="6"/>
      <c r="C83" s="6"/>
    </row>
    <row r="84" ht="15.75" customHeight="1">
      <c r="A84" s="6"/>
      <c r="B84" s="6"/>
      <c r="C84" s="6"/>
    </row>
    <row r="85" ht="15.75" customHeight="1">
      <c r="A85" s="6"/>
      <c r="B85" s="6"/>
      <c r="C85" s="6"/>
    </row>
    <row r="86" ht="15.75" customHeight="1">
      <c r="A86" s="6"/>
      <c r="B86" s="6"/>
      <c r="C86" s="6"/>
    </row>
    <row r="87" ht="15.75" customHeight="1">
      <c r="A87" s="6"/>
      <c r="B87" s="6"/>
      <c r="C87" s="6"/>
    </row>
    <row r="88" ht="15.75" customHeight="1">
      <c r="A88" s="6"/>
      <c r="B88" s="6"/>
      <c r="C88" s="6"/>
    </row>
    <row r="89" ht="15.75" customHeight="1">
      <c r="A89" s="6"/>
      <c r="B89" s="6"/>
      <c r="C89" s="6"/>
    </row>
    <row r="90" ht="15.75" customHeight="1">
      <c r="A90" s="6"/>
      <c r="B90" s="6"/>
      <c r="C90" s="6"/>
    </row>
    <row r="91" ht="15.75" customHeight="1">
      <c r="A91" s="6"/>
      <c r="B91" s="6"/>
      <c r="C91" s="6"/>
    </row>
    <row r="92" ht="15.75" customHeight="1">
      <c r="A92" s="6"/>
      <c r="B92" s="6"/>
      <c r="C92" s="6"/>
    </row>
    <row r="93" ht="15.75" customHeight="1">
      <c r="A93" s="6"/>
      <c r="B93" s="6"/>
      <c r="C93" s="6"/>
    </row>
    <row r="94" ht="15.75" customHeight="1">
      <c r="A94" s="6"/>
      <c r="B94" s="6"/>
      <c r="C94" s="6"/>
    </row>
    <row r="95" ht="15.75" customHeight="1">
      <c r="A95" s="6"/>
      <c r="B95" s="6"/>
      <c r="C95" s="6"/>
    </row>
    <row r="96" ht="15.75" customHeight="1">
      <c r="A96" s="6"/>
      <c r="B96" s="6"/>
      <c r="C96" s="6"/>
    </row>
    <row r="97" ht="15.75" customHeight="1">
      <c r="A97" s="6"/>
      <c r="B97" s="6"/>
      <c r="C97" s="6"/>
    </row>
    <row r="98" ht="15.75" customHeight="1">
      <c r="A98" s="6"/>
      <c r="B98" s="6"/>
      <c r="C98" s="6"/>
    </row>
    <row r="99" ht="15.75" customHeight="1">
      <c r="A99" s="6"/>
      <c r="B99" s="6"/>
      <c r="C99" s="6"/>
    </row>
    <row r="100" ht="15.75" customHeight="1">
      <c r="A100" s="6"/>
      <c r="B100" s="6"/>
      <c r="C100" s="6"/>
    </row>
    <row r="101" ht="15.75" customHeight="1">
      <c r="A101" s="6"/>
      <c r="B101" s="6"/>
      <c r="C101" s="6"/>
    </row>
    <row r="102" ht="15.75" customHeight="1">
      <c r="A102" s="6"/>
      <c r="B102" s="6"/>
      <c r="C102" s="6"/>
    </row>
    <row r="103" ht="15.75" customHeight="1">
      <c r="A103" s="6"/>
      <c r="B103" s="6"/>
      <c r="C103" s="6"/>
    </row>
    <row r="104" ht="15.75" customHeight="1">
      <c r="A104" s="6"/>
      <c r="B104" s="6"/>
      <c r="C104" s="6"/>
    </row>
    <row r="105" ht="15.75" customHeight="1">
      <c r="A105" s="6"/>
      <c r="B105" s="6"/>
      <c r="C105" s="6"/>
    </row>
    <row r="106" ht="15.75" customHeight="1">
      <c r="A106" s="6"/>
      <c r="B106" s="6"/>
      <c r="C106" s="6"/>
    </row>
    <row r="107" ht="15.75" customHeight="1">
      <c r="A107" s="6"/>
      <c r="B107" s="6"/>
      <c r="C107" s="6"/>
    </row>
    <row r="108" ht="15.75" customHeight="1">
      <c r="A108" s="6"/>
      <c r="B108" s="6"/>
      <c r="C108" s="6"/>
    </row>
    <row r="109" ht="15.75" customHeight="1">
      <c r="A109" s="6"/>
      <c r="B109" s="6"/>
      <c r="C109" s="6"/>
    </row>
    <row r="110" ht="15.75" customHeight="1">
      <c r="A110" s="6"/>
      <c r="B110" s="6"/>
      <c r="C110" s="6"/>
    </row>
    <row r="111" ht="15.75" customHeight="1">
      <c r="A111" s="6"/>
      <c r="B111" s="6"/>
      <c r="C111" s="6"/>
    </row>
    <row r="112" ht="15.75" customHeight="1">
      <c r="A112" s="6"/>
      <c r="B112" s="6"/>
      <c r="C112" s="6"/>
    </row>
    <row r="113" ht="15.75" customHeight="1">
      <c r="A113" s="6"/>
      <c r="B113" s="6"/>
      <c r="C113" s="6"/>
    </row>
    <row r="114" ht="15.75" customHeight="1">
      <c r="A114" s="6"/>
      <c r="B114" s="6"/>
      <c r="C114" s="6"/>
    </row>
    <row r="115" ht="15.75" customHeight="1">
      <c r="A115" s="6"/>
      <c r="B115" s="6"/>
      <c r="C115" s="6"/>
    </row>
    <row r="116" ht="15.75" customHeight="1">
      <c r="A116" s="6"/>
      <c r="B116" s="6"/>
      <c r="C116" s="6"/>
    </row>
    <row r="117" ht="15.75" customHeight="1">
      <c r="A117" s="6"/>
      <c r="B117" s="6"/>
      <c r="C117" s="6"/>
    </row>
    <row r="118" ht="15.75" customHeight="1">
      <c r="A118" s="6"/>
      <c r="B118" s="6"/>
      <c r="C118" s="6"/>
    </row>
    <row r="119" ht="15.75" customHeight="1">
      <c r="A119" s="6"/>
      <c r="B119" s="6"/>
      <c r="C119" s="6"/>
    </row>
    <row r="120" ht="15.75" customHeight="1">
      <c r="A120" s="6"/>
      <c r="B120" s="6"/>
      <c r="C120" s="6"/>
    </row>
    <row r="121" ht="15.75" customHeight="1">
      <c r="A121" s="6"/>
      <c r="B121" s="6"/>
      <c r="C121" s="6"/>
    </row>
    <row r="122" ht="15.75" customHeight="1">
      <c r="A122" s="6"/>
      <c r="B122" s="6"/>
      <c r="C122" s="6"/>
    </row>
    <row r="123" ht="15.75" customHeight="1">
      <c r="A123" s="6"/>
      <c r="B123" s="6"/>
      <c r="C123" s="6"/>
    </row>
    <row r="124" ht="15.75" customHeight="1">
      <c r="A124" s="6"/>
      <c r="B124" s="6"/>
      <c r="C124" s="6"/>
    </row>
    <row r="125" ht="15.75" customHeight="1">
      <c r="A125" s="6"/>
      <c r="B125" s="6"/>
      <c r="C125" s="6"/>
    </row>
    <row r="126" ht="15.75" customHeight="1">
      <c r="A126" s="6"/>
      <c r="B126" s="6"/>
      <c r="C126" s="6"/>
    </row>
    <row r="127" ht="15.75" customHeight="1">
      <c r="A127" s="6"/>
      <c r="B127" s="6"/>
      <c r="C127" s="6"/>
    </row>
    <row r="128" ht="15.75" customHeight="1">
      <c r="A128" s="6"/>
      <c r="B128" s="6"/>
      <c r="C128" s="6"/>
    </row>
    <row r="129" ht="15.75" customHeight="1">
      <c r="A129" s="6"/>
      <c r="B129" s="6"/>
      <c r="C129" s="6"/>
    </row>
    <row r="130" ht="15.75" customHeight="1">
      <c r="A130" s="6"/>
      <c r="B130" s="6"/>
      <c r="C130" s="6"/>
    </row>
    <row r="131" ht="15.75" customHeight="1">
      <c r="A131" s="6"/>
      <c r="B131" s="6"/>
      <c r="C131" s="6"/>
    </row>
    <row r="132" ht="15.75" customHeight="1">
      <c r="A132" s="6"/>
      <c r="B132" s="6"/>
      <c r="C132" s="6"/>
    </row>
    <row r="133" ht="15.75" customHeight="1">
      <c r="A133" s="6"/>
      <c r="B133" s="6"/>
      <c r="C133" s="6"/>
    </row>
    <row r="134" ht="15.75" customHeight="1">
      <c r="A134" s="6"/>
      <c r="B134" s="6"/>
      <c r="C134" s="6"/>
    </row>
    <row r="135" ht="15.75" customHeight="1">
      <c r="A135" s="6"/>
      <c r="B135" s="6"/>
      <c r="C135" s="6"/>
    </row>
    <row r="136" ht="15.75" customHeight="1">
      <c r="A136" s="6"/>
      <c r="B136" s="6"/>
      <c r="C136" s="6"/>
    </row>
    <row r="137" ht="15.75" customHeight="1">
      <c r="A137" s="6"/>
      <c r="B137" s="6"/>
      <c r="C137" s="6"/>
    </row>
    <row r="138" ht="15.75" customHeight="1">
      <c r="A138" s="6"/>
      <c r="B138" s="6"/>
      <c r="C138" s="6"/>
    </row>
    <row r="139" ht="15.75" customHeight="1">
      <c r="A139" s="6"/>
      <c r="B139" s="6"/>
      <c r="C139" s="6"/>
    </row>
    <row r="140" ht="15.75" customHeight="1">
      <c r="A140" s="6"/>
      <c r="B140" s="6"/>
      <c r="C140" s="6"/>
    </row>
    <row r="141" ht="15.75" customHeight="1">
      <c r="A141" s="6"/>
      <c r="B141" s="6"/>
      <c r="C141" s="6"/>
    </row>
    <row r="142" ht="15.75" customHeight="1">
      <c r="A142" s="6"/>
      <c r="B142" s="6"/>
      <c r="C142" s="6"/>
    </row>
    <row r="143" ht="15.75" customHeight="1">
      <c r="A143" s="6"/>
      <c r="B143" s="6"/>
      <c r="C143" s="6"/>
    </row>
    <row r="144" ht="15.75" customHeight="1">
      <c r="A144" s="6"/>
      <c r="B144" s="6"/>
      <c r="C144" s="6"/>
    </row>
    <row r="145" ht="15.75" customHeight="1">
      <c r="A145" s="6"/>
      <c r="B145" s="6"/>
      <c r="C145" s="6"/>
    </row>
    <row r="146" ht="15.75" customHeight="1">
      <c r="A146" s="6"/>
      <c r="B146" s="6"/>
      <c r="C146" s="6"/>
    </row>
    <row r="147" ht="15.75" customHeight="1">
      <c r="A147" s="6"/>
      <c r="B147" s="6"/>
      <c r="C147" s="6"/>
    </row>
    <row r="148" ht="15.75" customHeight="1">
      <c r="A148" s="6"/>
      <c r="B148" s="6"/>
      <c r="C148" s="6"/>
    </row>
    <row r="149" ht="15.75" customHeight="1">
      <c r="A149" s="6"/>
      <c r="B149" s="6"/>
      <c r="C149" s="6"/>
    </row>
    <row r="150" ht="15.75" customHeight="1">
      <c r="A150" s="6"/>
      <c r="B150" s="6"/>
      <c r="C150" s="6"/>
    </row>
    <row r="151" ht="15.75" customHeight="1">
      <c r="A151" s="6"/>
      <c r="B151" s="6"/>
      <c r="C151" s="6"/>
    </row>
    <row r="152" ht="15.75" customHeight="1">
      <c r="A152" s="6"/>
      <c r="B152" s="6"/>
      <c r="C152" s="6"/>
    </row>
    <row r="153" ht="15.75" customHeight="1">
      <c r="A153" s="6"/>
      <c r="B153" s="6"/>
      <c r="C153" s="6"/>
    </row>
    <row r="154" ht="15.75" customHeight="1">
      <c r="A154" s="6"/>
      <c r="B154" s="6"/>
      <c r="C154" s="6"/>
    </row>
    <row r="155" ht="15.75" customHeight="1">
      <c r="A155" s="6"/>
      <c r="B155" s="6"/>
      <c r="C155" s="6"/>
    </row>
    <row r="156" ht="15.75" customHeight="1">
      <c r="A156" s="6"/>
      <c r="B156" s="6"/>
      <c r="C156" s="6"/>
    </row>
    <row r="157" ht="15.75" customHeight="1">
      <c r="A157" s="6"/>
      <c r="B157" s="6"/>
      <c r="C157" s="6"/>
    </row>
    <row r="158" ht="15.75" customHeight="1">
      <c r="A158" s="6"/>
      <c r="B158" s="6"/>
      <c r="C158" s="6"/>
    </row>
    <row r="159" ht="15.75" customHeight="1">
      <c r="A159" s="6"/>
      <c r="B159" s="6"/>
      <c r="C159" s="6"/>
    </row>
    <row r="160" ht="15.75" customHeight="1">
      <c r="A160" s="6"/>
      <c r="B160" s="6"/>
      <c r="C160" s="6"/>
    </row>
    <row r="161" ht="15.75" customHeight="1">
      <c r="A161" s="6"/>
      <c r="B161" s="6"/>
      <c r="C161" s="6"/>
    </row>
    <row r="162" ht="15.75" customHeight="1">
      <c r="A162" s="6"/>
      <c r="B162" s="6"/>
      <c r="C162" s="6"/>
    </row>
    <row r="163" ht="15.75" customHeight="1">
      <c r="A163" s="6"/>
      <c r="B163" s="6"/>
      <c r="C163" s="6"/>
    </row>
    <row r="164" ht="15.75" customHeight="1">
      <c r="A164" s="6"/>
      <c r="B164" s="6"/>
      <c r="C164" s="6"/>
    </row>
    <row r="165" ht="15.75" customHeight="1">
      <c r="A165" s="6"/>
      <c r="B165" s="6"/>
      <c r="C165" s="6"/>
    </row>
    <row r="166" ht="15.75" customHeight="1">
      <c r="A166" s="6"/>
      <c r="B166" s="6"/>
      <c r="C166" s="6"/>
    </row>
    <row r="167" ht="15.75" customHeight="1">
      <c r="A167" s="6"/>
      <c r="B167" s="6"/>
      <c r="C167" s="6"/>
    </row>
    <row r="168" ht="15.75" customHeight="1">
      <c r="A168" s="6"/>
      <c r="B168" s="6"/>
      <c r="C168" s="6"/>
    </row>
    <row r="169" ht="15.75" customHeight="1">
      <c r="A169" s="6"/>
      <c r="B169" s="6"/>
      <c r="C169" s="6"/>
    </row>
    <row r="170" ht="15.75" customHeight="1">
      <c r="A170" s="6"/>
      <c r="B170" s="6"/>
      <c r="C170" s="6"/>
    </row>
    <row r="171" ht="15.75" customHeight="1">
      <c r="A171" s="6"/>
      <c r="B171" s="6"/>
      <c r="C171" s="6"/>
    </row>
    <row r="172" ht="15.75" customHeight="1">
      <c r="A172" s="6"/>
      <c r="B172" s="6"/>
      <c r="C172" s="6"/>
    </row>
    <row r="173" ht="15.75" customHeight="1">
      <c r="A173" s="6"/>
      <c r="B173" s="6"/>
      <c r="C173" s="6"/>
    </row>
    <row r="174" ht="15.75" customHeight="1">
      <c r="A174" s="6"/>
      <c r="B174" s="6"/>
      <c r="C174" s="6"/>
    </row>
    <row r="175" ht="15.75" customHeight="1">
      <c r="A175" s="6"/>
      <c r="B175" s="6"/>
      <c r="C175" s="6"/>
    </row>
    <row r="176" ht="15.75" customHeight="1">
      <c r="A176" s="6"/>
      <c r="B176" s="6"/>
      <c r="C176" s="6"/>
    </row>
    <row r="177" ht="15.75" customHeight="1">
      <c r="A177" s="6"/>
      <c r="B177" s="6"/>
      <c r="C177" s="6"/>
    </row>
    <row r="178" ht="15.75" customHeight="1">
      <c r="A178" s="6"/>
      <c r="B178" s="6"/>
      <c r="C178" s="6"/>
    </row>
    <row r="179" ht="15.75" customHeight="1">
      <c r="A179" s="6"/>
      <c r="B179" s="6"/>
      <c r="C179" s="6"/>
    </row>
    <row r="180" ht="15.75" customHeight="1">
      <c r="A180" s="6"/>
      <c r="B180" s="6"/>
      <c r="C180" s="6"/>
    </row>
    <row r="181" ht="15.75" customHeight="1">
      <c r="A181" s="6"/>
      <c r="B181" s="6"/>
      <c r="C181" s="6"/>
    </row>
    <row r="182" ht="15.75" customHeight="1">
      <c r="A182" s="6"/>
      <c r="B182" s="6"/>
      <c r="C182" s="6"/>
    </row>
    <row r="183" ht="15.75" customHeight="1">
      <c r="A183" s="6"/>
      <c r="B183" s="6"/>
      <c r="C183" s="6"/>
    </row>
    <row r="184" ht="15.75" customHeight="1">
      <c r="A184" s="6"/>
      <c r="B184" s="6"/>
      <c r="C184" s="6"/>
    </row>
    <row r="185" ht="15.75" customHeight="1">
      <c r="A185" s="6"/>
      <c r="B185" s="6"/>
      <c r="C185" s="6"/>
    </row>
    <row r="186" ht="15.75" customHeight="1">
      <c r="A186" s="6"/>
      <c r="B186" s="6"/>
      <c r="C186" s="6"/>
    </row>
    <row r="187" ht="15.75" customHeight="1">
      <c r="A187" s="6"/>
      <c r="B187" s="6"/>
      <c r="C187" s="6"/>
    </row>
    <row r="188" ht="15.75" customHeight="1">
      <c r="A188" s="6"/>
      <c r="B188" s="6"/>
      <c r="C188" s="6"/>
    </row>
    <row r="189" ht="15.75" customHeight="1">
      <c r="A189" s="6"/>
      <c r="B189" s="6"/>
      <c r="C189" s="6"/>
    </row>
    <row r="190" ht="15.75" customHeight="1">
      <c r="A190" s="6"/>
      <c r="B190" s="6"/>
      <c r="C190" s="6"/>
    </row>
    <row r="191" ht="15.75" customHeight="1">
      <c r="A191" s="6"/>
      <c r="B191" s="6"/>
      <c r="C191" s="6"/>
    </row>
    <row r="192" ht="15.75" customHeight="1">
      <c r="A192" s="6"/>
      <c r="B192" s="6"/>
      <c r="C192" s="6"/>
    </row>
    <row r="193" ht="15.75" customHeight="1">
      <c r="A193" s="6"/>
      <c r="B193" s="6"/>
      <c r="C193" s="6"/>
    </row>
    <row r="194" ht="15.75" customHeight="1">
      <c r="A194" s="6"/>
      <c r="B194" s="6"/>
      <c r="C194" s="6"/>
    </row>
    <row r="195" ht="15.75" customHeight="1">
      <c r="A195" s="6"/>
      <c r="B195" s="6"/>
      <c r="C195" s="6"/>
    </row>
    <row r="196" ht="15.75" customHeight="1">
      <c r="A196" s="6"/>
      <c r="B196" s="6"/>
      <c r="C196" s="6"/>
    </row>
    <row r="197" ht="15.75" customHeight="1">
      <c r="A197" s="6"/>
      <c r="B197" s="6"/>
      <c r="C197" s="6"/>
    </row>
    <row r="198" ht="15.75" customHeight="1">
      <c r="A198" s="6"/>
      <c r="B198" s="6"/>
      <c r="C198" s="6"/>
    </row>
    <row r="199" ht="15.75" customHeight="1">
      <c r="A199" s="6"/>
      <c r="B199" s="6"/>
      <c r="C199" s="6"/>
    </row>
    <row r="200" ht="15.75" customHeight="1">
      <c r="A200" s="6"/>
      <c r="B200" s="6"/>
      <c r="C200" s="6"/>
    </row>
    <row r="201" ht="15.75" customHeight="1">
      <c r="A201" s="6"/>
      <c r="B201" s="6"/>
      <c r="C201" s="6"/>
    </row>
    <row r="202" ht="15.75" customHeight="1">
      <c r="A202" s="6"/>
      <c r="B202" s="6"/>
      <c r="C202" s="6"/>
    </row>
    <row r="203" ht="15.75" customHeight="1">
      <c r="A203" s="6"/>
      <c r="B203" s="6"/>
      <c r="C203" s="6"/>
    </row>
    <row r="204" ht="15.75" customHeight="1">
      <c r="A204" s="6"/>
      <c r="B204" s="6"/>
      <c r="C204" s="6"/>
    </row>
    <row r="205" ht="15.75" customHeight="1">
      <c r="A205" s="6"/>
      <c r="B205" s="6"/>
      <c r="C205" s="6"/>
    </row>
    <row r="206" ht="15.75" customHeight="1">
      <c r="A206" s="6"/>
      <c r="B206" s="6"/>
      <c r="C206" s="6"/>
    </row>
    <row r="207" ht="15.75" customHeight="1">
      <c r="A207" s="6"/>
      <c r="B207" s="6"/>
      <c r="C207" s="6"/>
    </row>
    <row r="208" ht="15.75" customHeight="1">
      <c r="A208" s="6"/>
      <c r="B208" s="6"/>
      <c r="C208" s="6"/>
    </row>
    <row r="209" ht="15.75" customHeight="1">
      <c r="A209" s="6"/>
      <c r="B209" s="6"/>
      <c r="C209" s="6"/>
    </row>
    <row r="210" ht="15.75" customHeight="1">
      <c r="A210" s="6"/>
      <c r="B210" s="6"/>
      <c r="C210" s="6"/>
    </row>
    <row r="211" ht="15.75" customHeight="1">
      <c r="A211" s="6"/>
      <c r="B211" s="6"/>
      <c r="C211" s="6"/>
    </row>
    <row r="212" ht="15.75" customHeight="1">
      <c r="A212" s="6"/>
      <c r="B212" s="6"/>
      <c r="C212" s="6"/>
    </row>
    <row r="213" ht="15.75" customHeight="1">
      <c r="A213" s="6"/>
      <c r="B213" s="6"/>
      <c r="C213" s="6"/>
    </row>
    <row r="214" ht="15.75" customHeight="1">
      <c r="A214" s="6"/>
      <c r="B214" s="6"/>
      <c r="C214" s="6"/>
    </row>
    <row r="215" ht="15.75" customHeight="1">
      <c r="A215" s="6"/>
      <c r="B215" s="6"/>
      <c r="C215" s="6"/>
    </row>
    <row r="216" ht="15.75" customHeight="1">
      <c r="A216" s="6"/>
      <c r="B216" s="6"/>
      <c r="C216" s="6"/>
    </row>
    <row r="217" ht="15.75" customHeight="1">
      <c r="A217" s="6"/>
      <c r="B217" s="6"/>
      <c r="C217" s="6"/>
    </row>
    <row r="218" ht="15.75" customHeight="1">
      <c r="A218" s="6"/>
      <c r="B218" s="6"/>
      <c r="C218" s="6"/>
    </row>
    <row r="219" ht="15.75" customHeight="1">
      <c r="A219" s="6"/>
      <c r="B219" s="6"/>
      <c r="C219" s="6"/>
    </row>
    <row r="220" ht="15.75" customHeight="1">
      <c r="A220" s="6"/>
      <c r="B220" s="6"/>
      <c r="C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2" max="2" width="43.63"/>
    <col customWidth="1" min="3" max="3" width="15.88"/>
    <col customWidth="1" min="5" max="5" width="10.25"/>
    <col customWidth="1" min="6" max="6" width="50.88"/>
    <col customWidth="1" min="7" max="7" width="49.38"/>
  </cols>
  <sheetData>
    <row r="1" ht="15.75" customHeight="1">
      <c r="A1" s="7" t="s">
        <v>31</v>
      </c>
      <c r="B1" s="8" t="s">
        <v>32</v>
      </c>
      <c r="C1" s="9" t="s">
        <v>33</v>
      </c>
      <c r="D1" s="7" t="s">
        <v>34</v>
      </c>
      <c r="E1" s="7" t="s">
        <v>35</v>
      </c>
      <c r="F1" s="7" t="s">
        <v>36</v>
      </c>
      <c r="G1" s="7" t="s">
        <v>37</v>
      </c>
    </row>
    <row r="2" ht="15.75" customHeight="1">
      <c r="A2" s="10">
        <v>1.0</v>
      </c>
      <c r="B2" s="11" t="s">
        <v>38</v>
      </c>
      <c r="C2" s="10">
        <v>1.0</v>
      </c>
      <c r="D2" s="12" t="s">
        <v>39</v>
      </c>
      <c r="E2" s="13">
        <v>1.0</v>
      </c>
      <c r="F2" s="14" t="s">
        <v>40</v>
      </c>
      <c r="G2" s="15" t="s">
        <v>41</v>
      </c>
      <c r="H2" s="16" t="s">
        <v>42</v>
      </c>
      <c r="I2" s="16" t="s">
        <v>43</v>
      </c>
    </row>
    <row r="3" ht="15.75" customHeight="1">
      <c r="A3" s="17"/>
      <c r="B3" s="17"/>
      <c r="C3" s="17"/>
      <c r="D3" s="17"/>
      <c r="E3" s="13">
        <v>2.0</v>
      </c>
      <c r="F3" s="14" t="s">
        <v>44</v>
      </c>
      <c r="G3" s="17"/>
    </row>
    <row r="4" ht="15.75" customHeight="1">
      <c r="A4" s="17"/>
      <c r="B4" s="17"/>
      <c r="C4" s="17"/>
      <c r="D4" s="17"/>
      <c r="E4" s="13">
        <v>3.0</v>
      </c>
      <c r="F4" s="14" t="s">
        <v>45</v>
      </c>
      <c r="G4" s="17"/>
    </row>
    <row r="5" ht="15.75" customHeight="1">
      <c r="A5" s="17"/>
      <c r="B5" s="17"/>
      <c r="C5" s="17"/>
      <c r="D5" s="17"/>
      <c r="E5" s="13">
        <v>4.0</v>
      </c>
      <c r="F5" s="14" t="s">
        <v>46</v>
      </c>
      <c r="G5" s="17"/>
    </row>
    <row r="6" ht="15.75" customHeight="1">
      <c r="A6" s="17"/>
      <c r="B6" s="17"/>
      <c r="C6" s="17"/>
      <c r="D6" s="17"/>
      <c r="E6" s="13">
        <v>5.0</v>
      </c>
      <c r="F6" s="14" t="s">
        <v>47</v>
      </c>
      <c r="G6" s="17"/>
    </row>
    <row r="7" ht="15.75" customHeight="1">
      <c r="A7" s="17"/>
      <c r="B7" s="17"/>
      <c r="C7" s="17"/>
      <c r="D7" s="17"/>
      <c r="E7" s="13">
        <v>6.0</v>
      </c>
      <c r="F7" s="18"/>
      <c r="G7" s="17"/>
    </row>
    <row r="8" ht="15.75" customHeight="1">
      <c r="A8" s="17"/>
      <c r="B8" s="17"/>
      <c r="C8" s="19"/>
      <c r="D8" s="19"/>
      <c r="E8" s="13">
        <v>7.0</v>
      </c>
      <c r="F8" s="18"/>
      <c r="G8" s="17"/>
    </row>
    <row r="9" ht="15.75" customHeight="1">
      <c r="A9" s="17"/>
      <c r="B9" s="17"/>
      <c r="C9" s="10">
        <v>2.0</v>
      </c>
      <c r="D9" s="12" t="s">
        <v>38</v>
      </c>
      <c r="E9" s="13">
        <v>1.0</v>
      </c>
      <c r="F9" s="20" t="s">
        <v>48</v>
      </c>
      <c r="G9" s="17"/>
      <c r="H9" s="16" t="s">
        <v>49</v>
      </c>
      <c r="I9" s="16" t="s">
        <v>43</v>
      </c>
    </row>
    <row r="10" ht="15.75" customHeight="1">
      <c r="A10" s="17"/>
      <c r="B10" s="17"/>
      <c r="C10" s="17"/>
      <c r="D10" s="17"/>
      <c r="E10" s="13">
        <v>2.0</v>
      </c>
      <c r="F10" s="14" t="s">
        <v>50</v>
      </c>
      <c r="G10" s="17"/>
    </row>
    <row r="11" ht="15.75" customHeight="1">
      <c r="A11" s="17"/>
      <c r="B11" s="17"/>
      <c r="C11" s="17"/>
      <c r="D11" s="17"/>
      <c r="E11" s="13">
        <v>3.0</v>
      </c>
      <c r="F11" s="20" t="s">
        <v>51</v>
      </c>
      <c r="G11" s="17"/>
    </row>
    <row r="12" ht="15.75" customHeight="1">
      <c r="A12" s="17"/>
      <c r="B12" s="17"/>
      <c r="C12" s="17"/>
      <c r="D12" s="17"/>
      <c r="E12" s="13">
        <v>4.0</v>
      </c>
      <c r="F12" s="14" t="s">
        <v>52</v>
      </c>
      <c r="G12" s="17"/>
    </row>
    <row r="13" ht="15.75" customHeight="1">
      <c r="A13" s="17"/>
      <c r="B13" s="17"/>
      <c r="C13" s="17"/>
      <c r="D13" s="17"/>
      <c r="E13" s="13">
        <v>5.0</v>
      </c>
      <c r="F13" s="14" t="s">
        <v>53</v>
      </c>
      <c r="G13" s="17"/>
    </row>
    <row r="14" ht="15.75" customHeight="1">
      <c r="A14" s="17"/>
      <c r="B14" s="17"/>
      <c r="C14" s="17"/>
      <c r="D14" s="17"/>
      <c r="E14" s="13">
        <v>6.0</v>
      </c>
      <c r="F14" s="14" t="s">
        <v>54</v>
      </c>
      <c r="G14" s="17"/>
    </row>
    <row r="15" ht="15.75" customHeight="1">
      <c r="A15" s="17"/>
      <c r="B15" s="17"/>
      <c r="C15" s="19"/>
      <c r="D15" s="19"/>
      <c r="E15" s="13">
        <v>7.0</v>
      </c>
      <c r="F15" s="18"/>
      <c r="G15" s="17"/>
    </row>
    <row r="16" ht="15.75" customHeight="1">
      <c r="A16" s="10">
        <v>2.0</v>
      </c>
      <c r="B16" s="21" t="s">
        <v>55</v>
      </c>
      <c r="C16" s="15">
        <v>3.0</v>
      </c>
      <c r="D16" s="12" t="s">
        <v>56</v>
      </c>
      <c r="E16" s="13">
        <v>1.0</v>
      </c>
      <c r="F16" s="14" t="s">
        <v>57</v>
      </c>
      <c r="G16" s="17"/>
      <c r="H16" s="22">
        <v>45330.0</v>
      </c>
      <c r="I16" s="16" t="s">
        <v>58</v>
      </c>
    </row>
    <row r="17" ht="15.75" customHeight="1">
      <c r="A17" s="17"/>
      <c r="B17" s="17"/>
      <c r="C17" s="17"/>
      <c r="D17" s="17"/>
      <c r="E17" s="13">
        <v>2.0</v>
      </c>
      <c r="F17" s="14" t="s">
        <v>59</v>
      </c>
      <c r="G17" s="17"/>
    </row>
    <row r="18" ht="15.75" customHeight="1">
      <c r="A18" s="17"/>
      <c r="B18" s="17"/>
      <c r="C18" s="17"/>
      <c r="D18" s="17"/>
      <c r="E18" s="13">
        <v>3.0</v>
      </c>
      <c r="F18" s="14" t="s">
        <v>60</v>
      </c>
      <c r="G18" s="17"/>
    </row>
    <row r="19" ht="15.75" customHeight="1">
      <c r="A19" s="17"/>
      <c r="B19" s="17"/>
      <c r="C19" s="17"/>
      <c r="D19" s="17"/>
      <c r="E19" s="13">
        <v>4.0</v>
      </c>
      <c r="F19" s="14" t="s">
        <v>61</v>
      </c>
      <c r="G19" s="17"/>
    </row>
    <row r="20" ht="15.75" customHeight="1">
      <c r="A20" s="17"/>
      <c r="B20" s="17"/>
      <c r="C20" s="17"/>
      <c r="D20" s="17"/>
      <c r="E20" s="13">
        <v>5.0</v>
      </c>
      <c r="F20" s="14" t="s">
        <v>62</v>
      </c>
      <c r="G20" s="17"/>
    </row>
    <row r="21" ht="15.75" customHeight="1">
      <c r="A21" s="17"/>
      <c r="B21" s="17"/>
      <c r="C21" s="17"/>
      <c r="D21" s="17"/>
      <c r="E21" s="13">
        <v>6.0</v>
      </c>
      <c r="F21" s="14" t="s">
        <v>63</v>
      </c>
      <c r="G21" s="17"/>
    </row>
    <row r="22" ht="15.75" customHeight="1">
      <c r="A22" s="17"/>
      <c r="B22" s="17"/>
      <c r="C22" s="19"/>
      <c r="D22" s="19"/>
      <c r="E22" s="13">
        <v>7.0</v>
      </c>
      <c r="F22" s="23" t="s">
        <v>64</v>
      </c>
      <c r="G22" s="17"/>
    </row>
    <row r="23" ht="15.75" customHeight="1">
      <c r="A23" s="17"/>
      <c r="B23" s="17"/>
      <c r="C23" s="15">
        <v>4.0</v>
      </c>
      <c r="D23" s="12" t="s">
        <v>65</v>
      </c>
      <c r="E23" s="13">
        <v>1.0</v>
      </c>
      <c r="F23" s="14" t="s">
        <v>66</v>
      </c>
      <c r="G23" s="17"/>
      <c r="H23" s="22">
        <v>45543.0</v>
      </c>
      <c r="I23" s="16" t="s">
        <v>58</v>
      </c>
    </row>
    <row r="24" ht="15.75" customHeight="1">
      <c r="A24" s="17"/>
      <c r="B24" s="17"/>
      <c r="C24" s="17"/>
      <c r="D24" s="17"/>
      <c r="E24" s="13">
        <v>2.0</v>
      </c>
      <c r="F24" s="14" t="s">
        <v>67</v>
      </c>
      <c r="G24" s="17"/>
    </row>
    <row r="25" ht="15.75" customHeight="1">
      <c r="A25" s="17"/>
      <c r="B25" s="17"/>
      <c r="C25" s="17"/>
      <c r="D25" s="17"/>
      <c r="E25" s="13">
        <v>3.0</v>
      </c>
      <c r="F25" s="14" t="s">
        <v>68</v>
      </c>
      <c r="G25" s="17"/>
    </row>
    <row r="26" ht="15.75" customHeight="1">
      <c r="A26" s="17"/>
      <c r="B26" s="17"/>
      <c r="C26" s="17"/>
      <c r="D26" s="17"/>
      <c r="E26" s="13">
        <v>4.0</v>
      </c>
      <c r="F26" s="14" t="s">
        <v>69</v>
      </c>
      <c r="G26" s="17"/>
    </row>
    <row r="27" ht="15.75" customHeight="1">
      <c r="A27" s="17"/>
      <c r="B27" s="17"/>
      <c r="C27" s="17"/>
      <c r="D27" s="17"/>
      <c r="E27" s="13">
        <v>5.0</v>
      </c>
      <c r="F27" s="18"/>
      <c r="G27" s="17"/>
    </row>
    <row r="28" ht="15.75" customHeight="1">
      <c r="A28" s="17"/>
      <c r="B28" s="17"/>
      <c r="C28" s="17"/>
      <c r="D28" s="17"/>
      <c r="E28" s="13">
        <v>6.0</v>
      </c>
      <c r="F28" s="18"/>
      <c r="G28" s="17"/>
    </row>
    <row r="29" ht="15.75" customHeight="1">
      <c r="A29" s="17"/>
      <c r="B29" s="17"/>
      <c r="C29" s="19"/>
      <c r="D29" s="19"/>
      <c r="E29" s="13">
        <v>7.0</v>
      </c>
      <c r="F29" s="18"/>
      <c r="G29" s="17"/>
    </row>
    <row r="30" ht="15.75" customHeight="1">
      <c r="A30" s="17"/>
      <c r="B30" s="17"/>
      <c r="C30" s="15">
        <v>5.0</v>
      </c>
      <c r="D30" s="12" t="s">
        <v>70</v>
      </c>
      <c r="E30" s="13">
        <v>1.0</v>
      </c>
      <c r="F30" s="14" t="s">
        <v>71</v>
      </c>
      <c r="G30" s="17"/>
      <c r="H30" s="16" t="s">
        <v>72</v>
      </c>
      <c r="I30" s="16" t="s">
        <v>43</v>
      </c>
    </row>
    <row r="31" ht="15.75" customHeight="1">
      <c r="A31" s="17"/>
      <c r="B31" s="17"/>
      <c r="C31" s="17"/>
      <c r="D31" s="17"/>
      <c r="E31" s="13">
        <v>2.0</v>
      </c>
      <c r="F31" s="14" t="s">
        <v>73</v>
      </c>
      <c r="G31" s="17"/>
    </row>
    <row r="32" ht="15.75" customHeight="1">
      <c r="A32" s="17"/>
      <c r="B32" s="17"/>
      <c r="C32" s="17"/>
      <c r="D32" s="17"/>
      <c r="E32" s="13">
        <v>3.0</v>
      </c>
      <c r="F32" s="14" t="s">
        <v>74</v>
      </c>
      <c r="G32" s="17"/>
    </row>
    <row r="33" ht="15.75" customHeight="1">
      <c r="A33" s="17"/>
      <c r="B33" s="17"/>
      <c r="C33" s="17"/>
      <c r="D33" s="17"/>
      <c r="E33" s="13">
        <v>4.0</v>
      </c>
      <c r="F33" s="14" t="s">
        <v>75</v>
      </c>
      <c r="G33" s="17"/>
    </row>
    <row r="34" ht="15.75" customHeight="1">
      <c r="A34" s="17"/>
      <c r="B34" s="17"/>
      <c r="C34" s="17"/>
      <c r="D34" s="17"/>
      <c r="E34" s="13">
        <v>5.0</v>
      </c>
      <c r="F34" s="18"/>
      <c r="G34" s="17"/>
    </row>
    <row r="35" ht="15.75" customHeight="1">
      <c r="A35" s="17"/>
      <c r="B35" s="17"/>
      <c r="C35" s="17"/>
      <c r="D35" s="17"/>
      <c r="E35" s="13">
        <v>6.0</v>
      </c>
      <c r="F35" s="18"/>
      <c r="G35" s="17"/>
    </row>
    <row r="36" ht="15.75" customHeight="1">
      <c r="A36" s="17"/>
      <c r="B36" s="17"/>
      <c r="C36" s="19"/>
      <c r="D36" s="19"/>
      <c r="E36" s="13">
        <v>7.0</v>
      </c>
      <c r="F36" s="18"/>
      <c r="G36" s="17"/>
    </row>
    <row r="37" ht="15.75" customHeight="1">
      <c r="A37" s="17"/>
      <c r="B37" s="17"/>
      <c r="C37" s="15">
        <v>6.0</v>
      </c>
      <c r="D37" s="12" t="s">
        <v>76</v>
      </c>
      <c r="E37" s="24">
        <v>1.0</v>
      </c>
      <c r="F37" s="14" t="s">
        <v>77</v>
      </c>
      <c r="G37" s="17"/>
      <c r="H37" s="16" t="s">
        <v>78</v>
      </c>
      <c r="I37" s="16" t="s">
        <v>58</v>
      </c>
    </row>
    <row r="38" ht="15.75" customHeight="1">
      <c r="A38" s="17"/>
      <c r="B38" s="17"/>
      <c r="C38" s="17"/>
      <c r="D38" s="17"/>
      <c r="E38" s="24">
        <v>2.0</v>
      </c>
      <c r="F38" s="14" t="s">
        <v>79</v>
      </c>
      <c r="G38" s="17"/>
    </row>
    <row r="39" ht="15.75" customHeight="1">
      <c r="A39" s="17"/>
      <c r="B39" s="17"/>
      <c r="C39" s="17"/>
      <c r="D39" s="17"/>
      <c r="E39" s="24">
        <v>3.0</v>
      </c>
      <c r="F39" s="14" t="s">
        <v>80</v>
      </c>
      <c r="G39" s="17"/>
    </row>
    <row r="40" ht="15.75" customHeight="1">
      <c r="A40" s="17"/>
      <c r="B40" s="17"/>
      <c r="C40" s="17"/>
      <c r="D40" s="17"/>
      <c r="E40" s="24">
        <v>4.0</v>
      </c>
      <c r="F40" s="14" t="s">
        <v>81</v>
      </c>
      <c r="G40" s="17"/>
    </row>
    <row r="41" ht="15.75" customHeight="1">
      <c r="A41" s="17"/>
      <c r="B41" s="17"/>
      <c r="C41" s="17"/>
      <c r="D41" s="17"/>
      <c r="E41" s="24">
        <v>5.0</v>
      </c>
      <c r="F41" s="14" t="s">
        <v>82</v>
      </c>
      <c r="G41" s="17"/>
    </row>
    <row r="42" ht="15.75" customHeight="1">
      <c r="A42" s="17"/>
      <c r="B42" s="17"/>
      <c r="C42" s="17"/>
      <c r="D42" s="17"/>
      <c r="E42" s="24">
        <v>6.0</v>
      </c>
      <c r="F42" s="14" t="s">
        <v>83</v>
      </c>
      <c r="G42" s="17"/>
    </row>
    <row r="43" ht="15.75" customHeight="1">
      <c r="A43" s="19"/>
      <c r="B43" s="19"/>
      <c r="C43" s="19"/>
      <c r="D43" s="19"/>
      <c r="E43" s="24">
        <v>7.0</v>
      </c>
      <c r="F43" s="14"/>
      <c r="G43" s="17"/>
    </row>
    <row r="44" ht="15.75" customHeight="1">
      <c r="A44" s="10">
        <v>3.0</v>
      </c>
      <c r="B44" s="11" t="s">
        <v>84</v>
      </c>
      <c r="C44" s="15">
        <v>7.0</v>
      </c>
      <c r="D44" s="12" t="s">
        <v>85</v>
      </c>
      <c r="E44" s="13">
        <v>1.0</v>
      </c>
      <c r="F44" s="14" t="s">
        <v>86</v>
      </c>
      <c r="G44" s="17"/>
      <c r="H44" s="22">
        <v>45300.0</v>
      </c>
      <c r="I44" s="16" t="s">
        <v>58</v>
      </c>
    </row>
    <row r="45" ht="15.75" customHeight="1">
      <c r="A45" s="17"/>
      <c r="B45" s="17"/>
      <c r="C45" s="17"/>
      <c r="D45" s="17"/>
      <c r="E45" s="13">
        <v>2.0</v>
      </c>
      <c r="F45" s="14" t="s">
        <v>87</v>
      </c>
      <c r="G45" s="17"/>
    </row>
    <row r="46" ht="15.75" customHeight="1">
      <c r="A46" s="17"/>
      <c r="B46" s="17"/>
      <c r="C46" s="17"/>
      <c r="D46" s="17"/>
      <c r="E46" s="13">
        <v>3.0</v>
      </c>
      <c r="F46" s="14" t="s">
        <v>88</v>
      </c>
      <c r="G46" s="17"/>
    </row>
    <row r="47" ht="15.75" customHeight="1">
      <c r="A47" s="17"/>
      <c r="B47" s="17"/>
      <c r="C47" s="17"/>
      <c r="D47" s="17"/>
      <c r="E47" s="13">
        <v>4.0</v>
      </c>
      <c r="F47" s="14"/>
      <c r="G47" s="17"/>
    </row>
    <row r="48" ht="15.75" customHeight="1">
      <c r="A48" s="17"/>
      <c r="B48" s="17"/>
      <c r="C48" s="17"/>
      <c r="D48" s="17"/>
      <c r="E48" s="13">
        <v>5.0</v>
      </c>
      <c r="F48" s="18"/>
      <c r="G48" s="17"/>
    </row>
    <row r="49" ht="15.75" customHeight="1">
      <c r="A49" s="17"/>
      <c r="B49" s="17"/>
      <c r="C49" s="17"/>
      <c r="D49" s="17"/>
      <c r="E49" s="13">
        <v>6.0</v>
      </c>
      <c r="F49" s="18"/>
      <c r="G49" s="17"/>
    </row>
    <row r="50" ht="15.75" customHeight="1">
      <c r="A50" s="17"/>
      <c r="B50" s="17"/>
      <c r="C50" s="19"/>
      <c r="D50" s="19"/>
      <c r="E50" s="13">
        <v>7.0</v>
      </c>
      <c r="F50" s="18"/>
      <c r="G50" s="17"/>
    </row>
    <row r="51" ht="15.75" customHeight="1">
      <c r="A51" s="17"/>
      <c r="B51" s="17"/>
      <c r="C51" s="15">
        <v>8.0</v>
      </c>
      <c r="D51" s="12" t="s">
        <v>89</v>
      </c>
      <c r="E51" s="13">
        <v>1.0</v>
      </c>
      <c r="F51" s="14" t="s">
        <v>90</v>
      </c>
      <c r="G51" s="17"/>
      <c r="H51" s="22">
        <v>45452.0</v>
      </c>
      <c r="I51" s="16" t="s">
        <v>58</v>
      </c>
    </row>
    <row r="52" ht="15.75" customHeight="1">
      <c r="A52" s="17"/>
      <c r="B52" s="17"/>
      <c r="C52" s="17"/>
      <c r="D52" s="17"/>
      <c r="E52" s="13">
        <v>2.0</v>
      </c>
      <c r="F52" s="14" t="s">
        <v>91</v>
      </c>
      <c r="G52" s="17"/>
    </row>
    <row r="53" ht="15.75" customHeight="1">
      <c r="A53" s="17"/>
      <c r="B53" s="17"/>
      <c r="C53" s="17"/>
      <c r="D53" s="17"/>
      <c r="E53" s="13">
        <v>3.0</v>
      </c>
      <c r="F53" s="14" t="s">
        <v>92</v>
      </c>
      <c r="G53" s="17"/>
    </row>
    <row r="54" ht="15.75" customHeight="1">
      <c r="A54" s="17"/>
      <c r="B54" s="17"/>
      <c r="C54" s="17"/>
      <c r="D54" s="17"/>
      <c r="E54" s="13">
        <v>4.0</v>
      </c>
      <c r="F54" s="18"/>
      <c r="G54" s="17"/>
    </row>
    <row r="55" ht="15.75" customHeight="1">
      <c r="A55" s="17"/>
      <c r="B55" s="17"/>
      <c r="C55" s="17"/>
      <c r="D55" s="17"/>
      <c r="E55" s="13">
        <v>5.0</v>
      </c>
      <c r="F55" s="18"/>
      <c r="G55" s="17"/>
    </row>
    <row r="56" ht="15.75" customHeight="1">
      <c r="A56" s="17"/>
      <c r="B56" s="17"/>
      <c r="C56" s="17"/>
      <c r="D56" s="17"/>
      <c r="E56" s="13">
        <v>6.0</v>
      </c>
      <c r="F56" s="18"/>
      <c r="G56" s="17"/>
    </row>
    <row r="57" ht="15.75" customHeight="1">
      <c r="A57" s="17"/>
      <c r="B57" s="17"/>
      <c r="C57" s="19"/>
      <c r="D57" s="19"/>
      <c r="E57" s="13">
        <v>7.0</v>
      </c>
      <c r="F57" s="18"/>
      <c r="G57" s="17"/>
    </row>
    <row r="58" ht="15.75" customHeight="1">
      <c r="A58" s="17"/>
      <c r="B58" s="17"/>
      <c r="C58" s="15">
        <v>9.0</v>
      </c>
      <c r="D58" s="12" t="s">
        <v>93</v>
      </c>
      <c r="E58" s="13">
        <v>1.0</v>
      </c>
      <c r="F58" s="14" t="s">
        <v>94</v>
      </c>
      <c r="G58" s="17"/>
      <c r="H58" s="16" t="s">
        <v>95</v>
      </c>
      <c r="I58" s="16" t="s">
        <v>43</v>
      </c>
    </row>
    <row r="59" ht="15.75" customHeight="1">
      <c r="A59" s="17"/>
      <c r="B59" s="17"/>
      <c r="C59" s="17"/>
      <c r="D59" s="17"/>
      <c r="E59" s="13">
        <v>2.0</v>
      </c>
      <c r="F59" s="14" t="s">
        <v>96</v>
      </c>
      <c r="G59" s="17"/>
    </row>
    <row r="60" ht="15.75" customHeight="1">
      <c r="A60" s="17"/>
      <c r="B60" s="17"/>
      <c r="C60" s="17"/>
      <c r="D60" s="17"/>
      <c r="E60" s="13">
        <v>3.0</v>
      </c>
      <c r="F60" s="14" t="s">
        <v>97</v>
      </c>
      <c r="G60" s="17"/>
    </row>
    <row r="61" ht="15.75" customHeight="1">
      <c r="A61" s="17"/>
      <c r="B61" s="17"/>
      <c r="C61" s="17"/>
      <c r="D61" s="17"/>
      <c r="E61" s="13">
        <v>4.0</v>
      </c>
      <c r="F61" s="18"/>
      <c r="G61" s="17"/>
    </row>
    <row r="62" ht="15.75" customHeight="1">
      <c r="A62" s="17"/>
      <c r="B62" s="17"/>
      <c r="C62" s="17"/>
      <c r="D62" s="17"/>
      <c r="E62" s="13">
        <v>5.0</v>
      </c>
      <c r="F62" s="18"/>
      <c r="G62" s="17"/>
    </row>
    <row r="63" ht="15.75" customHeight="1">
      <c r="A63" s="17"/>
      <c r="B63" s="17"/>
      <c r="C63" s="17"/>
      <c r="D63" s="17"/>
      <c r="E63" s="13">
        <v>6.0</v>
      </c>
      <c r="F63" s="18"/>
      <c r="G63" s="17"/>
    </row>
    <row r="64" ht="15.75" customHeight="1">
      <c r="A64" s="17"/>
      <c r="B64" s="17"/>
      <c r="C64" s="19"/>
      <c r="D64" s="19"/>
      <c r="E64" s="13">
        <v>7.0</v>
      </c>
      <c r="F64" s="18"/>
      <c r="G64" s="19"/>
    </row>
    <row r="65" ht="15.75" customHeight="1">
      <c r="A65" s="17"/>
      <c r="B65" s="17"/>
      <c r="C65" s="15">
        <v>10.0</v>
      </c>
      <c r="D65" s="12" t="s">
        <v>98</v>
      </c>
      <c r="E65" s="13">
        <v>1.0</v>
      </c>
      <c r="F65" s="14" t="s">
        <v>99</v>
      </c>
      <c r="G65" s="15" t="s">
        <v>100</v>
      </c>
      <c r="H65" s="16" t="s">
        <v>101</v>
      </c>
      <c r="I65" s="16" t="s">
        <v>43</v>
      </c>
    </row>
    <row r="66" ht="15.75" customHeight="1">
      <c r="A66" s="17"/>
      <c r="B66" s="17"/>
      <c r="C66" s="17"/>
      <c r="D66" s="17"/>
      <c r="E66" s="13">
        <v>2.0</v>
      </c>
      <c r="F66" s="14" t="s">
        <v>102</v>
      </c>
      <c r="G66" s="17"/>
    </row>
    <row r="67" ht="15.75" customHeight="1">
      <c r="A67" s="17"/>
      <c r="B67" s="17"/>
      <c r="C67" s="17"/>
      <c r="D67" s="17"/>
      <c r="E67" s="13">
        <v>3.0</v>
      </c>
      <c r="F67" s="14" t="s">
        <v>103</v>
      </c>
      <c r="G67" s="17"/>
    </row>
    <row r="68" ht="15.75" customHeight="1">
      <c r="A68" s="17"/>
      <c r="B68" s="17"/>
      <c r="C68" s="17"/>
      <c r="D68" s="17"/>
      <c r="E68" s="13">
        <v>4.0</v>
      </c>
      <c r="F68" s="14" t="s">
        <v>104</v>
      </c>
      <c r="G68" s="17"/>
    </row>
    <row r="69" ht="15.75" customHeight="1">
      <c r="A69" s="17"/>
      <c r="B69" s="17"/>
      <c r="C69" s="17"/>
      <c r="D69" s="17"/>
      <c r="E69" s="13">
        <v>5.0</v>
      </c>
      <c r="F69" s="14" t="s">
        <v>105</v>
      </c>
      <c r="G69" s="17"/>
    </row>
    <row r="70" ht="15.75" customHeight="1">
      <c r="A70" s="17"/>
      <c r="B70" s="17"/>
      <c r="C70" s="17"/>
      <c r="D70" s="17"/>
      <c r="E70" s="13">
        <v>6.0</v>
      </c>
      <c r="F70" s="14" t="s">
        <v>106</v>
      </c>
      <c r="G70" s="17"/>
    </row>
    <row r="71" ht="15.75" customHeight="1">
      <c r="A71" s="19"/>
      <c r="B71" s="19"/>
      <c r="C71" s="19"/>
      <c r="D71" s="19"/>
      <c r="E71" s="13">
        <v>7.0</v>
      </c>
      <c r="F71" s="18"/>
      <c r="G71" s="17"/>
    </row>
    <row r="72" ht="15.75" customHeight="1">
      <c r="A72" s="10">
        <v>4.0</v>
      </c>
      <c r="B72" s="11" t="s">
        <v>107</v>
      </c>
      <c r="C72" s="25">
        <v>11.0</v>
      </c>
      <c r="D72" s="12" t="s">
        <v>108</v>
      </c>
      <c r="E72" s="13">
        <v>1.0</v>
      </c>
      <c r="F72" s="14" t="s">
        <v>109</v>
      </c>
      <c r="G72" s="17"/>
      <c r="H72" s="26">
        <v>45392.0</v>
      </c>
      <c r="I72" s="27" t="s">
        <v>43</v>
      </c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ht="15.75" customHeight="1">
      <c r="A73" s="17"/>
      <c r="B73" s="17"/>
      <c r="C73" s="17"/>
      <c r="D73" s="17"/>
      <c r="E73" s="13">
        <v>2.0</v>
      </c>
      <c r="F73" s="14" t="s">
        <v>110</v>
      </c>
      <c r="G73" s="17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ht="15.75" customHeight="1">
      <c r="A74" s="17"/>
      <c r="B74" s="17"/>
      <c r="C74" s="17"/>
      <c r="D74" s="17"/>
      <c r="E74" s="13">
        <v>3.0</v>
      </c>
      <c r="F74" s="14" t="s">
        <v>111</v>
      </c>
      <c r="G74" s="17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ht="15.75" customHeight="1">
      <c r="A75" s="17"/>
      <c r="B75" s="17"/>
      <c r="C75" s="17"/>
      <c r="D75" s="17"/>
      <c r="E75" s="13">
        <v>4.0</v>
      </c>
      <c r="F75" s="14" t="s">
        <v>112</v>
      </c>
      <c r="G75" s="17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15.75" customHeight="1">
      <c r="A76" s="17"/>
      <c r="B76" s="17"/>
      <c r="C76" s="17"/>
      <c r="D76" s="17"/>
      <c r="E76" s="13">
        <v>5.0</v>
      </c>
      <c r="F76" s="18"/>
      <c r="G76" s="17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15.75" customHeight="1">
      <c r="A77" s="17"/>
      <c r="B77" s="17"/>
      <c r="C77" s="17"/>
      <c r="D77" s="17"/>
      <c r="E77" s="13">
        <v>6.0</v>
      </c>
      <c r="F77" s="18"/>
      <c r="G77" s="17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ht="15.75" customHeight="1">
      <c r="A78" s="17"/>
      <c r="B78" s="17"/>
      <c r="C78" s="19"/>
      <c r="D78" s="19"/>
      <c r="E78" s="13">
        <v>7.0</v>
      </c>
      <c r="F78" s="18"/>
      <c r="G78" s="17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ht="15.75" customHeight="1">
      <c r="A79" s="17"/>
      <c r="B79" s="17"/>
      <c r="C79" s="25">
        <v>12.0</v>
      </c>
      <c r="D79" s="12" t="s">
        <v>113</v>
      </c>
      <c r="E79" s="13">
        <v>1.0</v>
      </c>
      <c r="F79" s="14" t="s">
        <v>114</v>
      </c>
      <c r="G79" s="17"/>
      <c r="H79" s="26">
        <v>45606.0</v>
      </c>
      <c r="I79" s="27" t="s">
        <v>58</v>
      </c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ht="15.75" customHeight="1">
      <c r="A80" s="17"/>
      <c r="B80" s="17"/>
      <c r="C80" s="17"/>
      <c r="D80" s="17"/>
      <c r="E80" s="13">
        <v>2.0</v>
      </c>
      <c r="F80" s="14" t="s">
        <v>115</v>
      </c>
      <c r="G80" s="17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ht="15.75" customHeight="1">
      <c r="A81" s="17"/>
      <c r="B81" s="17"/>
      <c r="C81" s="17"/>
      <c r="D81" s="17"/>
      <c r="E81" s="13">
        <v>3.0</v>
      </c>
      <c r="F81" s="14" t="s">
        <v>116</v>
      </c>
      <c r="G81" s="17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ht="15.75" customHeight="1">
      <c r="A82" s="17"/>
      <c r="B82" s="17"/>
      <c r="C82" s="17"/>
      <c r="D82" s="17"/>
      <c r="E82" s="13">
        <v>4.0</v>
      </c>
      <c r="F82" s="14"/>
      <c r="G82" s="17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ht="15.75" customHeight="1">
      <c r="A83" s="17"/>
      <c r="B83" s="17"/>
      <c r="C83" s="17"/>
      <c r="D83" s="17"/>
      <c r="E83" s="13">
        <v>5.0</v>
      </c>
      <c r="F83" s="18"/>
      <c r="G83" s="17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ht="15.75" customHeight="1">
      <c r="A84" s="17"/>
      <c r="B84" s="17"/>
      <c r="C84" s="17"/>
      <c r="D84" s="17"/>
      <c r="E84" s="13">
        <v>6.0</v>
      </c>
      <c r="F84" s="18"/>
      <c r="G84" s="17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15.75" customHeight="1">
      <c r="A85" s="17"/>
      <c r="B85" s="17"/>
      <c r="C85" s="19"/>
      <c r="D85" s="19"/>
      <c r="E85" s="13">
        <v>7.0</v>
      </c>
      <c r="F85" s="18"/>
      <c r="G85" s="17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ht="15.75" customHeight="1">
      <c r="A86" s="17"/>
      <c r="B86" s="17"/>
      <c r="C86" s="15">
        <v>13.0</v>
      </c>
      <c r="D86" s="12" t="s">
        <v>117</v>
      </c>
      <c r="E86" s="13">
        <v>1.0</v>
      </c>
      <c r="F86" s="14" t="s">
        <v>118</v>
      </c>
      <c r="G86" s="17"/>
      <c r="H86" s="29">
        <v>45583.0</v>
      </c>
      <c r="I86" s="27" t="s">
        <v>58</v>
      </c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ht="15.75" customHeight="1">
      <c r="A87" s="17"/>
      <c r="B87" s="17"/>
      <c r="C87" s="17"/>
      <c r="D87" s="17"/>
      <c r="E87" s="13">
        <v>2.0</v>
      </c>
      <c r="F87" s="14" t="s">
        <v>119</v>
      </c>
      <c r="G87" s="17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ht="15.75" customHeight="1">
      <c r="A88" s="17"/>
      <c r="B88" s="17"/>
      <c r="C88" s="17"/>
      <c r="D88" s="17"/>
      <c r="E88" s="13">
        <v>3.0</v>
      </c>
      <c r="F88" s="14" t="s">
        <v>120</v>
      </c>
      <c r="G88" s="17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ht="15.75" customHeight="1">
      <c r="A89" s="17"/>
      <c r="B89" s="17"/>
      <c r="C89" s="17"/>
      <c r="D89" s="17"/>
      <c r="E89" s="13">
        <v>4.0</v>
      </c>
      <c r="F89" s="14" t="s">
        <v>121</v>
      </c>
      <c r="G89" s="17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15.75" customHeight="1">
      <c r="A90" s="17"/>
      <c r="B90" s="17"/>
      <c r="C90" s="17"/>
      <c r="D90" s="17"/>
      <c r="E90" s="13">
        <v>5.0</v>
      </c>
      <c r="F90" s="14" t="s">
        <v>122</v>
      </c>
      <c r="G90" s="17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15.75" customHeight="1">
      <c r="A91" s="17"/>
      <c r="B91" s="17"/>
      <c r="C91" s="17"/>
      <c r="D91" s="17"/>
      <c r="E91" s="13">
        <v>6.0</v>
      </c>
      <c r="F91" s="14" t="s">
        <v>123</v>
      </c>
      <c r="G91" s="17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15.75" customHeight="1">
      <c r="A92" s="17"/>
      <c r="B92" s="17"/>
      <c r="C92" s="19"/>
      <c r="D92" s="19"/>
      <c r="E92" s="13">
        <v>7.0</v>
      </c>
      <c r="F92" s="14" t="s">
        <v>124</v>
      </c>
      <c r="G92" s="17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15.75" customHeight="1">
      <c r="A93" s="17"/>
      <c r="B93" s="17"/>
      <c r="C93" s="15">
        <v>14.0</v>
      </c>
      <c r="D93" s="12" t="s">
        <v>125</v>
      </c>
      <c r="E93" s="13">
        <v>1.0</v>
      </c>
      <c r="F93" s="14" t="s">
        <v>126</v>
      </c>
      <c r="G93" s="17"/>
      <c r="H93" s="29">
        <v>45590.0</v>
      </c>
      <c r="I93" s="27" t="s">
        <v>43</v>
      </c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15.75" customHeight="1">
      <c r="A94" s="17"/>
      <c r="B94" s="17"/>
      <c r="C94" s="17"/>
      <c r="D94" s="17"/>
      <c r="E94" s="13">
        <v>2.0</v>
      </c>
      <c r="F94" s="14" t="s">
        <v>127</v>
      </c>
      <c r="G94" s="17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15.75" customHeight="1">
      <c r="A95" s="17"/>
      <c r="B95" s="17"/>
      <c r="C95" s="17"/>
      <c r="D95" s="17"/>
      <c r="E95" s="13">
        <v>3.0</v>
      </c>
      <c r="F95" s="14" t="s">
        <v>128</v>
      </c>
      <c r="G95" s="17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15.75" customHeight="1">
      <c r="A96" s="17"/>
      <c r="B96" s="17"/>
      <c r="C96" s="17"/>
      <c r="D96" s="17"/>
      <c r="E96" s="13">
        <v>4.0</v>
      </c>
      <c r="F96" s="18"/>
      <c r="G96" s="17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15.75" customHeight="1">
      <c r="A97" s="17"/>
      <c r="B97" s="17"/>
      <c r="C97" s="17"/>
      <c r="D97" s="17"/>
      <c r="E97" s="13">
        <v>5.0</v>
      </c>
      <c r="F97" s="18"/>
      <c r="G97" s="17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15.75" customHeight="1">
      <c r="A98" s="17"/>
      <c r="B98" s="17"/>
      <c r="C98" s="17"/>
      <c r="D98" s="17"/>
      <c r="E98" s="13">
        <v>6.0</v>
      </c>
      <c r="F98" s="18"/>
      <c r="G98" s="17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15.75" customHeight="1">
      <c r="A99" s="19"/>
      <c r="B99" s="19"/>
      <c r="C99" s="19"/>
      <c r="D99" s="19"/>
      <c r="E99" s="13">
        <v>7.0</v>
      </c>
      <c r="F99" s="18"/>
      <c r="G99" s="19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15.75" customHeight="1">
      <c r="B100" s="6"/>
    </row>
    <row r="101" ht="15.75" customHeight="1">
      <c r="B101" s="6"/>
    </row>
    <row r="102" ht="15.75" customHeight="1">
      <c r="B102" s="6"/>
    </row>
    <row r="103" ht="15.75" customHeight="1">
      <c r="B103" s="6"/>
    </row>
    <row r="104" ht="15.75" customHeight="1">
      <c r="B104" s="6"/>
    </row>
    <row r="105" ht="15.75" customHeight="1">
      <c r="B105" s="6"/>
    </row>
    <row r="106" ht="15.75" customHeight="1">
      <c r="B106" s="6"/>
    </row>
    <row r="107" ht="15.75" customHeight="1">
      <c r="B107" s="6"/>
    </row>
    <row r="108" ht="15.75" customHeight="1">
      <c r="B108" s="6"/>
    </row>
    <row r="109" ht="15.75" customHeight="1">
      <c r="B109" s="6"/>
    </row>
    <row r="110" ht="15.75" customHeight="1">
      <c r="B110" s="6"/>
    </row>
    <row r="111" ht="15.75" customHeight="1">
      <c r="B111" s="6"/>
    </row>
    <row r="112" ht="15.75" customHeight="1">
      <c r="B112" s="6"/>
    </row>
    <row r="113" ht="15.75" customHeight="1">
      <c r="B113" s="6"/>
    </row>
    <row r="114" ht="15.75" customHeight="1">
      <c r="B114" s="6"/>
    </row>
    <row r="115" ht="15.75" customHeight="1">
      <c r="B115" s="6"/>
    </row>
    <row r="116" ht="15.75" customHeight="1">
      <c r="B116" s="6"/>
    </row>
    <row r="117" ht="15.75" customHeight="1">
      <c r="B117" s="6"/>
    </row>
    <row r="118" ht="15.75" customHeight="1">
      <c r="B118" s="6"/>
    </row>
    <row r="119" ht="15.75" customHeight="1">
      <c r="B119" s="6"/>
    </row>
    <row r="120" ht="15.75" customHeight="1">
      <c r="B120" s="6"/>
    </row>
    <row r="121" ht="15.75" customHeight="1">
      <c r="B121" s="6"/>
    </row>
    <row r="122" ht="15.75" customHeight="1">
      <c r="B122" s="6"/>
    </row>
    <row r="123" ht="15.75" customHeight="1">
      <c r="B123" s="6"/>
    </row>
    <row r="124" ht="15.75" customHeight="1">
      <c r="B124" s="6"/>
    </row>
    <row r="125" ht="15.75" customHeight="1">
      <c r="B125" s="6"/>
    </row>
    <row r="126" ht="15.75" customHeight="1">
      <c r="B126" s="6"/>
    </row>
    <row r="127" ht="15.75" customHeight="1">
      <c r="B127" s="6"/>
    </row>
    <row r="128" ht="15.75" customHeight="1">
      <c r="B128" s="6"/>
    </row>
    <row r="129" ht="15.75" customHeight="1">
      <c r="B129" s="6"/>
    </row>
    <row r="130" ht="15.75" customHeight="1">
      <c r="B130" s="6"/>
    </row>
    <row r="131" ht="15.75" customHeight="1">
      <c r="B131" s="6"/>
    </row>
    <row r="132" ht="15.75" customHeight="1">
      <c r="B132" s="6"/>
    </row>
    <row r="133" ht="15.75" customHeight="1">
      <c r="B133" s="6"/>
    </row>
    <row r="134" ht="15.75" customHeight="1">
      <c r="B134" s="6"/>
    </row>
    <row r="135" ht="15.75" customHeight="1">
      <c r="B135" s="6"/>
    </row>
    <row r="136" ht="15.75" customHeight="1">
      <c r="B136" s="6"/>
    </row>
    <row r="137" ht="15.75" customHeight="1">
      <c r="B137" s="6"/>
    </row>
    <row r="138" ht="15.75" customHeight="1">
      <c r="B138" s="6"/>
    </row>
    <row r="139" ht="15.75" customHeight="1">
      <c r="B139" s="6"/>
    </row>
    <row r="140" ht="15.75" customHeight="1">
      <c r="B140" s="6"/>
    </row>
    <row r="141" ht="15.75" customHeight="1">
      <c r="B141" s="6"/>
    </row>
    <row r="142" ht="15.75" customHeight="1">
      <c r="B142" s="6"/>
    </row>
    <row r="143" ht="15.75" customHeight="1">
      <c r="B143" s="6"/>
    </row>
    <row r="144" ht="15.75" customHeight="1">
      <c r="B144" s="6"/>
    </row>
    <row r="145" ht="15.75" customHeight="1">
      <c r="B145" s="6"/>
    </row>
    <row r="146" ht="15.75" customHeight="1">
      <c r="B146" s="6"/>
    </row>
    <row r="147" ht="15.75" customHeight="1">
      <c r="B147" s="6"/>
    </row>
    <row r="148" ht="15.75" customHeight="1">
      <c r="B148" s="6"/>
    </row>
    <row r="149" ht="15.75" customHeight="1">
      <c r="B149" s="6"/>
    </row>
    <row r="150" ht="15.75" customHeight="1">
      <c r="B150" s="6"/>
    </row>
    <row r="151" ht="15.75" customHeight="1">
      <c r="B151" s="6"/>
    </row>
    <row r="152" ht="15.75" customHeight="1">
      <c r="B152" s="6"/>
    </row>
    <row r="153" ht="15.75" customHeight="1">
      <c r="B153" s="6"/>
    </row>
    <row r="154" ht="15.75" customHeight="1">
      <c r="B154" s="6"/>
    </row>
    <row r="155" ht="15.75" customHeight="1">
      <c r="B155" s="6"/>
    </row>
    <row r="156" ht="15.75" customHeight="1">
      <c r="B156" s="6"/>
    </row>
    <row r="157" ht="15.75" customHeight="1">
      <c r="B157" s="6"/>
    </row>
    <row r="158" ht="15.75" customHeight="1">
      <c r="B158" s="6"/>
    </row>
    <row r="159" ht="15.75" customHeight="1">
      <c r="B159" s="6"/>
    </row>
    <row r="160" ht="15.75" customHeight="1">
      <c r="B160" s="6"/>
    </row>
    <row r="161" ht="15.75" customHeight="1">
      <c r="B161" s="6"/>
    </row>
    <row r="162" ht="15.75" customHeight="1">
      <c r="B162" s="6"/>
    </row>
    <row r="163" ht="15.75" customHeight="1">
      <c r="B163" s="6"/>
    </row>
    <row r="164" ht="15.75" customHeight="1">
      <c r="B164" s="6"/>
    </row>
    <row r="165" ht="15.75" customHeight="1">
      <c r="B165" s="6"/>
    </row>
    <row r="166" ht="15.75" customHeight="1">
      <c r="B166" s="6"/>
    </row>
    <row r="167" ht="15.75" customHeight="1">
      <c r="B167" s="6"/>
    </row>
    <row r="168" ht="15.75" customHeight="1">
      <c r="B168" s="6"/>
    </row>
    <row r="169" ht="15.75" customHeight="1">
      <c r="B169" s="6"/>
    </row>
    <row r="170" ht="15.75" customHeight="1">
      <c r="B170" s="6"/>
    </row>
    <row r="171" ht="15.75" customHeight="1">
      <c r="B171" s="6"/>
    </row>
    <row r="172" ht="15.75" customHeight="1">
      <c r="B172" s="6"/>
    </row>
    <row r="173" ht="15.75" customHeight="1">
      <c r="B173" s="6"/>
    </row>
    <row r="174" ht="15.75" customHeight="1">
      <c r="B174" s="6"/>
    </row>
    <row r="175" ht="15.75" customHeight="1">
      <c r="B175" s="6"/>
    </row>
    <row r="176" ht="15.75" customHeight="1">
      <c r="B176" s="6"/>
    </row>
    <row r="177" ht="15.75" customHeight="1">
      <c r="B177" s="6"/>
    </row>
    <row r="178" ht="15.75" customHeight="1">
      <c r="B178" s="6"/>
    </row>
    <row r="179" ht="15.75" customHeight="1">
      <c r="B179" s="6"/>
    </row>
    <row r="180" ht="15.75" customHeight="1">
      <c r="B180" s="6"/>
    </row>
    <row r="181" ht="15.75" customHeight="1">
      <c r="B181" s="6"/>
    </row>
    <row r="182" ht="15.75" customHeight="1">
      <c r="B182" s="6"/>
    </row>
    <row r="183" ht="15.75" customHeight="1">
      <c r="B183" s="6"/>
    </row>
    <row r="184" ht="15.75" customHeight="1">
      <c r="B184" s="6"/>
    </row>
    <row r="185" ht="15.75" customHeight="1">
      <c r="B185" s="6"/>
    </row>
    <row r="186" ht="15.75" customHeight="1">
      <c r="B186" s="6"/>
    </row>
    <row r="187" ht="15.75" customHeight="1">
      <c r="B187" s="6"/>
    </row>
    <row r="188" ht="15.75" customHeight="1">
      <c r="B188" s="6"/>
    </row>
    <row r="189" ht="15.75" customHeight="1">
      <c r="B189" s="6"/>
    </row>
    <row r="190" ht="15.75" customHeight="1">
      <c r="B190" s="6"/>
    </row>
    <row r="191" ht="15.75" customHeight="1">
      <c r="B191" s="6"/>
    </row>
    <row r="192" ht="15.75" customHeight="1">
      <c r="B192" s="6"/>
    </row>
    <row r="193" ht="15.75" customHeight="1">
      <c r="B193" s="6"/>
    </row>
    <row r="194" ht="15.75" customHeight="1">
      <c r="B194" s="6"/>
    </row>
    <row r="195" ht="15.75" customHeight="1">
      <c r="B195" s="6"/>
    </row>
    <row r="196" ht="15.75" customHeight="1">
      <c r="B196" s="6"/>
    </row>
    <row r="197" ht="15.75" customHeight="1">
      <c r="B197" s="6"/>
    </row>
    <row r="198" ht="15.75" customHeight="1">
      <c r="B198" s="6"/>
    </row>
    <row r="199" ht="15.75" customHeight="1">
      <c r="B199" s="6"/>
    </row>
    <row r="200" ht="15.75" customHeight="1">
      <c r="B200" s="6"/>
    </row>
    <row r="201" ht="15.75" customHeight="1">
      <c r="B201" s="6"/>
    </row>
    <row r="202" ht="15.75" customHeight="1">
      <c r="B202" s="6"/>
    </row>
    <row r="203" ht="15.75" customHeight="1">
      <c r="B203" s="6"/>
    </row>
    <row r="204" ht="15.75" customHeight="1">
      <c r="B204" s="6"/>
    </row>
    <row r="205" ht="15.75" customHeight="1">
      <c r="B205" s="6"/>
    </row>
    <row r="206" ht="15.75" customHeight="1">
      <c r="B206" s="6"/>
    </row>
    <row r="207" ht="15.75" customHeight="1">
      <c r="B207" s="6"/>
    </row>
    <row r="208" ht="15.75" customHeight="1">
      <c r="B208" s="6"/>
    </row>
    <row r="209" ht="15.75" customHeight="1">
      <c r="B209" s="6"/>
    </row>
    <row r="210" ht="15.75" customHeight="1">
      <c r="B210" s="6"/>
    </row>
    <row r="211" ht="15.75" customHeight="1">
      <c r="B211" s="6"/>
    </row>
    <row r="212" ht="15.75" customHeight="1">
      <c r="B212" s="6"/>
    </row>
    <row r="213" ht="15.75" customHeight="1">
      <c r="B213" s="6"/>
    </row>
    <row r="214" ht="15.75" customHeight="1">
      <c r="B214" s="6"/>
    </row>
    <row r="215" ht="15.75" customHeight="1">
      <c r="B215" s="6"/>
    </row>
    <row r="216" ht="15.75" customHeight="1">
      <c r="B216" s="6"/>
    </row>
    <row r="217" ht="15.75" customHeight="1">
      <c r="B217" s="6"/>
    </row>
    <row r="218" ht="15.75" customHeight="1">
      <c r="B218" s="6"/>
    </row>
    <row r="219" ht="15.75" customHeight="1">
      <c r="B219" s="6"/>
    </row>
    <row r="220" ht="15.75" customHeight="1">
      <c r="B220" s="6"/>
    </row>
    <row r="221" ht="15.75" customHeight="1">
      <c r="B221" s="6"/>
    </row>
    <row r="222" ht="15.75" customHeight="1">
      <c r="B222" s="6"/>
    </row>
    <row r="223" ht="15.75" customHeight="1">
      <c r="B223" s="6"/>
    </row>
    <row r="224" ht="15.75" customHeight="1">
      <c r="B224" s="6"/>
    </row>
    <row r="225" ht="15.75" customHeight="1">
      <c r="B225" s="6"/>
    </row>
    <row r="226" ht="15.75" customHeight="1">
      <c r="B226" s="6"/>
    </row>
    <row r="227" ht="15.75" customHeight="1">
      <c r="B227" s="6"/>
    </row>
    <row r="228" ht="15.75" customHeight="1">
      <c r="B228" s="6"/>
    </row>
    <row r="229" ht="15.75" customHeight="1">
      <c r="B229" s="6"/>
    </row>
    <row r="230" ht="15.75" customHeight="1">
      <c r="B230" s="6"/>
    </row>
    <row r="231" ht="15.75" customHeight="1">
      <c r="B231" s="6"/>
    </row>
    <row r="232" ht="15.75" customHeight="1">
      <c r="B232" s="6"/>
    </row>
    <row r="233" ht="15.75" customHeight="1">
      <c r="B233" s="6"/>
    </row>
    <row r="234" ht="15.75" customHeight="1">
      <c r="B234" s="6"/>
    </row>
    <row r="235" ht="15.75" customHeight="1">
      <c r="B235" s="6"/>
    </row>
    <row r="236" ht="15.75" customHeight="1">
      <c r="B236" s="6"/>
    </row>
    <row r="237" ht="15.75" customHeight="1">
      <c r="B237" s="6"/>
    </row>
    <row r="238" ht="15.75" customHeight="1">
      <c r="B238" s="6"/>
    </row>
    <row r="239" ht="15.75" customHeight="1">
      <c r="B239" s="6"/>
    </row>
    <row r="240" ht="15.75" customHeight="1">
      <c r="B240" s="6"/>
    </row>
    <row r="241" ht="15.75" customHeight="1">
      <c r="B241" s="6"/>
    </row>
    <row r="242" ht="15.75" customHeight="1">
      <c r="B242" s="6"/>
    </row>
    <row r="243" ht="15.75" customHeight="1">
      <c r="B243" s="6"/>
    </row>
    <row r="244" ht="15.75" customHeight="1">
      <c r="B244" s="6"/>
    </row>
    <row r="245" ht="15.75" customHeight="1">
      <c r="B245" s="6"/>
    </row>
    <row r="246" ht="15.75" customHeight="1">
      <c r="B246" s="6"/>
    </row>
    <row r="247" ht="15.75" customHeight="1">
      <c r="B247" s="6"/>
    </row>
    <row r="248" ht="15.75" customHeight="1">
      <c r="B248" s="6"/>
    </row>
    <row r="249" ht="15.75" customHeight="1">
      <c r="B249" s="6"/>
    </row>
    <row r="250" ht="15.75" customHeight="1">
      <c r="B250" s="6"/>
    </row>
    <row r="251" ht="15.75" customHeight="1">
      <c r="B251" s="6"/>
    </row>
    <row r="252" ht="15.75" customHeight="1">
      <c r="B252" s="6"/>
    </row>
    <row r="253" ht="15.75" customHeight="1">
      <c r="B253" s="6"/>
    </row>
    <row r="254" ht="15.75" customHeight="1">
      <c r="B254" s="6"/>
    </row>
    <row r="255" ht="15.75" customHeight="1">
      <c r="B255" s="6"/>
    </row>
    <row r="256" ht="15.75" customHeight="1">
      <c r="B256" s="6"/>
    </row>
    <row r="257" ht="15.75" customHeight="1">
      <c r="B257" s="6"/>
    </row>
    <row r="258" ht="15.75" customHeight="1">
      <c r="B258" s="6"/>
    </row>
    <row r="259" ht="15.75" customHeight="1">
      <c r="B259" s="6"/>
    </row>
    <row r="260" ht="15.75" customHeight="1">
      <c r="B260" s="6"/>
    </row>
    <row r="261" ht="15.75" customHeight="1">
      <c r="B261" s="6"/>
    </row>
    <row r="262" ht="15.75" customHeight="1">
      <c r="B262" s="6"/>
    </row>
    <row r="263" ht="15.75" customHeight="1">
      <c r="B263" s="6"/>
    </row>
    <row r="264" ht="15.75" customHeight="1">
      <c r="B264" s="6"/>
    </row>
    <row r="265" ht="15.75" customHeight="1">
      <c r="B265" s="6"/>
    </row>
    <row r="266" ht="15.75" customHeight="1">
      <c r="B266" s="6"/>
    </row>
    <row r="267" ht="15.75" customHeight="1">
      <c r="B267" s="6"/>
    </row>
    <row r="268" ht="15.75" customHeight="1">
      <c r="B268" s="6"/>
    </row>
    <row r="269" ht="15.75" customHeight="1">
      <c r="B269" s="6"/>
    </row>
    <row r="270" ht="15.75" customHeight="1">
      <c r="B270" s="6"/>
    </row>
    <row r="271" ht="15.75" customHeight="1">
      <c r="B271" s="6"/>
    </row>
    <row r="272" ht="15.75" customHeight="1">
      <c r="B272" s="6"/>
    </row>
    <row r="273" ht="15.75" customHeight="1">
      <c r="B273" s="6"/>
    </row>
    <row r="274" ht="15.75" customHeight="1">
      <c r="B274" s="6"/>
    </row>
    <row r="275" ht="15.75" customHeight="1">
      <c r="B275" s="6"/>
    </row>
    <row r="276" ht="15.75" customHeight="1">
      <c r="B276" s="6"/>
    </row>
    <row r="277" ht="15.75" customHeight="1">
      <c r="B277" s="6"/>
    </row>
    <row r="278" ht="15.75" customHeight="1">
      <c r="B278" s="6"/>
    </row>
    <row r="279" ht="15.75" customHeight="1">
      <c r="B279" s="6"/>
    </row>
    <row r="280" ht="15.75" customHeight="1">
      <c r="B280" s="6"/>
    </row>
    <row r="281" ht="15.75" customHeight="1">
      <c r="B281" s="6"/>
    </row>
    <row r="282" ht="15.75" customHeight="1">
      <c r="B282" s="6"/>
    </row>
    <row r="283" ht="15.75" customHeight="1">
      <c r="B283" s="6"/>
    </row>
    <row r="284" ht="15.75" customHeight="1">
      <c r="B284" s="6"/>
    </row>
    <row r="285" ht="15.75" customHeight="1">
      <c r="B285" s="6"/>
    </row>
    <row r="286" ht="15.75" customHeight="1">
      <c r="B286" s="6"/>
    </row>
    <row r="287" ht="15.75" customHeight="1">
      <c r="B287" s="6"/>
    </row>
    <row r="288" ht="15.75" customHeight="1">
      <c r="B288" s="6"/>
    </row>
    <row r="289" ht="15.75" customHeight="1">
      <c r="B289" s="6"/>
    </row>
    <row r="290" ht="15.75" customHeight="1">
      <c r="B290" s="6"/>
    </row>
    <row r="291" ht="15.75" customHeight="1">
      <c r="B291" s="6"/>
    </row>
    <row r="292" ht="15.75" customHeight="1">
      <c r="B292" s="6"/>
    </row>
    <row r="293" ht="15.75" customHeight="1">
      <c r="B293" s="6"/>
    </row>
    <row r="294" ht="15.75" customHeight="1">
      <c r="B294" s="6"/>
    </row>
    <row r="295" ht="15.75" customHeight="1">
      <c r="B295" s="6"/>
    </row>
    <row r="296" ht="15.75" customHeight="1">
      <c r="B296" s="6"/>
    </row>
    <row r="297" ht="15.75" customHeight="1">
      <c r="B297" s="6"/>
    </row>
    <row r="298" ht="15.75" customHeight="1">
      <c r="B298" s="6"/>
    </row>
    <row r="299" ht="15.75" customHeight="1">
      <c r="B299" s="6"/>
    </row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A16:A43"/>
    <mergeCell ref="B16:B43"/>
    <mergeCell ref="A2:A15"/>
    <mergeCell ref="B2:B15"/>
    <mergeCell ref="C2:C8"/>
    <mergeCell ref="D2:D8"/>
    <mergeCell ref="G2:G64"/>
    <mergeCell ref="C9:C15"/>
    <mergeCell ref="D9:D15"/>
    <mergeCell ref="C79:C85"/>
    <mergeCell ref="D79:D85"/>
    <mergeCell ref="C86:C92"/>
    <mergeCell ref="D86:D92"/>
    <mergeCell ref="C93:C99"/>
    <mergeCell ref="D93:D99"/>
    <mergeCell ref="C58:C64"/>
    <mergeCell ref="D58:D64"/>
    <mergeCell ref="G65:G99"/>
    <mergeCell ref="A72:A99"/>
    <mergeCell ref="B72:B99"/>
    <mergeCell ref="C72:C78"/>
    <mergeCell ref="D72:D78"/>
    <mergeCell ref="C16:C22"/>
    <mergeCell ref="D16:D22"/>
    <mergeCell ref="C23:C29"/>
    <mergeCell ref="D23:D29"/>
    <mergeCell ref="C30:C36"/>
    <mergeCell ref="D30:D36"/>
    <mergeCell ref="C37:C43"/>
    <mergeCell ref="D37:D43"/>
    <mergeCell ref="A44:A71"/>
    <mergeCell ref="B44:B71"/>
    <mergeCell ref="C44:C50"/>
    <mergeCell ref="D44:D50"/>
    <mergeCell ref="C51:C57"/>
    <mergeCell ref="D51:D57"/>
    <mergeCell ref="C65:C71"/>
    <mergeCell ref="D65:D7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2" max="2" width="43.63"/>
    <col customWidth="1" min="3" max="3" width="15.88"/>
    <col customWidth="1" min="5" max="5" width="10.25"/>
    <col customWidth="1" min="6" max="6" width="50.88"/>
    <col customWidth="1" min="7" max="7" width="49.38"/>
  </cols>
  <sheetData>
    <row r="1" ht="15.75" customHeight="1">
      <c r="A1" s="7" t="s">
        <v>31</v>
      </c>
      <c r="B1" s="8" t="s">
        <v>32</v>
      </c>
      <c r="C1" s="9" t="s">
        <v>33</v>
      </c>
      <c r="D1" s="7" t="s">
        <v>34</v>
      </c>
      <c r="E1" s="7" t="s">
        <v>35</v>
      </c>
      <c r="F1" s="7" t="s">
        <v>36</v>
      </c>
      <c r="G1" s="7" t="s">
        <v>37</v>
      </c>
    </row>
    <row r="2" ht="15.75" customHeight="1">
      <c r="A2" s="10">
        <v>1.0</v>
      </c>
      <c r="B2" s="11" t="s">
        <v>38</v>
      </c>
      <c r="C2" s="10">
        <v>1.0</v>
      </c>
      <c r="D2" s="12" t="s">
        <v>39</v>
      </c>
      <c r="E2" s="13">
        <v>1.0</v>
      </c>
      <c r="F2" s="14" t="s">
        <v>40</v>
      </c>
      <c r="G2" s="30"/>
      <c r="H2" s="16" t="s">
        <v>42</v>
      </c>
      <c r="I2" s="16" t="s">
        <v>43</v>
      </c>
    </row>
    <row r="3" ht="15.75" customHeight="1">
      <c r="A3" s="17"/>
      <c r="B3" s="17"/>
      <c r="C3" s="17"/>
      <c r="D3" s="17"/>
      <c r="E3" s="13">
        <v>2.0</v>
      </c>
      <c r="F3" s="14" t="s">
        <v>44</v>
      </c>
      <c r="G3" s="30"/>
    </row>
    <row r="4" ht="15.75" customHeight="1">
      <c r="A4" s="17"/>
      <c r="B4" s="17"/>
      <c r="C4" s="17"/>
      <c r="D4" s="17"/>
      <c r="E4" s="13">
        <v>3.0</v>
      </c>
      <c r="F4" s="14" t="s">
        <v>45</v>
      </c>
      <c r="G4" s="30"/>
    </row>
    <row r="5" ht="15.75" customHeight="1">
      <c r="A5" s="17"/>
      <c r="B5" s="17"/>
      <c r="C5" s="17"/>
      <c r="D5" s="17"/>
      <c r="E5" s="13">
        <v>4.0</v>
      </c>
      <c r="F5" s="14" t="s">
        <v>46</v>
      </c>
      <c r="G5" s="30"/>
    </row>
    <row r="6" ht="15.75" customHeight="1">
      <c r="A6" s="17"/>
      <c r="B6" s="17"/>
      <c r="C6" s="17"/>
      <c r="D6" s="17"/>
      <c r="E6" s="13">
        <v>5.0</v>
      </c>
      <c r="F6" s="14" t="s">
        <v>47</v>
      </c>
      <c r="G6" s="30"/>
    </row>
    <row r="7" ht="15.75" customHeight="1">
      <c r="A7" s="17"/>
      <c r="B7" s="17"/>
      <c r="C7" s="17"/>
      <c r="D7" s="17"/>
      <c r="E7" s="13">
        <v>6.0</v>
      </c>
      <c r="F7" s="18"/>
      <c r="G7" s="30"/>
    </row>
    <row r="8" ht="15.75" customHeight="1">
      <c r="A8" s="17"/>
      <c r="B8" s="17"/>
      <c r="C8" s="19"/>
      <c r="D8" s="19"/>
      <c r="E8" s="13">
        <v>7.0</v>
      </c>
      <c r="F8" s="18"/>
      <c r="G8" s="30"/>
    </row>
    <row r="9" ht="15.75" customHeight="1">
      <c r="A9" s="17"/>
      <c r="B9" s="17"/>
      <c r="C9" s="10">
        <v>2.0</v>
      </c>
      <c r="D9" s="12" t="s">
        <v>38</v>
      </c>
      <c r="E9" s="13">
        <v>1.0</v>
      </c>
      <c r="F9" s="20" t="s">
        <v>48</v>
      </c>
      <c r="G9" s="31" t="s">
        <v>129</v>
      </c>
      <c r="H9" s="16" t="s">
        <v>49</v>
      </c>
      <c r="I9" s="16" t="s">
        <v>43</v>
      </c>
    </row>
    <row r="10" ht="15.75" customHeight="1">
      <c r="A10" s="17"/>
      <c r="B10" s="17"/>
      <c r="C10" s="17"/>
      <c r="D10" s="17"/>
      <c r="E10" s="13">
        <v>2.0</v>
      </c>
      <c r="F10" s="14" t="s">
        <v>50</v>
      </c>
      <c r="G10" s="31" t="s">
        <v>130</v>
      </c>
    </row>
    <row r="11" ht="15.75" customHeight="1">
      <c r="A11" s="17"/>
      <c r="B11" s="17"/>
      <c r="C11" s="17"/>
      <c r="D11" s="17"/>
      <c r="E11" s="13">
        <v>3.0</v>
      </c>
      <c r="F11" s="20" t="s">
        <v>51</v>
      </c>
      <c r="G11" s="31" t="s">
        <v>131</v>
      </c>
    </row>
    <row r="12" ht="15.75" customHeight="1">
      <c r="A12" s="17"/>
      <c r="B12" s="17"/>
      <c r="C12" s="17"/>
      <c r="D12" s="17"/>
      <c r="E12" s="13">
        <v>4.0</v>
      </c>
      <c r="F12" s="14" t="s">
        <v>52</v>
      </c>
      <c r="G12" s="30"/>
    </row>
    <row r="13" ht="15.75" customHeight="1">
      <c r="A13" s="17"/>
      <c r="B13" s="17"/>
      <c r="C13" s="17"/>
      <c r="D13" s="17"/>
      <c r="E13" s="13">
        <v>5.0</v>
      </c>
      <c r="F13" s="14" t="s">
        <v>53</v>
      </c>
      <c r="G13" s="30"/>
    </row>
    <row r="14" ht="15.75" customHeight="1">
      <c r="A14" s="17"/>
      <c r="B14" s="17"/>
      <c r="C14" s="17"/>
      <c r="D14" s="17"/>
      <c r="E14" s="13">
        <v>6.0</v>
      </c>
      <c r="F14" s="14" t="s">
        <v>54</v>
      </c>
      <c r="G14" s="30"/>
    </row>
    <row r="15" ht="15.75" customHeight="1">
      <c r="A15" s="17"/>
      <c r="B15" s="17"/>
      <c r="C15" s="19"/>
      <c r="D15" s="19"/>
      <c r="E15" s="13">
        <v>7.0</v>
      </c>
      <c r="F15" s="18"/>
      <c r="G15" s="30"/>
    </row>
    <row r="16" ht="15.75" customHeight="1">
      <c r="A16" s="10">
        <v>2.0</v>
      </c>
      <c r="B16" s="21" t="s">
        <v>55</v>
      </c>
      <c r="C16" s="15">
        <v>3.0</v>
      </c>
      <c r="D16" s="12" t="s">
        <v>56</v>
      </c>
      <c r="E16" s="13">
        <v>1.0</v>
      </c>
      <c r="F16" s="14" t="s">
        <v>132</v>
      </c>
      <c r="G16" s="31" t="s">
        <v>131</v>
      </c>
      <c r="H16" s="22">
        <v>45330.0</v>
      </c>
      <c r="I16" s="16" t="s">
        <v>58</v>
      </c>
    </row>
    <row r="17" ht="15.75" customHeight="1">
      <c r="A17" s="17"/>
      <c r="B17" s="17"/>
      <c r="C17" s="17"/>
      <c r="D17" s="17"/>
      <c r="E17" s="13">
        <v>2.0</v>
      </c>
      <c r="F17" s="14" t="s">
        <v>133</v>
      </c>
      <c r="G17" s="31"/>
    </row>
    <row r="18" ht="15.75" customHeight="1">
      <c r="A18" s="17"/>
      <c r="B18" s="17"/>
      <c r="C18" s="17"/>
      <c r="D18" s="17"/>
      <c r="E18" s="13">
        <v>3.0</v>
      </c>
      <c r="F18" s="14" t="s">
        <v>60</v>
      </c>
      <c r="G18" s="30"/>
    </row>
    <row r="19" ht="15.75" customHeight="1">
      <c r="A19" s="17"/>
      <c r="B19" s="17"/>
      <c r="C19" s="17"/>
      <c r="D19" s="17"/>
      <c r="E19" s="13">
        <v>4.0</v>
      </c>
      <c r="F19" s="14" t="s">
        <v>61</v>
      </c>
      <c r="G19" s="30"/>
    </row>
    <row r="20" ht="15.75" customHeight="1">
      <c r="A20" s="17"/>
      <c r="B20" s="17"/>
      <c r="C20" s="17"/>
      <c r="D20" s="17"/>
      <c r="E20" s="13">
        <v>5.0</v>
      </c>
      <c r="F20" s="14" t="s">
        <v>62</v>
      </c>
      <c r="G20" s="30"/>
    </row>
    <row r="21" ht="15.75" customHeight="1">
      <c r="A21" s="17"/>
      <c r="B21" s="17"/>
      <c r="C21" s="17"/>
      <c r="D21" s="17"/>
      <c r="E21" s="13">
        <v>6.0</v>
      </c>
      <c r="F21" s="14" t="s">
        <v>63</v>
      </c>
      <c r="G21" s="30"/>
    </row>
    <row r="22" ht="15.75" customHeight="1">
      <c r="A22" s="17"/>
      <c r="B22" s="17"/>
      <c r="C22" s="19"/>
      <c r="D22" s="19"/>
      <c r="E22" s="13">
        <v>7.0</v>
      </c>
      <c r="F22" s="23" t="s">
        <v>64</v>
      </c>
      <c r="G22" s="30"/>
    </row>
    <row r="23" ht="15.75" customHeight="1">
      <c r="A23" s="17"/>
      <c r="B23" s="17"/>
      <c r="C23" s="15">
        <v>4.0</v>
      </c>
      <c r="D23" s="12" t="s">
        <v>65</v>
      </c>
      <c r="E23" s="13">
        <v>1.0</v>
      </c>
      <c r="F23" s="14" t="s">
        <v>66</v>
      </c>
      <c r="G23" s="31" t="s">
        <v>131</v>
      </c>
      <c r="H23" s="22">
        <v>45543.0</v>
      </c>
      <c r="I23" s="16" t="s">
        <v>58</v>
      </c>
    </row>
    <row r="24" ht="15.75" customHeight="1">
      <c r="A24" s="17"/>
      <c r="B24" s="17"/>
      <c r="C24" s="17"/>
      <c r="D24" s="17"/>
      <c r="E24" s="13">
        <v>2.0</v>
      </c>
      <c r="F24" s="14" t="s">
        <v>67</v>
      </c>
      <c r="G24" s="31"/>
    </row>
    <row r="25" ht="15.75" customHeight="1">
      <c r="A25" s="17"/>
      <c r="B25" s="17"/>
      <c r="C25" s="17"/>
      <c r="D25" s="17"/>
      <c r="E25" s="13">
        <v>3.0</v>
      </c>
      <c r="F25" s="14" t="s">
        <v>68</v>
      </c>
      <c r="G25" s="30"/>
    </row>
    <row r="26" ht="15.75" customHeight="1">
      <c r="A26" s="17"/>
      <c r="B26" s="17"/>
      <c r="C26" s="17"/>
      <c r="D26" s="17"/>
      <c r="E26" s="13">
        <v>4.0</v>
      </c>
      <c r="F26" s="14" t="s">
        <v>69</v>
      </c>
      <c r="G26" s="30"/>
    </row>
    <row r="27" ht="15.75" customHeight="1">
      <c r="A27" s="17"/>
      <c r="B27" s="17"/>
      <c r="C27" s="17"/>
      <c r="D27" s="17"/>
      <c r="E27" s="13">
        <v>5.0</v>
      </c>
      <c r="F27" s="18"/>
      <c r="G27" s="30"/>
    </row>
    <row r="28" ht="15.75" customHeight="1">
      <c r="A28" s="17"/>
      <c r="B28" s="17"/>
      <c r="C28" s="17"/>
      <c r="D28" s="17"/>
      <c r="E28" s="13">
        <v>6.0</v>
      </c>
      <c r="F28" s="18"/>
      <c r="G28" s="30"/>
    </row>
    <row r="29" ht="15.75" customHeight="1">
      <c r="A29" s="17"/>
      <c r="B29" s="17"/>
      <c r="C29" s="19"/>
      <c r="D29" s="19"/>
      <c r="E29" s="13">
        <v>7.0</v>
      </c>
      <c r="F29" s="18"/>
      <c r="G29" s="30"/>
    </row>
    <row r="30" ht="15.75" customHeight="1">
      <c r="A30" s="17"/>
      <c r="B30" s="17"/>
      <c r="C30" s="15">
        <v>5.0</v>
      </c>
      <c r="D30" s="12" t="s">
        <v>70</v>
      </c>
      <c r="E30" s="13">
        <v>1.0</v>
      </c>
      <c r="F30" s="14" t="s">
        <v>71</v>
      </c>
      <c r="G30" s="31" t="s">
        <v>134</v>
      </c>
      <c r="H30" s="16" t="s">
        <v>72</v>
      </c>
      <c r="I30" s="16" t="s">
        <v>43</v>
      </c>
    </row>
    <row r="31" ht="15.75" customHeight="1">
      <c r="A31" s="17"/>
      <c r="B31" s="17"/>
      <c r="C31" s="17"/>
      <c r="D31" s="17"/>
      <c r="E31" s="13">
        <v>2.0</v>
      </c>
      <c r="F31" s="14" t="s">
        <v>73</v>
      </c>
      <c r="G31" s="31" t="s">
        <v>131</v>
      </c>
    </row>
    <row r="32" ht="15.75" customHeight="1">
      <c r="A32" s="17"/>
      <c r="B32" s="17"/>
      <c r="C32" s="17"/>
      <c r="D32" s="17"/>
      <c r="E32" s="13">
        <v>3.0</v>
      </c>
      <c r="F32" s="14" t="s">
        <v>74</v>
      </c>
      <c r="G32" s="30"/>
    </row>
    <row r="33" ht="15.75" customHeight="1">
      <c r="A33" s="17"/>
      <c r="B33" s="17"/>
      <c r="C33" s="17"/>
      <c r="D33" s="17"/>
      <c r="E33" s="13">
        <v>4.0</v>
      </c>
      <c r="F33" s="14" t="s">
        <v>75</v>
      </c>
      <c r="G33" s="30"/>
    </row>
    <row r="34" ht="15.75" customHeight="1">
      <c r="A34" s="17"/>
      <c r="B34" s="17"/>
      <c r="C34" s="17"/>
      <c r="D34" s="17"/>
      <c r="E34" s="13">
        <v>5.0</v>
      </c>
      <c r="F34" s="18"/>
      <c r="G34" s="30"/>
    </row>
    <row r="35" ht="15.75" customHeight="1">
      <c r="A35" s="17"/>
      <c r="B35" s="17"/>
      <c r="C35" s="17"/>
      <c r="D35" s="17"/>
      <c r="E35" s="13">
        <v>6.0</v>
      </c>
      <c r="F35" s="18"/>
      <c r="G35" s="30"/>
    </row>
    <row r="36" ht="15.75" customHeight="1">
      <c r="A36" s="17"/>
      <c r="B36" s="17"/>
      <c r="C36" s="19"/>
      <c r="D36" s="19"/>
      <c r="E36" s="13">
        <v>7.0</v>
      </c>
      <c r="F36" s="18"/>
      <c r="G36" s="30"/>
    </row>
    <row r="37" ht="15.75" customHeight="1">
      <c r="A37" s="17"/>
      <c r="B37" s="17"/>
      <c r="C37" s="15">
        <v>6.0</v>
      </c>
      <c r="D37" s="12" t="s">
        <v>76</v>
      </c>
      <c r="E37" s="24">
        <v>1.0</v>
      </c>
      <c r="F37" s="14" t="s">
        <v>77</v>
      </c>
      <c r="G37" s="31" t="s">
        <v>135</v>
      </c>
      <c r="H37" s="16" t="s">
        <v>78</v>
      </c>
      <c r="I37" s="16" t="s">
        <v>58</v>
      </c>
    </row>
    <row r="38" ht="15.75" customHeight="1">
      <c r="A38" s="17"/>
      <c r="B38" s="17"/>
      <c r="C38" s="17"/>
      <c r="D38" s="17"/>
      <c r="E38" s="24">
        <v>2.0</v>
      </c>
      <c r="F38" s="14" t="s">
        <v>79</v>
      </c>
      <c r="G38" s="31" t="s">
        <v>131</v>
      </c>
    </row>
    <row r="39" ht="15.75" customHeight="1">
      <c r="A39" s="17"/>
      <c r="B39" s="17"/>
      <c r="C39" s="17"/>
      <c r="D39" s="17"/>
      <c r="E39" s="24">
        <v>3.0</v>
      </c>
      <c r="F39" s="14" t="s">
        <v>80</v>
      </c>
      <c r="G39" s="30"/>
    </row>
    <row r="40" ht="15.75" customHeight="1">
      <c r="A40" s="17"/>
      <c r="B40" s="17"/>
      <c r="C40" s="17"/>
      <c r="D40" s="17"/>
      <c r="E40" s="24">
        <v>4.0</v>
      </c>
      <c r="F40" s="14" t="s">
        <v>81</v>
      </c>
      <c r="G40" s="30"/>
    </row>
    <row r="41" ht="15.75" customHeight="1">
      <c r="A41" s="17"/>
      <c r="B41" s="17"/>
      <c r="C41" s="17"/>
      <c r="D41" s="17"/>
      <c r="E41" s="24">
        <v>5.0</v>
      </c>
      <c r="F41" s="14" t="s">
        <v>136</v>
      </c>
      <c r="G41" s="30"/>
    </row>
    <row r="42" ht="15.75" customHeight="1">
      <c r="A42" s="17"/>
      <c r="B42" s="17"/>
      <c r="C42" s="17"/>
      <c r="D42" s="17"/>
      <c r="E42" s="24">
        <v>6.0</v>
      </c>
      <c r="F42" s="32"/>
      <c r="G42" s="30"/>
    </row>
    <row r="43" ht="15.75" customHeight="1">
      <c r="A43" s="19"/>
      <c r="B43" s="19"/>
      <c r="C43" s="19"/>
      <c r="D43" s="19"/>
      <c r="E43" s="24">
        <v>7.0</v>
      </c>
      <c r="F43" s="14" t="s">
        <v>137</v>
      </c>
      <c r="G43" s="30"/>
    </row>
    <row r="44" ht="15.75" customHeight="1">
      <c r="A44" s="10">
        <v>3.0</v>
      </c>
      <c r="B44" s="11" t="s">
        <v>84</v>
      </c>
      <c r="C44" s="15">
        <v>7.0</v>
      </c>
      <c r="D44" s="12" t="s">
        <v>85</v>
      </c>
      <c r="E44" s="13">
        <v>1.0</v>
      </c>
      <c r="F44" s="14" t="s">
        <v>86</v>
      </c>
      <c r="G44" s="31" t="s">
        <v>131</v>
      </c>
      <c r="H44" s="22">
        <v>45300.0</v>
      </c>
      <c r="I44" s="16" t="s">
        <v>58</v>
      </c>
    </row>
    <row r="45" ht="15.75" customHeight="1">
      <c r="A45" s="17"/>
      <c r="B45" s="17"/>
      <c r="C45" s="17"/>
      <c r="D45" s="17"/>
      <c r="E45" s="13">
        <v>2.0</v>
      </c>
      <c r="F45" s="14" t="s">
        <v>87</v>
      </c>
      <c r="G45" s="30"/>
    </row>
    <row r="46" ht="15.75" customHeight="1">
      <c r="A46" s="17"/>
      <c r="B46" s="17"/>
      <c r="C46" s="17"/>
      <c r="D46" s="17"/>
      <c r="E46" s="13">
        <v>3.0</v>
      </c>
      <c r="F46" s="14" t="s">
        <v>88</v>
      </c>
      <c r="G46" s="30"/>
    </row>
    <row r="47" ht="15.75" customHeight="1">
      <c r="A47" s="17"/>
      <c r="B47" s="17"/>
      <c r="C47" s="17"/>
      <c r="D47" s="17"/>
      <c r="E47" s="13">
        <v>4.0</v>
      </c>
      <c r="F47" s="14"/>
      <c r="G47" s="30"/>
    </row>
    <row r="48" ht="15.75" customHeight="1">
      <c r="A48" s="17"/>
      <c r="B48" s="17"/>
      <c r="C48" s="17"/>
      <c r="D48" s="17"/>
      <c r="E48" s="13">
        <v>5.0</v>
      </c>
      <c r="F48" s="18"/>
      <c r="G48" s="30"/>
    </row>
    <row r="49" ht="15.75" customHeight="1">
      <c r="A49" s="17"/>
      <c r="B49" s="17"/>
      <c r="C49" s="17"/>
      <c r="D49" s="17"/>
      <c r="E49" s="13">
        <v>6.0</v>
      </c>
      <c r="F49" s="18"/>
      <c r="G49" s="30"/>
    </row>
    <row r="50" ht="15.75" customHeight="1">
      <c r="A50" s="17"/>
      <c r="B50" s="17"/>
      <c r="C50" s="19"/>
      <c r="D50" s="19"/>
      <c r="E50" s="13">
        <v>7.0</v>
      </c>
      <c r="F50" s="18"/>
      <c r="G50" s="30"/>
    </row>
    <row r="51" ht="15.75" customHeight="1">
      <c r="A51" s="17"/>
      <c r="B51" s="17"/>
      <c r="C51" s="15">
        <v>8.0</v>
      </c>
      <c r="D51" s="12" t="s">
        <v>89</v>
      </c>
      <c r="E51" s="13">
        <v>1.0</v>
      </c>
      <c r="F51" s="14" t="s">
        <v>90</v>
      </c>
      <c r="G51" s="31" t="s">
        <v>138</v>
      </c>
      <c r="H51" s="22">
        <v>45452.0</v>
      </c>
      <c r="I51" s="16" t="s">
        <v>58</v>
      </c>
    </row>
    <row r="52" ht="15.75" customHeight="1">
      <c r="A52" s="17"/>
      <c r="B52" s="17"/>
      <c r="C52" s="17"/>
      <c r="D52" s="17"/>
      <c r="E52" s="13">
        <v>2.0</v>
      </c>
      <c r="F52" s="14" t="s">
        <v>91</v>
      </c>
      <c r="G52" s="31" t="s">
        <v>139</v>
      </c>
    </row>
    <row r="53" ht="15.75" customHeight="1">
      <c r="A53" s="17"/>
      <c r="B53" s="17"/>
      <c r="C53" s="17"/>
      <c r="D53" s="17"/>
      <c r="E53" s="13">
        <v>3.0</v>
      </c>
      <c r="F53" s="14" t="s">
        <v>92</v>
      </c>
      <c r="G53" s="31" t="s">
        <v>131</v>
      </c>
    </row>
    <row r="54" ht="15.75" customHeight="1">
      <c r="A54" s="17"/>
      <c r="B54" s="17"/>
      <c r="C54" s="17"/>
      <c r="D54" s="17"/>
      <c r="E54" s="13">
        <v>4.0</v>
      </c>
      <c r="F54" s="18"/>
      <c r="G54" s="30"/>
    </row>
    <row r="55" ht="15.75" customHeight="1">
      <c r="A55" s="17"/>
      <c r="B55" s="17"/>
      <c r="C55" s="17"/>
      <c r="D55" s="17"/>
      <c r="E55" s="13">
        <v>5.0</v>
      </c>
      <c r="F55" s="18"/>
      <c r="G55" s="30"/>
    </row>
    <row r="56" ht="15.75" customHeight="1">
      <c r="A56" s="17"/>
      <c r="B56" s="17"/>
      <c r="C56" s="17"/>
      <c r="D56" s="17"/>
      <c r="E56" s="13">
        <v>6.0</v>
      </c>
      <c r="F56" s="18"/>
      <c r="G56" s="30"/>
    </row>
    <row r="57" ht="15.75" customHeight="1">
      <c r="A57" s="17"/>
      <c r="B57" s="17"/>
      <c r="C57" s="19"/>
      <c r="D57" s="19"/>
      <c r="E57" s="13">
        <v>7.0</v>
      </c>
      <c r="F57" s="18"/>
      <c r="G57" s="30"/>
    </row>
    <row r="58" ht="15.75" customHeight="1">
      <c r="A58" s="17"/>
      <c r="B58" s="17"/>
      <c r="C58" s="15">
        <v>9.0</v>
      </c>
      <c r="D58" s="12" t="s">
        <v>93</v>
      </c>
      <c r="E58" s="13">
        <v>1.0</v>
      </c>
      <c r="F58" s="14" t="s">
        <v>94</v>
      </c>
      <c r="G58" s="31" t="s">
        <v>131</v>
      </c>
      <c r="H58" s="16" t="s">
        <v>95</v>
      </c>
      <c r="I58" s="16" t="s">
        <v>43</v>
      </c>
    </row>
    <row r="59" ht="15.75" customHeight="1">
      <c r="A59" s="17"/>
      <c r="B59" s="17"/>
      <c r="C59" s="17"/>
      <c r="D59" s="17"/>
      <c r="E59" s="13">
        <v>2.0</v>
      </c>
      <c r="F59" s="14" t="s">
        <v>96</v>
      </c>
      <c r="G59" s="31"/>
    </row>
    <row r="60" ht="15.75" customHeight="1">
      <c r="A60" s="17"/>
      <c r="B60" s="17"/>
      <c r="C60" s="17"/>
      <c r="D60" s="17"/>
      <c r="E60" s="13">
        <v>3.0</v>
      </c>
      <c r="F60" s="14" t="s">
        <v>97</v>
      </c>
      <c r="G60" s="31"/>
    </row>
    <row r="61" ht="15.75" customHeight="1">
      <c r="A61" s="17"/>
      <c r="B61" s="17"/>
      <c r="C61" s="17"/>
      <c r="D61" s="17"/>
      <c r="E61" s="13">
        <v>4.0</v>
      </c>
      <c r="F61" s="18"/>
      <c r="G61" s="30"/>
    </row>
    <row r="62" ht="15.75" customHeight="1">
      <c r="A62" s="17"/>
      <c r="B62" s="17"/>
      <c r="C62" s="17"/>
      <c r="D62" s="17"/>
      <c r="E62" s="13">
        <v>5.0</v>
      </c>
      <c r="F62" s="18"/>
      <c r="G62" s="30"/>
    </row>
    <row r="63" ht="15.75" customHeight="1">
      <c r="A63" s="17"/>
      <c r="B63" s="17"/>
      <c r="C63" s="17"/>
      <c r="D63" s="17"/>
      <c r="E63" s="13">
        <v>6.0</v>
      </c>
      <c r="F63" s="18"/>
      <c r="G63" s="30"/>
    </row>
    <row r="64" ht="15.75" customHeight="1">
      <c r="A64" s="17"/>
      <c r="B64" s="17"/>
      <c r="C64" s="19"/>
      <c r="D64" s="19"/>
      <c r="E64" s="13">
        <v>7.0</v>
      </c>
      <c r="F64" s="18"/>
      <c r="G64" s="30"/>
    </row>
    <row r="65" ht="15.75" customHeight="1">
      <c r="A65" s="17"/>
      <c r="B65" s="17"/>
      <c r="C65" s="15">
        <v>10.0</v>
      </c>
      <c r="D65" s="12" t="s">
        <v>98</v>
      </c>
      <c r="E65" s="13">
        <v>1.0</v>
      </c>
      <c r="F65" s="14" t="s">
        <v>99</v>
      </c>
      <c r="G65" s="31" t="s">
        <v>131</v>
      </c>
      <c r="H65" s="16" t="s">
        <v>101</v>
      </c>
      <c r="I65" s="16" t="s">
        <v>43</v>
      </c>
    </row>
    <row r="66" ht="15.75" customHeight="1">
      <c r="A66" s="17"/>
      <c r="B66" s="17"/>
      <c r="C66" s="17"/>
      <c r="D66" s="17"/>
      <c r="E66" s="13">
        <v>2.0</v>
      </c>
      <c r="F66" s="14" t="s">
        <v>102</v>
      </c>
      <c r="G66" s="31" t="s">
        <v>140</v>
      </c>
    </row>
    <row r="67" ht="15.75" customHeight="1">
      <c r="A67" s="17"/>
      <c r="B67" s="17"/>
      <c r="C67" s="17"/>
      <c r="D67" s="17"/>
      <c r="E67" s="13">
        <v>3.0</v>
      </c>
      <c r="F67" s="14" t="s">
        <v>103</v>
      </c>
      <c r="G67" s="30"/>
    </row>
    <row r="68" ht="15.75" customHeight="1">
      <c r="A68" s="17"/>
      <c r="B68" s="17"/>
      <c r="C68" s="17"/>
      <c r="D68" s="17"/>
      <c r="E68" s="13">
        <v>4.0</v>
      </c>
      <c r="F68" s="14" t="s">
        <v>104</v>
      </c>
      <c r="G68" s="30"/>
    </row>
    <row r="69" ht="15.75" customHeight="1">
      <c r="A69" s="17"/>
      <c r="B69" s="17"/>
      <c r="C69" s="17"/>
      <c r="D69" s="17"/>
      <c r="E69" s="13">
        <v>5.0</v>
      </c>
      <c r="F69" s="14" t="s">
        <v>105</v>
      </c>
      <c r="G69" s="30"/>
    </row>
    <row r="70" ht="15.75" customHeight="1">
      <c r="A70" s="17"/>
      <c r="B70" s="17"/>
      <c r="C70" s="17"/>
      <c r="D70" s="17"/>
      <c r="E70" s="13">
        <v>6.0</v>
      </c>
      <c r="F70" s="14" t="s">
        <v>106</v>
      </c>
      <c r="G70" s="30"/>
    </row>
    <row r="71" ht="15.75" customHeight="1">
      <c r="A71" s="19"/>
      <c r="B71" s="19"/>
      <c r="C71" s="19"/>
      <c r="D71" s="19"/>
      <c r="E71" s="13">
        <v>7.0</v>
      </c>
      <c r="F71" s="18"/>
      <c r="G71" s="30"/>
    </row>
    <row r="72" ht="15.75" customHeight="1">
      <c r="A72" s="10">
        <v>4.0</v>
      </c>
      <c r="B72" s="11" t="s">
        <v>107</v>
      </c>
      <c r="C72" s="25">
        <v>11.0</v>
      </c>
      <c r="D72" s="12" t="s">
        <v>108</v>
      </c>
      <c r="E72" s="13">
        <v>1.0</v>
      </c>
      <c r="F72" s="14" t="s">
        <v>109</v>
      </c>
      <c r="G72" s="31" t="s">
        <v>141</v>
      </c>
      <c r="H72" s="26">
        <v>45392.0</v>
      </c>
      <c r="I72" s="27" t="s">
        <v>43</v>
      </c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ht="15.75" customHeight="1">
      <c r="A73" s="17"/>
      <c r="B73" s="17"/>
      <c r="C73" s="17"/>
      <c r="D73" s="17"/>
      <c r="E73" s="13">
        <v>2.0</v>
      </c>
      <c r="F73" s="14" t="s">
        <v>110</v>
      </c>
      <c r="G73" s="33" t="s">
        <v>142</v>
      </c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ht="15.75" customHeight="1">
      <c r="A74" s="17"/>
      <c r="B74" s="17"/>
      <c r="C74" s="17"/>
      <c r="D74" s="17"/>
      <c r="E74" s="13">
        <v>3.0</v>
      </c>
      <c r="F74" s="14" t="s">
        <v>111</v>
      </c>
      <c r="G74" s="31" t="s">
        <v>140</v>
      </c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ht="15.75" customHeight="1">
      <c r="A75" s="17"/>
      <c r="B75" s="17"/>
      <c r="C75" s="17"/>
      <c r="D75" s="17"/>
      <c r="E75" s="13">
        <v>4.0</v>
      </c>
      <c r="F75" s="14" t="s">
        <v>112</v>
      </c>
      <c r="G75" s="30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15.75" customHeight="1">
      <c r="A76" s="17"/>
      <c r="B76" s="17"/>
      <c r="C76" s="17"/>
      <c r="D76" s="17"/>
      <c r="E76" s="13">
        <v>5.0</v>
      </c>
      <c r="F76" s="18"/>
      <c r="G76" s="30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15.75" customHeight="1">
      <c r="A77" s="17"/>
      <c r="B77" s="17"/>
      <c r="C77" s="17"/>
      <c r="D77" s="17"/>
      <c r="E77" s="13">
        <v>6.0</v>
      </c>
      <c r="F77" s="18"/>
      <c r="G77" s="30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ht="15.75" customHeight="1">
      <c r="A78" s="17"/>
      <c r="B78" s="17"/>
      <c r="C78" s="19"/>
      <c r="D78" s="19"/>
      <c r="E78" s="13">
        <v>7.0</v>
      </c>
      <c r="F78" s="18"/>
      <c r="G78" s="30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ht="15.75" customHeight="1">
      <c r="A79" s="17"/>
      <c r="B79" s="17"/>
      <c r="C79" s="25">
        <v>12.0</v>
      </c>
      <c r="D79" s="12" t="s">
        <v>113</v>
      </c>
      <c r="E79" s="13">
        <v>1.0</v>
      </c>
      <c r="F79" s="14" t="s">
        <v>114</v>
      </c>
      <c r="G79" s="31" t="s">
        <v>140</v>
      </c>
      <c r="H79" s="26">
        <v>45606.0</v>
      </c>
      <c r="I79" s="27" t="s">
        <v>58</v>
      </c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ht="15.75" customHeight="1">
      <c r="A80" s="17"/>
      <c r="B80" s="17"/>
      <c r="C80" s="17"/>
      <c r="D80" s="17"/>
      <c r="E80" s="13">
        <v>2.0</v>
      </c>
      <c r="F80" s="14" t="s">
        <v>115</v>
      </c>
      <c r="G80" s="31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ht="15.75" customHeight="1">
      <c r="A81" s="17"/>
      <c r="B81" s="17"/>
      <c r="C81" s="17"/>
      <c r="D81" s="17"/>
      <c r="E81" s="13">
        <v>3.0</v>
      </c>
      <c r="F81" s="14" t="s">
        <v>116</v>
      </c>
      <c r="G81" s="30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ht="15.75" customHeight="1">
      <c r="A82" s="17"/>
      <c r="B82" s="17"/>
      <c r="C82" s="17"/>
      <c r="D82" s="17"/>
      <c r="E82" s="13">
        <v>4.0</v>
      </c>
      <c r="F82" s="14"/>
      <c r="G82" s="30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ht="15.75" customHeight="1">
      <c r="A83" s="17"/>
      <c r="B83" s="17"/>
      <c r="C83" s="17"/>
      <c r="D83" s="17"/>
      <c r="E83" s="13">
        <v>5.0</v>
      </c>
      <c r="F83" s="18"/>
      <c r="G83" s="30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ht="15.75" customHeight="1">
      <c r="A84" s="17"/>
      <c r="B84" s="17"/>
      <c r="C84" s="17"/>
      <c r="D84" s="17"/>
      <c r="E84" s="13">
        <v>6.0</v>
      </c>
      <c r="F84" s="18"/>
      <c r="G84" s="30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15.75" customHeight="1">
      <c r="A85" s="17"/>
      <c r="B85" s="17"/>
      <c r="C85" s="19"/>
      <c r="D85" s="19"/>
      <c r="E85" s="13">
        <v>7.0</v>
      </c>
      <c r="F85" s="18"/>
      <c r="G85" s="30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ht="15.75" customHeight="1">
      <c r="A86" s="17"/>
      <c r="B86" s="17"/>
      <c r="C86" s="15">
        <v>13.0</v>
      </c>
      <c r="D86" s="12" t="s">
        <v>117</v>
      </c>
      <c r="E86" s="13">
        <v>1.0</v>
      </c>
      <c r="F86" s="14" t="s">
        <v>143</v>
      </c>
      <c r="G86" s="31" t="s">
        <v>140</v>
      </c>
      <c r="H86" s="29">
        <v>45583.0</v>
      </c>
      <c r="I86" s="27" t="s">
        <v>58</v>
      </c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ht="15.75" customHeight="1">
      <c r="A87" s="17"/>
      <c r="B87" s="17"/>
      <c r="C87" s="17"/>
      <c r="D87" s="17"/>
      <c r="E87" s="13">
        <v>2.0</v>
      </c>
      <c r="F87" s="14" t="s">
        <v>144</v>
      </c>
      <c r="G87" s="30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ht="15.75" customHeight="1">
      <c r="A88" s="17"/>
      <c r="B88" s="17"/>
      <c r="C88" s="17"/>
      <c r="D88" s="17"/>
      <c r="E88" s="13">
        <v>3.0</v>
      </c>
      <c r="F88" s="14" t="s">
        <v>145</v>
      </c>
      <c r="G88" s="30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ht="15.75" customHeight="1">
      <c r="A89" s="17"/>
      <c r="B89" s="17"/>
      <c r="C89" s="17"/>
      <c r="D89" s="17"/>
      <c r="E89" s="13">
        <v>4.0</v>
      </c>
      <c r="F89" s="14" t="s">
        <v>146</v>
      </c>
      <c r="G89" s="30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15.75" customHeight="1">
      <c r="A90" s="17"/>
      <c r="B90" s="17"/>
      <c r="C90" s="17"/>
      <c r="D90" s="17"/>
      <c r="E90" s="13">
        <v>5.0</v>
      </c>
      <c r="F90" s="14" t="s">
        <v>147</v>
      </c>
      <c r="G90" s="30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15.75" customHeight="1">
      <c r="A91" s="17"/>
      <c r="B91" s="17"/>
      <c r="C91" s="17"/>
      <c r="D91" s="17"/>
      <c r="E91" s="13">
        <v>6.0</v>
      </c>
      <c r="F91" s="14" t="s">
        <v>148</v>
      </c>
      <c r="G91" s="30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15.75" customHeight="1">
      <c r="A92" s="17"/>
      <c r="B92" s="17"/>
      <c r="C92" s="19"/>
      <c r="D92" s="19"/>
      <c r="E92" s="13">
        <v>7.0</v>
      </c>
      <c r="F92" s="14" t="s">
        <v>124</v>
      </c>
      <c r="G92" s="30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15.75" customHeight="1">
      <c r="A93" s="17"/>
      <c r="B93" s="17"/>
      <c r="C93" s="15">
        <v>14.0</v>
      </c>
      <c r="D93" s="12" t="s">
        <v>125</v>
      </c>
      <c r="E93" s="13">
        <v>1.0</v>
      </c>
      <c r="F93" s="14" t="s">
        <v>126</v>
      </c>
      <c r="G93" s="31" t="s">
        <v>149</v>
      </c>
      <c r="H93" s="29">
        <v>45590.0</v>
      </c>
      <c r="I93" s="27" t="s">
        <v>43</v>
      </c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15.75" customHeight="1">
      <c r="A94" s="17"/>
      <c r="B94" s="17"/>
      <c r="C94" s="17"/>
      <c r="D94" s="17"/>
      <c r="E94" s="13">
        <v>2.0</v>
      </c>
      <c r="F94" s="14" t="s">
        <v>127</v>
      </c>
      <c r="G94" s="30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15.75" customHeight="1">
      <c r="A95" s="17"/>
      <c r="B95" s="17"/>
      <c r="C95" s="17"/>
      <c r="D95" s="17"/>
      <c r="E95" s="13">
        <v>3.0</v>
      </c>
      <c r="F95" s="14" t="s">
        <v>128</v>
      </c>
      <c r="G95" s="30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15.75" customHeight="1">
      <c r="A96" s="17"/>
      <c r="B96" s="17"/>
      <c r="C96" s="17"/>
      <c r="D96" s="17"/>
      <c r="E96" s="13">
        <v>4.0</v>
      </c>
      <c r="F96" s="18"/>
      <c r="G96" s="30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15.75" customHeight="1">
      <c r="A97" s="17"/>
      <c r="B97" s="17"/>
      <c r="C97" s="17"/>
      <c r="D97" s="17"/>
      <c r="E97" s="13">
        <v>5.0</v>
      </c>
      <c r="F97" s="18"/>
      <c r="G97" s="30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15.75" customHeight="1">
      <c r="A98" s="17"/>
      <c r="B98" s="17"/>
      <c r="C98" s="17"/>
      <c r="D98" s="17"/>
      <c r="E98" s="13">
        <v>6.0</v>
      </c>
      <c r="F98" s="18"/>
      <c r="G98" s="30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15.75" customHeight="1">
      <c r="A99" s="19"/>
      <c r="B99" s="19"/>
      <c r="C99" s="19"/>
      <c r="D99" s="19"/>
      <c r="E99" s="13">
        <v>7.0</v>
      </c>
      <c r="F99" s="18"/>
      <c r="G99" s="30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15.75" customHeight="1">
      <c r="B100" s="6"/>
    </row>
    <row r="101" ht="15.75" customHeight="1">
      <c r="B101" s="6"/>
    </row>
    <row r="102" ht="15.75" customHeight="1">
      <c r="B102" s="6"/>
    </row>
    <row r="103" ht="15.75" customHeight="1">
      <c r="B103" s="6"/>
    </row>
    <row r="104" ht="15.75" customHeight="1">
      <c r="B104" s="6"/>
    </row>
    <row r="105" ht="15.75" customHeight="1">
      <c r="B105" s="6"/>
    </row>
    <row r="106" ht="15.75" customHeight="1">
      <c r="B106" s="6"/>
    </row>
    <row r="107" ht="15.75" customHeight="1">
      <c r="B107" s="6"/>
    </row>
    <row r="108" ht="15.75" customHeight="1">
      <c r="B108" s="6"/>
    </row>
    <row r="109" ht="15.75" customHeight="1">
      <c r="B109" s="6"/>
    </row>
    <row r="110" ht="15.75" customHeight="1">
      <c r="B110" s="6"/>
    </row>
    <row r="111" ht="15.75" customHeight="1">
      <c r="B111" s="6"/>
    </row>
    <row r="112" ht="15.75" customHeight="1">
      <c r="B112" s="6"/>
    </row>
    <row r="113" ht="15.75" customHeight="1">
      <c r="B113" s="6"/>
    </row>
    <row r="114" ht="15.75" customHeight="1">
      <c r="B114" s="6"/>
    </row>
    <row r="115" ht="15.75" customHeight="1">
      <c r="B115" s="6"/>
    </row>
    <row r="116" ht="15.75" customHeight="1">
      <c r="B116" s="6"/>
    </row>
    <row r="117" ht="15.75" customHeight="1">
      <c r="B117" s="6"/>
    </row>
    <row r="118" ht="15.75" customHeight="1">
      <c r="B118" s="6"/>
    </row>
    <row r="119" ht="15.75" customHeight="1">
      <c r="B119" s="6"/>
    </row>
    <row r="120" ht="15.75" customHeight="1">
      <c r="B120" s="6"/>
    </row>
    <row r="121" ht="15.75" customHeight="1">
      <c r="B121" s="6"/>
    </row>
    <row r="122" ht="15.75" customHeight="1">
      <c r="B122" s="6"/>
    </row>
    <row r="123" ht="15.75" customHeight="1">
      <c r="B123" s="6"/>
    </row>
    <row r="124" ht="15.75" customHeight="1">
      <c r="B124" s="6"/>
    </row>
    <row r="125" ht="15.75" customHeight="1">
      <c r="B125" s="6"/>
    </row>
    <row r="126" ht="15.75" customHeight="1">
      <c r="B126" s="6"/>
    </row>
    <row r="127" ht="15.75" customHeight="1">
      <c r="B127" s="6"/>
    </row>
    <row r="128" ht="15.75" customHeight="1">
      <c r="B128" s="6"/>
    </row>
    <row r="129" ht="15.75" customHeight="1">
      <c r="B129" s="6"/>
    </row>
    <row r="130" ht="15.75" customHeight="1">
      <c r="B130" s="6"/>
    </row>
    <row r="131" ht="15.75" customHeight="1">
      <c r="B131" s="6"/>
    </row>
    <row r="132" ht="15.75" customHeight="1">
      <c r="B132" s="6"/>
    </row>
    <row r="133" ht="15.75" customHeight="1">
      <c r="B133" s="6"/>
    </row>
    <row r="134" ht="15.75" customHeight="1">
      <c r="B134" s="6"/>
    </row>
    <row r="135" ht="15.75" customHeight="1">
      <c r="B135" s="6"/>
    </row>
    <row r="136" ht="15.75" customHeight="1">
      <c r="B136" s="6"/>
    </row>
    <row r="137" ht="15.75" customHeight="1">
      <c r="B137" s="6"/>
    </row>
    <row r="138" ht="15.75" customHeight="1">
      <c r="B138" s="6"/>
    </row>
    <row r="139" ht="15.75" customHeight="1">
      <c r="B139" s="6"/>
    </row>
    <row r="140" ht="15.75" customHeight="1">
      <c r="B140" s="6"/>
    </row>
    <row r="141" ht="15.75" customHeight="1">
      <c r="B141" s="6"/>
    </row>
    <row r="142" ht="15.75" customHeight="1">
      <c r="B142" s="6"/>
    </row>
    <row r="143" ht="15.75" customHeight="1">
      <c r="B143" s="6"/>
    </row>
    <row r="144" ht="15.75" customHeight="1">
      <c r="B144" s="6"/>
    </row>
    <row r="145" ht="15.75" customHeight="1">
      <c r="B145" s="6"/>
    </row>
    <row r="146" ht="15.75" customHeight="1">
      <c r="B146" s="6"/>
    </row>
    <row r="147" ht="15.75" customHeight="1">
      <c r="B147" s="6"/>
    </row>
    <row r="148" ht="15.75" customHeight="1">
      <c r="B148" s="6"/>
    </row>
    <row r="149" ht="15.75" customHeight="1">
      <c r="B149" s="6"/>
    </row>
    <row r="150" ht="15.75" customHeight="1">
      <c r="B150" s="6"/>
    </row>
    <row r="151" ht="15.75" customHeight="1">
      <c r="B151" s="6"/>
    </row>
    <row r="152" ht="15.75" customHeight="1">
      <c r="B152" s="6"/>
    </row>
    <row r="153" ht="15.75" customHeight="1">
      <c r="B153" s="6"/>
    </row>
    <row r="154" ht="15.75" customHeight="1">
      <c r="B154" s="6"/>
    </row>
    <row r="155" ht="15.75" customHeight="1">
      <c r="B155" s="6"/>
    </row>
    <row r="156" ht="15.75" customHeight="1">
      <c r="B156" s="6"/>
    </row>
    <row r="157" ht="15.75" customHeight="1">
      <c r="B157" s="6"/>
    </row>
    <row r="158" ht="15.75" customHeight="1">
      <c r="B158" s="6"/>
    </row>
    <row r="159" ht="15.75" customHeight="1">
      <c r="B159" s="6"/>
    </row>
    <row r="160" ht="15.75" customHeight="1">
      <c r="B160" s="6"/>
    </row>
    <row r="161" ht="15.75" customHeight="1">
      <c r="B161" s="6"/>
    </row>
    <row r="162" ht="15.75" customHeight="1">
      <c r="B162" s="6"/>
    </row>
    <row r="163" ht="15.75" customHeight="1">
      <c r="B163" s="6"/>
    </row>
    <row r="164" ht="15.75" customHeight="1">
      <c r="B164" s="6"/>
    </row>
    <row r="165" ht="15.75" customHeight="1">
      <c r="B165" s="6"/>
    </row>
    <row r="166" ht="15.75" customHeight="1">
      <c r="B166" s="6"/>
    </row>
    <row r="167" ht="15.75" customHeight="1">
      <c r="B167" s="6"/>
    </row>
    <row r="168" ht="15.75" customHeight="1">
      <c r="B168" s="6"/>
    </row>
    <row r="169" ht="15.75" customHeight="1">
      <c r="B169" s="6"/>
    </row>
    <row r="170" ht="15.75" customHeight="1">
      <c r="B170" s="6"/>
    </row>
    <row r="171" ht="15.75" customHeight="1">
      <c r="B171" s="6"/>
    </row>
    <row r="172" ht="15.75" customHeight="1">
      <c r="B172" s="6"/>
    </row>
    <row r="173" ht="15.75" customHeight="1">
      <c r="B173" s="6"/>
    </row>
    <row r="174" ht="15.75" customHeight="1">
      <c r="B174" s="6"/>
    </row>
    <row r="175" ht="15.75" customHeight="1">
      <c r="B175" s="6"/>
    </row>
    <row r="176" ht="15.75" customHeight="1">
      <c r="B176" s="6"/>
    </row>
    <row r="177" ht="15.75" customHeight="1">
      <c r="B177" s="6"/>
    </row>
    <row r="178" ht="15.75" customHeight="1">
      <c r="B178" s="6"/>
    </row>
    <row r="179" ht="15.75" customHeight="1">
      <c r="B179" s="6"/>
    </row>
    <row r="180" ht="15.75" customHeight="1">
      <c r="B180" s="6"/>
    </row>
    <row r="181" ht="15.75" customHeight="1">
      <c r="B181" s="6"/>
    </row>
    <row r="182" ht="15.75" customHeight="1">
      <c r="B182" s="6"/>
    </row>
    <row r="183" ht="15.75" customHeight="1">
      <c r="B183" s="6"/>
    </row>
    <row r="184" ht="15.75" customHeight="1">
      <c r="B184" s="6"/>
    </row>
    <row r="185" ht="15.75" customHeight="1">
      <c r="B185" s="6"/>
    </row>
    <row r="186" ht="15.75" customHeight="1">
      <c r="B186" s="6"/>
    </row>
    <row r="187" ht="15.75" customHeight="1">
      <c r="B187" s="6"/>
    </row>
    <row r="188" ht="15.75" customHeight="1">
      <c r="B188" s="6"/>
    </row>
    <row r="189" ht="15.75" customHeight="1">
      <c r="B189" s="6"/>
    </row>
    <row r="190" ht="15.75" customHeight="1">
      <c r="B190" s="6"/>
    </row>
    <row r="191" ht="15.75" customHeight="1">
      <c r="B191" s="6"/>
    </row>
    <row r="192" ht="15.75" customHeight="1">
      <c r="B192" s="6"/>
    </row>
    <row r="193" ht="15.75" customHeight="1">
      <c r="B193" s="6"/>
    </row>
    <row r="194" ht="15.75" customHeight="1">
      <c r="B194" s="6"/>
    </row>
    <row r="195" ht="15.75" customHeight="1">
      <c r="B195" s="6"/>
    </row>
    <row r="196" ht="15.75" customHeight="1">
      <c r="B196" s="6"/>
    </row>
    <row r="197" ht="15.75" customHeight="1">
      <c r="B197" s="6"/>
    </row>
    <row r="198" ht="15.75" customHeight="1">
      <c r="B198" s="6"/>
    </row>
    <row r="199" ht="15.75" customHeight="1">
      <c r="B199" s="6"/>
    </row>
    <row r="200" ht="15.75" customHeight="1">
      <c r="B200" s="6"/>
    </row>
    <row r="201" ht="15.75" customHeight="1">
      <c r="B201" s="6"/>
    </row>
    <row r="202" ht="15.75" customHeight="1">
      <c r="B202" s="6"/>
    </row>
    <row r="203" ht="15.75" customHeight="1">
      <c r="B203" s="6"/>
    </row>
    <row r="204" ht="15.75" customHeight="1">
      <c r="B204" s="6"/>
    </row>
    <row r="205" ht="15.75" customHeight="1">
      <c r="B205" s="6"/>
    </row>
    <row r="206" ht="15.75" customHeight="1">
      <c r="B206" s="6"/>
    </row>
    <row r="207" ht="15.75" customHeight="1">
      <c r="B207" s="6"/>
    </row>
    <row r="208" ht="15.75" customHeight="1">
      <c r="B208" s="6"/>
    </row>
    <row r="209" ht="15.75" customHeight="1">
      <c r="B209" s="6"/>
    </row>
    <row r="210" ht="15.75" customHeight="1">
      <c r="B210" s="6"/>
    </row>
    <row r="211" ht="15.75" customHeight="1">
      <c r="B211" s="6"/>
    </row>
    <row r="212" ht="15.75" customHeight="1">
      <c r="B212" s="6"/>
    </row>
    <row r="213" ht="15.75" customHeight="1">
      <c r="B213" s="6"/>
    </row>
    <row r="214" ht="15.75" customHeight="1">
      <c r="B214" s="6"/>
    </row>
    <row r="215" ht="15.75" customHeight="1">
      <c r="B215" s="6"/>
    </row>
    <row r="216" ht="15.75" customHeight="1">
      <c r="B216" s="6"/>
    </row>
    <row r="217" ht="15.75" customHeight="1">
      <c r="B217" s="6"/>
    </row>
    <row r="218" ht="15.75" customHeight="1">
      <c r="B218" s="6"/>
    </row>
    <row r="219" ht="15.75" customHeight="1">
      <c r="B219" s="6"/>
    </row>
    <row r="220" ht="15.75" customHeight="1">
      <c r="B220" s="6"/>
    </row>
    <row r="221" ht="15.75" customHeight="1">
      <c r="B221" s="6"/>
    </row>
    <row r="222" ht="15.75" customHeight="1">
      <c r="B222" s="6"/>
    </row>
    <row r="223" ht="15.75" customHeight="1">
      <c r="B223" s="6"/>
    </row>
    <row r="224" ht="15.75" customHeight="1">
      <c r="B224" s="6"/>
    </row>
    <row r="225" ht="15.75" customHeight="1">
      <c r="B225" s="6"/>
    </row>
    <row r="226" ht="15.75" customHeight="1">
      <c r="B226" s="6"/>
    </row>
    <row r="227" ht="15.75" customHeight="1">
      <c r="B227" s="6"/>
    </row>
    <row r="228" ht="15.75" customHeight="1">
      <c r="B228" s="6"/>
    </row>
    <row r="229" ht="15.75" customHeight="1">
      <c r="B229" s="6"/>
    </row>
    <row r="230" ht="15.75" customHeight="1">
      <c r="B230" s="6"/>
    </row>
    <row r="231" ht="15.75" customHeight="1">
      <c r="B231" s="6"/>
    </row>
    <row r="232" ht="15.75" customHeight="1">
      <c r="B232" s="6"/>
    </row>
    <row r="233" ht="15.75" customHeight="1">
      <c r="B233" s="6"/>
    </row>
    <row r="234" ht="15.75" customHeight="1">
      <c r="B234" s="6"/>
    </row>
    <row r="235" ht="15.75" customHeight="1">
      <c r="B235" s="6"/>
    </row>
    <row r="236" ht="15.75" customHeight="1">
      <c r="B236" s="6"/>
    </row>
    <row r="237" ht="15.75" customHeight="1">
      <c r="B237" s="6"/>
    </row>
    <row r="238" ht="15.75" customHeight="1">
      <c r="B238" s="6"/>
    </row>
    <row r="239" ht="15.75" customHeight="1">
      <c r="B239" s="6"/>
    </row>
    <row r="240" ht="15.75" customHeight="1">
      <c r="B240" s="6"/>
    </row>
    <row r="241" ht="15.75" customHeight="1">
      <c r="B241" s="6"/>
    </row>
    <row r="242" ht="15.75" customHeight="1">
      <c r="B242" s="6"/>
    </row>
    <row r="243" ht="15.75" customHeight="1">
      <c r="B243" s="6"/>
    </row>
    <row r="244" ht="15.75" customHeight="1">
      <c r="B244" s="6"/>
    </row>
    <row r="245" ht="15.75" customHeight="1">
      <c r="B245" s="6"/>
    </row>
    <row r="246" ht="15.75" customHeight="1">
      <c r="B246" s="6"/>
    </row>
    <row r="247" ht="15.75" customHeight="1">
      <c r="B247" s="6"/>
    </row>
    <row r="248" ht="15.75" customHeight="1">
      <c r="B248" s="6"/>
    </row>
    <row r="249" ht="15.75" customHeight="1">
      <c r="B249" s="6"/>
    </row>
    <row r="250" ht="15.75" customHeight="1">
      <c r="B250" s="6"/>
    </row>
    <row r="251" ht="15.75" customHeight="1">
      <c r="B251" s="6"/>
    </row>
    <row r="252" ht="15.75" customHeight="1">
      <c r="B252" s="6"/>
    </row>
    <row r="253" ht="15.75" customHeight="1">
      <c r="B253" s="6"/>
    </row>
    <row r="254" ht="15.75" customHeight="1">
      <c r="B254" s="6"/>
    </row>
    <row r="255" ht="15.75" customHeight="1">
      <c r="B255" s="6"/>
    </row>
    <row r="256" ht="15.75" customHeight="1">
      <c r="B256" s="6"/>
    </row>
    <row r="257" ht="15.75" customHeight="1">
      <c r="B257" s="6"/>
    </row>
    <row r="258" ht="15.75" customHeight="1">
      <c r="B258" s="6"/>
    </row>
    <row r="259" ht="15.75" customHeight="1">
      <c r="B259" s="6"/>
    </row>
    <row r="260" ht="15.75" customHeight="1">
      <c r="B260" s="6"/>
    </row>
    <row r="261" ht="15.75" customHeight="1">
      <c r="B261" s="6"/>
    </row>
    <row r="262" ht="15.75" customHeight="1">
      <c r="B262" s="6"/>
    </row>
    <row r="263" ht="15.75" customHeight="1">
      <c r="B263" s="6"/>
    </row>
    <row r="264" ht="15.75" customHeight="1">
      <c r="B264" s="6"/>
    </row>
    <row r="265" ht="15.75" customHeight="1">
      <c r="B265" s="6"/>
    </row>
    <row r="266" ht="15.75" customHeight="1">
      <c r="B266" s="6"/>
    </row>
    <row r="267" ht="15.75" customHeight="1">
      <c r="B267" s="6"/>
    </row>
    <row r="268" ht="15.75" customHeight="1">
      <c r="B268" s="6"/>
    </row>
    <row r="269" ht="15.75" customHeight="1">
      <c r="B269" s="6"/>
    </row>
    <row r="270" ht="15.75" customHeight="1">
      <c r="B270" s="6"/>
    </row>
    <row r="271" ht="15.75" customHeight="1">
      <c r="B271" s="6"/>
    </row>
    <row r="272" ht="15.75" customHeight="1">
      <c r="B272" s="6"/>
    </row>
    <row r="273" ht="15.75" customHeight="1">
      <c r="B273" s="6"/>
    </row>
    <row r="274" ht="15.75" customHeight="1">
      <c r="B274" s="6"/>
    </row>
    <row r="275" ht="15.75" customHeight="1">
      <c r="B275" s="6"/>
    </row>
    <row r="276" ht="15.75" customHeight="1">
      <c r="B276" s="6"/>
    </row>
    <row r="277" ht="15.75" customHeight="1">
      <c r="B277" s="6"/>
    </row>
    <row r="278" ht="15.75" customHeight="1">
      <c r="B278" s="6"/>
    </row>
    <row r="279" ht="15.75" customHeight="1">
      <c r="B279" s="6"/>
    </row>
    <row r="280" ht="15.75" customHeight="1">
      <c r="B280" s="6"/>
    </row>
    <row r="281" ht="15.75" customHeight="1">
      <c r="B281" s="6"/>
    </row>
    <row r="282" ht="15.75" customHeight="1">
      <c r="B282" s="6"/>
    </row>
    <row r="283" ht="15.75" customHeight="1">
      <c r="B283" s="6"/>
    </row>
    <row r="284" ht="15.75" customHeight="1">
      <c r="B284" s="6"/>
    </row>
    <row r="285" ht="15.75" customHeight="1">
      <c r="B285" s="6"/>
    </row>
    <row r="286" ht="15.75" customHeight="1">
      <c r="B286" s="6"/>
    </row>
    <row r="287" ht="15.75" customHeight="1">
      <c r="B287" s="6"/>
    </row>
    <row r="288" ht="15.75" customHeight="1">
      <c r="B288" s="6"/>
    </row>
    <row r="289" ht="15.75" customHeight="1">
      <c r="B289" s="6"/>
    </row>
    <row r="290" ht="15.75" customHeight="1">
      <c r="B290" s="6"/>
    </row>
    <row r="291" ht="15.75" customHeight="1">
      <c r="B291" s="6"/>
    </row>
    <row r="292" ht="15.75" customHeight="1">
      <c r="B292" s="6"/>
    </row>
    <row r="293" ht="15.75" customHeight="1">
      <c r="B293" s="6"/>
    </row>
    <row r="294" ht="15.75" customHeight="1">
      <c r="B294" s="6"/>
    </row>
    <row r="295" ht="15.75" customHeight="1">
      <c r="B295" s="6"/>
    </row>
    <row r="296" ht="15.75" customHeight="1">
      <c r="B296" s="6"/>
    </row>
    <row r="297" ht="15.75" customHeight="1">
      <c r="B297" s="6"/>
    </row>
    <row r="298" ht="15.75" customHeight="1">
      <c r="B298" s="6"/>
    </row>
    <row r="299" ht="15.75" customHeight="1">
      <c r="B299" s="6"/>
    </row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C9:C15"/>
    <mergeCell ref="C16:C22"/>
    <mergeCell ref="D16:D22"/>
    <mergeCell ref="C23:C29"/>
    <mergeCell ref="D23:D29"/>
    <mergeCell ref="C30:C36"/>
    <mergeCell ref="D30:D36"/>
    <mergeCell ref="A44:A71"/>
    <mergeCell ref="B44:B71"/>
    <mergeCell ref="A72:A99"/>
    <mergeCell ref="B72:B99"/>
    <mergeCell ref="A2:A15"/>
    <mergeCell ref="B2:B15"/>
    <mergeCell ref="C2:C8"/>
    <mergeCell ref="D2:D8"/>
    <mergeCell ref="D9:D15"/>
    <mergeCell ref="A16:A43"/>
    <mergeCell ref="B16:B43"/>
    <mergeCell ref="C58:C64"/>
    <mergeCell ref="C65:C71"/>
    <mergeCell ref="C72:C78"/>
    <mergeCell ref="C79:C85"/>
    <mergeCell ref="C86:C92"/>
    <mergeCell ref="C93:C99"/>
    <mergeCell ref="D65:D71"/>
    <mergeCell ref="D72:D78"/>
    <mergeCell ref="D79:D85"/>
    <mergeCell ref="D86:D92"/>
    <mergeCell ref="D93:D99"/>
    <mergeCell ref="C37:C43"/>
    <mergeCell ref="D37:D43"/>
    <mergeCell ref="C44:C50"/>
    <mergeCell ref="D44:D50"/>
    <mergeCell ref="C51:C57"/>
    <mergeCell ref="D51:D57"/>
    <mergeCell ref="D58:D6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9.13"/>
    <col customWidth="1" min="5" max="5" width="12.25"/>
    <col customWidth="1" min="6" max="6" width="10.5"/>
    <col customWidth="1" min="7" max="7" width="8.5"/>
    <col customWidth="1" min="8" max="8" width="7.88"/>
    <col customWidth="1" min="9" max="9" width="8.88"/>
    <col customWidth="1" min="10" max="10" width="11.88"/>
    <col customWidth="1" min="12" max="12" width="52.63"/>
  </cols>
  <sheetData>
    <row r="1" ht="15.75" customHeight="1">
      <c r="A1" s="34" t="s">
        <v>150</v>
      </c>
      <c r="B1" s="35" t="s">
        <v>151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ht="15.75" customHeight="1">
      <c r="A2" s="34" t="s">
        <v>33</v>
      </c>
      <c r="B2" s="37">
        <v>1.0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</row>
    <row r="3" ht="15.75" customHeight="1">
      <c r="A3" s="34" t="s">
        <v>32</v>
      </c>
      <c r="B3" s="38" t="s">
        <v>152</v>
      </c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</row>
    <row r="4" ht="15.75" customHeight="1">
      <c r="A4" s="34" t="s">
        <v>34</v>
      </c>
      <c r="B4" s="39" t="s">
        <v>153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</row>
    <row r="5" ht="15.75" customHeight="1">
      <c r="A5" s="36"/>
      <c r="B5" s="39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</row>
    <row r="6" ht="15.75" customHeight="1">
      <c r="A6" s="40" t="s">
        <v>35</v>
      </c>
      <c r="B6" s="41" t="s">
        <v>154</v>
      </c>
      <c r="C6" s="42" t="s">
        <v>155</v>
      </c>
      <c r="D6" s="43" t="s">
        <v>156</v>
      </c>
      <c r="E6" s="43" t="s">
        <v>157</v>
      </c>
      <c r="F6" s="44" t="s">
        <v>158</v>
      </c>
      <c r="G6" s="45"/>
      <c r="H6" s="44" t="s">
        <v>159</v>
      </c>
      <c r="I6" s="45"/>
      <c r="J6" s="42" t="s">
        <v>160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</row>
    <row r="7" ht="15.75" customHeight="1">
      <c r="A7" s="46"/>
      <c r="B7" s="41" t="s">
        <v>161</v>
      </c>
      <c r="C7" s="47">
        <v>15.0</v>
      </c>
      <c r="D7" s="48">
        <v>10.0</v>
      </c>
      <c r="E7" s="48">
        <v>10.0</v>
      </c>
      <c r="F7" s="48">
        <v>15.0</v>
      </c>
      <c r="G7" s="48">
        <v>5.0</v>
      </c>
      <c r="H7" s="48">
        <v>5.0</v>
      </c>
      <c r="I7" s="48">
        <v>15.0</v>
      </c>
      <c r="J7" s="4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</row>
    <row r="8" ht="15.75" customHeight="1">
      <c r="A8" s="49"/>
      <c r="B8" s="41" t="s">
        <v>34</v>
      </c>
      <c r="C8" s="49"/>
      <c r="D8" s="49"/>
      <c r="E8" s="49"/>
      <c r="F8" s="49"/>
      <c r="G8" s="49"/>
      <c r="H8" s="49"/>
      <c r="I8" s="49"/>
      <c r="J8" s="49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 ht="15.75" customHeight="1">
      <c r="A9" s="50">
        <v>1.0</v>
      </c>
      <c r="B9" s="51" t="s">
        <v>162</v>
      </c>
      <c r="C9" s="36"/>
      <c r="D9" s="50" t="s">
        <v>163</v>
      </c>
      <c r="E9" s="50" t="s">
        <v>163</v>
      </c>
      <c r="F9" s="50"/>
      <c r="G9" s="50"/>
      <c r="H9" s="50" t="s">
        <v>163</v>
      </c>
      <c r="I9" s="50"/>
      <c r="J9" s="50">
        <f t="shared" ref="J9:J14" si="1">if(D9="X",$D$7,0)+if(E9="X",$E$7,0)+if(F9="X",$F$7,0)+if(G9="X",$G$7,0)+if(H9="X",$H$7,0)+if(I9="X",$I$7,0)</f>
        <v>25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</row>
    <row r="10" ht="15.75" customHeight="1">
      <c r="A10" s="52">
        <v>2.0</v>
      </c>
      <c r="B10" s="53" t="s">
        <v>164</v>
      </c>
      <c r="C10" s="52"/>
      <c r="D10" s="52" t="s">
        <v>163</v>
      </c>
      <c r="E10" s="52"/>
      <c r="F10" s="52" t="s">
        <v>163</v>
      </c>
      <c r="G10" s="52"/>
      <c r="H10" s="52"/>
      <c r="I10" s="52"/>
      <c r="J10" s="50">
        <f t="shared" si="1"/>
        <v>25</v>
      </c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</row>
    <row r="11" ht="15.75" customHeight="1">
      <c r="A11" s="52">
        <v>3.0</v>
      </c>
      <c r="B11" s="39" t="s">
        <v>165</v>
      </c>
      <c r="C11" s="36"/>
      <c r="D11" s="52" t="s">
        <v>166</v>
      </c>
      <c r="E11" s="52" t="s">
        <v>166</v>
      </c>
      <c r="F11" s="52"/>
      <c r="G11" s="52"/>
      <c r="H11" s="52" t="s">
        <v>166</v>
      </c>
      <c r="I11" s="52"/>
      <c r="J11" s="50">
        <f t="shared" si="1"/>
        <v>25</v>
      </c>
      <c r="K11" s="36"/>
      <c r="L11" s="39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</row>
    <row r="12" ht="15.75" customHeight="1">
      <c r="A12" s="52">
        <v>4.0</v>
      </c>
      <c r="B12" s="53" t="s">
        <v>167</v>
      </c>
      <c r="C12" s="52"/>
      <c r="D12" s="52" t="s">
        <v>166</v>
      </c>
      <c r="E12" s="52"/>
      <c r="F12" s="52" t="s">
        <v>166</v>
      </c>
      <c r="G12" s="52"/>
      <c r="H12" s="52"/>
      <c r="I12" s="52"/>
      <c r="J12" s="50">
        <f t="shared" si="1"/>
        <v>25</v>
      </c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</row>
    <row r="13" ht="15.75" customHeight="1">
      <c r="A13" s="52">
        <v>5.0</v>
      </c>
      <c r="B13" s="53" t="s">
        <v>168</v>
      </c>
      <c r="C13" s="52"/>
      <c r="D13" s="52"/>
      <c r="E13" s="52" t="s">
        <v>166</v>
      </c>
      <c r="F13" s="52" t="s">
        <v>166</v>
      </c>
      <c r="G13" s="52"/>
      <c r="H13" s="52"/>
      <c r="I13" s="52"/>
      <c r="J13" s="50">
        <f t="shared" si="1"/>
        <v>25</v>
      </c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</row>
    <row r="14" ht="15.75" customHeight="1">
      <c r="A14" s="52">
        <v>6.0</v>
      </c>
      <c r="B14" s="53" t="s">
        <v>169</v>
      </c>
      <c r="C14" s="52"/>
      <c r="D14" s="52"/>
      <c r="E14" s="52"/>
      <c r="F14" s="52"/>
      <c r="G14" s="52" t="s">
        <v>166</v>
      </c>
      <c r="H14" s="52"/>
      <c r="I14" s="52" t="s">
        <v>166</v>
      </c>
      <c r="J14" s="50">
        <f t="shared" si="1"/>
        <v>20</v>
      </c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</row>
    <row r="15" ht="15.75" customHeight="1">
      <c r="A15" s="36"/>
      <c r="B15" s="39"/>
      <c r="C15" s="36"/>
      <c r="D15" s="36"/>
      <c r="E15" s="36"/>
      <c r="F15" s="36"/>
      <c r="G15" s="36"/>
      <c r="H15" s="54" t="s">
        <v>170</v>
      </c>
      <c r="J15" s="54">
        <f>SUM(J7:J14)</f>
        <v>145</v>
      </c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</row>
    <row r="16" ht="15.75" customHeight="1">
      <c r="A16" s="36"/>
      <c r="B16" s="39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</row>
    <row r="17" ht="15.75" customHeight="1">
      <c r="A17" s="36"/>
      <c r="B17" s="39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</row>
    <row r="18" ht="15.75" customHeight="1">
      <c r="A18" s="36"/>
      <c r="B18" s="39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</row>
    <row r="19" ht="15.75" customHeight="1">
      <c r="A19" s="36"/>
      <c r="B19" s="39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</row>
    <row r="20" ht="15.75" customHeight="1">
      <c r="A20" s="36"/>
      <c r="B20" s="39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</row>
    <row r="21" ht="15.75" customHeight="1">
      <c r="A21" s="36"/>
      <c r="B21" s="39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</row>
    <row r="22" ht="15.75" customHeight="1">
      <c r="A22" s="36"/>
      <c r="B22" s="39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</row>
    <row r="23" ht="15.75" customHeight="1">
      <c r="A23" s="36"/>
      <c r="B23" s="39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</row>
    <row r="24" ht="15.75" customHeight="1">
      <c r="A24" s="36"/>
      <c r="B24" s="39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</row>
    <row r="25" ht="15.75" customHeight="1">
      <c r="A25" s="36"/>
      <c r="B25" s="39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</row>
    <row r="26" ht="15.75" customHeight="1">
      <c r="A26" s="36"/>
      <c r="B26" s="39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</row>
    <row r="27" ht="15.75" customHeight="1">
      <c r="A27" s="36"/>
      <c r="B27" s="39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</row>
    <row r="28" ht="15.75" customHeight="1">
      <c r="A28" s="36"/>
      <c r="B28" s="39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</row>
    <row r="29" ht="15.75" customHeight="1">
      <c r="A29" s="36"/>
      <c r="B29" s="39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</row>
    <row r="30" ht="15.75" customHeight="1">
      <c r="A30" s="36"/>
      <c r="B30" s="39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</row>
    <row r="31" ht="15.75" customHeight="1">
      <c r="A31" s="36"/>
      <c r="B31" s="39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</row>
    <row r="32" ht="15.75" customHeight="1">
      <c r="A32" s="36"/>
      <c r="B32" s="39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</row>
    <row r="33" ht="15.75" customHeight="1">
      <c r="A33" s="36"/>
      <c r="B33" s="39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</row>
    <row r="34" ht="15.75" customHeight="1">
      <c r="A34" s="36"/>
      <c r="B34" s="39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</row>
    <row r="35" ht="15.75" customHeight="1">
      <c r="A35" s="36"/>
      <c r="B35" s="39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</row>
    <row r="36" ht="15.75" customHeight="1">
      <c r="A36" s="36"/>
      <c r="B36" s="39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</row>
    <row r="37" ht="15.75" customHeight="1">
      <c r="A37" s="36"/>
      <c r="B37" s="39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</row>
    <row r="38" ht="15.75" customHeight="1">
      <c r="A38" s="36"/>
      <c r="B38" s="39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</row>
    <row r="39" ht="15.75" customHeight="1">
      <c r="A39" s="36"/>
      <c r="B39" s="39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</row>
    <row r="40" ht="15.75" customHeight="1">
      <c r="A40" s="36"/>
      <c r="B40" s="39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</row>
    <row r="41" ht="15.75" customHeight="1">
      <c r="A41" s="36"/>
      <c r="B41" s="39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</row>
    <row r="42" ht="15.75" customHeight="1">
      <c r="A42" s="36"/>
      <c r="B42" s="39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</row>
    <row r="43" ht="15.75" customHeight="1">
      <c r="A43" s="36"/>
      <c r="B43" s="39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</row>
    <row r="44" ht="15.75" customHeight="1">
      <c r="A44" s="36"/>
      <c r="B44" s="39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</row>
    <row r="45" ht="15.75" customHeight="1">
      <c r="A45" s="36"/>
      <c r="B45" s="39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</row>
    <row r="46" ht="15.75" customHeight="1">
      <c r="A46" s="36"/>
      <c r="B46" s="39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</row>
    <row r="47" ht="15.75" customHeight="1">
      <c r="A47" s="36"/>
      <c r="B47" s="39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</row>
    <row r="48" ht="15.75" customHeight="1">
      <c r="A48" s="36"/>
      <c r="B48" s="39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</row>
    <row r="49" ht="15.75" customHeight="1">
      <c r="A49" s="36"/>
      <c r="B49" s="39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</row>
    <row r="50" ht="15.75" customHeight="1">
      <c r="A50" s="36"/>
      <c r="B50" s="39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</row>
    <row r="51" ht="15.75" customHeight="1">
      <c r="A51" s="36"/>
      <c r="B51" s="39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</row>
    <row r="52" ht="15.75" customHeight="1">
      <c r="A52" s="36"/>
      <c r="B52" s="39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</row>
    <row r="53" ht="15.75" customHeight="1">
      <c r="A53" s="36"/>
      <c r="B53" s="39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</row>
    <row r="54" ht="15.75" customHeight="1">
      <c r="A54" s="36"/>
      <c r="B54" s="39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</row>
    <row r="55" ht="15.75" customHeight="1">
      <c r="A55" s="36"/>
      <c r="B55" s="39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</row>
    <row r="56" ht="15.75" customHeight="1">
      <c r="A56" s="36"/>
      <c r="B56" s="39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</row>
    <row r="57" ht="15.75" customHeight="1">
      <c r="A57" s="36"/>
      <c r="B57" s="39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</row>
    <row r="58" ht="15.75" customHeight="1">
      <c r="A58" s="36"/>
      <c r="B58" s="39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</row>
    <row r="59" ht="15.75" customHeight="1">
      <c r="A59" s="36"/>
      <c r="B59" s="39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</row>
    <row r="60" ht="15.75" customHeight="1">
      <c r="A60" s="36"/>
      <c r="B60" s="39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</row>
    <row r="61" ht="15.75" customHeight="1">
      <c r="A61" s="36"/>
      <c r="B61" s="39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</row>
    <row r="62" ht="15.75" customHeight="1">
      <c r="A62" s="36"/>
      <c r="B62" s="39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</row>
    <row r="63" ht="15.75" customHeight="1">
      <c r="A63" s="36"/>
      <c r="B63" s="39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</row>
    <row r="64" ht="15.75" customHeight="1">
      <c r="A64" s="36"/>
      <c r="B64" s="39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</row>
    <row r="65" ht="15.75" customHeight="1">
      <c r="A65" s="36"/>
      <c r="B65" s="39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</row>
    <row r="66" ht="15.75" customHeight="1">
      <c r="A66" s="36"/>
      <c r="B66" s="39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</row>
    <row r="67" ht="15.75" customHeight="1">
      <c r="A67" s="36"/>
      <c r="B67" s="39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</row>
    <row r="68" ht="15.75" customHeight="1">
      <c r="A68" s="36"/>
      <c r="B68" s="39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</row>
    <row r="69" ht="15.75" customHeight="1">
      <c r="A69" s="36"/>
      <c r="B69" s="39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</row>
    <row r="70" ht="15.75" customHeight="1">
      <c r="A70" s="36"/>
      <c r="B70" s="39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</row>
    <row r="71" ht="15.75" customHeight="1">
      <c r="A71" s="36"/>
      <c r="B71" s="39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</row>
    <row r="72" ht="15.75" customHeight="1">
      <c r="A72" s="36"/>
      <c r="B72" s="39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</row>
    <row r="73" ht="15.75" customHeight="1">
      <c r="A73" s="36"/>
      <c r="B73" s="39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</row>
    <row r="74" ht="15.75" customHeight="1">
      <c r="A74" s="36"/>
      <c r="B74" s="39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</row>
    <row r="75" ht="15.75" customHeight="1">
      <c r="A75" s="36"/>
      <c r="B75" s="39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</row>
    <row r="76" ht="15.75" customHeight="1">
      <c r="A76" s="36"/>
      <c r="B76" s="39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</row>
    <row r="77" ht="15.75" customHeight="1">
      <c r="A77" s="36"/>
      <c r="B77" s="39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</row>
    <row r="78" ht="15.75" customHeight="1">
      <c r="A78" s="36"/>
      <c r="B78" s="39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</row>
    <row r="79" ht="15.75" customHeight="1">
      <c r="A79" s="36"/>
      <c r="B79" s="39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</row>
    <row r="80" ht="15.75" customHeight="1">
      <c r="A80" s="36"/>
      <c r="B80" s="39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</row>
    <row r="81" ht="15.75" customHeight="1">
      <c r="A81" s="36"/>
      <c r="B81" s="39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</row>
    <row r="82" ht="15.75" customHeight="1">
      <c r="A82" s="36"/>
      <c r="B82" s="39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</row>
    <row r="83" ht="15.75" customHeight="1">
      <c r="A83" s="36"/>
      <c r="B83" s="39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</row>
    <row r="84" ht="15.75" customHeight="1">
      <c r="A84" s="36"/>
      <c r="B84" s="39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</row>
    <row r="85" ht="15.75" customHeight="1">
      <c r="A85" s="36"/>
      <c r="B85" s="39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</row>
    <row r="86" ht="15.75" customHeight="1">
      <c r="A86" s="36"/>
      <c r="B86" s="39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</row>
    <row r="87" ht="15.75" customHeight="1">
      <c r="A87" s="36"/>
      <c r="B87" s="39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</row>
    <row r="88" ht="15.75" customHeight="1">
      <c r="A88" s="36"/>
      <c r="B88" s="39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</row>
    <row r="89" ht="15.75" customHeight="1">
      <c r="A89" s="36"/>
      <c r="B89" s="39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</row>
    <row r="90" ht="15.75" customHeight="1">
      <c r="A90" s="36"/>
      <c r="B90" s="39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</row>
    <row r="91" ht="15.75" customHeight="1">
      <c r="A91" s="36"/>
      <c r="B91" s="39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</row>
    <row r="92" ht="15.75" customHeight="1">
      <c r="A92" s="36"/>
      <c r="B92" s="39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</row>
    <row r="93" ht="15.75" customHeight="1">
      <c r="A93" s="36"/>
      <c r="B93" s="39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</row>
    <row r="94" ht="15.75" customHeight="1">
      <c r="A94" s="36"/>
      <c r="B94" s="39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</row>
    <row r="95" ht="15.75" customHeight="1">
      <c r="A95" s="36"/>
      <c r="B95" s="39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</row>
    <row r="96" ht="15.75" customHeight="1">
      <c r="A96" s="36"/>
      <c r="B96" s="39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</row>
    <row r="97" ht="15.75" customHeight="1">
      <c r="A97" s="36"/>
      <c r="B97" s="39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</row>
    <row r="98" ht="15.75" customHeight="1">
      <c r="A98" s="36"/>
      <c r="B98" s="39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</row>
    <row r="99" ht="15.75" customHeight="1">
      <c r="A99" s="36"/>
      <c r="B99" s="39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</row>
    <row r="100" ht="15.75" customHeight="1">
      <c r="A100" s="36"/>
      <c r="B100" s="39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</row>
    <row r="101" ht="15.75" customHeight="1">
      <c r="A101" s="36"/>
      <c r="B101" s="39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</row>
    <row r="102" ht="15.75" customHeight="1">
      <c r="A102" s="36"/>
      <c r="B102" s="39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</row>
    <row r="103" ht="15.75" customHeight="1">
      <c r="A103" s="36"/>
      <c r="B103" s="39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</row>
    <row r="104" ht="15.75" customHeight="1">
      <c r="A104" s="36"/>
      <c r="B104" s="39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</row>
    <row r="105" ht="15.75" customHeight="1">
      <c r="A105" s="36"/>
      <c r="B105" s="39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</row>
    <row r="106" ht="15.75" customHeight="1">
      <c r="A106" s="36"/>
      <c r="B106" s="39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</row>
    <row r="107" ht="15.75" customHeight="1">
      <c r="A107" s="36"/>
      <c r="B107" s="39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</row>
    <row r="108" ht="15.75" customHeight="1">
      <c r="A108" s="36"/>
      <c r="B108" s="39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</row>
    <row r="109" ht="15.75" customHeight="1">
      <c r="A109" s="36"/>
      <c r="B109" s="39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</row>
    <row r="110" ht="15.75" customHeight="1">
      <c r="A110" s="36"/>
      <c r="B110" s="39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</row>
    <row r="111" ht="15.75" customHeight="1">
      <c r="A111" s="36"/>
      <c r="B111" s="39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</row>
    <row r="112" ht="15.75" customHeight="1">
      <c r="A112" s="36"/>
      <c r="B112" s="39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</row>
    <row r="113" ht="15.75" customHeight="1">
      <c r="A113" s="36"/>
      <c r="B113" s="39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</row>
    <row r="114" ht="15.75" customHeight="1">
      <c r="A114" s="36"/>
      <c r="B114" s="39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</row>
    <row r="115" ht="15.75" customHeight="1">
      <c r="A115" s="36"/>
      <c r="B115" s="39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</row>
    <row r="116" ht="15.75" customHeight="1">
      <c r="A116" s="36"/>
      <c r="B116" s="39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</row>
    <row r="117" ht="15.75" customHeight="1">
      <c r="A117" s="36"/>
      <c r="B117" s="39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</row>
    <row r="118" ht="15.75" customHeight="1">
      <c r="A118" s="36"/>
      <c r="B118" s="39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</row>
    <row r="119" ht="15.75" customHeight="1">
      <c r="A119" s="36"/>
      <c r="B119" s="39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</row>
    <row r="120" ht="15.75" customHeight="1">
      <c r="A120" s="36"/>
      <c r="B120" s="39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</row>
    <row r="121" ht="15.75" customHeight="1">
      <c r="A121" s="36"/>
      <c r="B121" s="39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</row>
    <row r="122" ht="15.75" customHeight="1">
      <c r="A122" s="36"/>
      <c r="B122" s="39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</row>
    <row r="123" ht="15.75" customHeight="1">
      <c r="A123" s="36"/>
      <c r="B123" s="39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</row>
    <row r="124" ht="15.75" customHeight="1">
      <c r="A124" s="36"/>
      <c r="B124" s="39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</row>
    <row r="125" ht="15.75" customHeight="1">
      <c r="A125" s="36"/>
      <c r="B125" s="39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</row>
    <row r="126" ht="15.75" customHeight="1">
      <c r="A126" s="36"/>
      <c r="B126" s="39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</row>
    <row r="127" ht="15.75" customHeight="1">
      <c r="A127" s="36"/>
      <c r="B127" s="39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</row>
    <row r="128" ht="15.75" customHeight="1">
      <c r="A128" s="36"/>
      <c r="B128" s="39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</row>
    <row r="129" ht="15.75" customHeight="1">
      <c r="A129" s="36"/>
      <c r="B129" s="39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</row>
    <row r="130" ht="15.75" customHeight="1">
      <c r="A130" s="36"/>
      <c r="B130" s="39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</row>
    <row r="131" ht="15.75" customHeight="1">
      <c r="A131" s="36"/>
      <c r="B131" s="39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</row>
    <row r="132" ht="15.75" customHeight="1">
      <c r="A132" s="36"/>
      <c r="B132" s="39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</row>
    <row r="133" ht="15.75" customHeight="1">
      <c r="A133" s="36"/>
      <c r="B133" s="39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</row>
    <row r="134" ht="15.75" customHeight="1">
      <c r="A134" s="36"/>
      <c r="B134" s="39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</row>
    <row r="135" ht="15.75" customHeight="1">
      <c r="A135" s="36"/>
      <c r="B135" s="39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</row>
    <row r="136" ht="15.75" customHeight="1">
      <c r="A136" s="36"/>
      <c r="B136" s="39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</row>
    <row r="137" ht="15.75" customHeight="1">
      <c r="A137" s="36"/>
      <c r="B137" s="39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</row>
    <row r="138" ht="15.75" customHeight="1">
      <c r="A138" s="36"/>
      <c r="B138" s="39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</row>
    <row r="139" ht="15.75" customHeight="1">
      <c r="A139" s="36"/>
      <c r="B139" s="39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</row>
    <row r="140" ht="15.75" customHeight="1">
      <c r="A140" s="36"/>
      <c r="B140" s="39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</row>
    <row r="141" ht="15.75" customHeight="1">
      <c r="A141" s="36"/>
      <c r="B141" s="39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</row>
    <row r="142" ht="15.75" customHeight="1">
      <c r="A142" s="36"/>
      <c r="B142" s="39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</row>
    <row r="143" ht="15.75" customHeight="1">
      <c r="A143" s="36"/>
      <c r="B143" s="39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</row>
    <row r="144" ht="15.75" customHeight="1">
      <c r="A144" s="36"/>
      <c r="B144" s="39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</row>
    <row r="145" ht="15.75" customHeight="1">
      <c r="A145" s="36"/>
      <c r="B145" s="39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</row>
    <row r="146" ht="15.75" customHeight="1">
      <c r="A146" s="36"/>
      <c r="B146" s="39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</row>
    <row r="147" ht="15.75" customHeight="1">
      <c r="A147" s="36"/>
      <c r="B147" s="39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</row>
    <row r="148" ht="15.75" customHeight="1">
      <c r="A148" s="36"/>
      <c r="B148" s="39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</row>
    <row r="149" ht="15.75" customHeight="1">
      <c r="A149" s="36"/>
      <c r="B149" s="39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</row>
    <row r="150" ht="15.75" customHeight="1">
      <c r="A150" s="36"/>
      <c r="B150" s="39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</row>
    <row r="151" ht="15.75" customHeight="1">
      <c r="A151" s="36"/>
      <c r="B151" s="39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</row>
    <row r="152" ht="15.75" customHeight="1">
      <c r="A152" s="36"/>
      <c r="B152" s="39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</row>
    <row r="153" ht="15.75" customHeight="1">
      <c r="A153" s="36"/>
      <c r="B153" s="39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</row>
    <row r="154" ht="15.75" customHeight="1">
      <c r="A154" s="36"/>
      <c r="B154" s="39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</row>
    <row r="155" ht="15.75" customHeight="1">
      <c r="A155" s="36"/>
      <c r="B155" s="39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</row>
    <row r="156" ht="15.75" customHeight="1">
      <c r="A156" s="36"/>
      <c r="B156" s="39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</row>
    <row r="157" ht="15.75" customHeight="1">
      <c r="A157" s="36"/>
      <c r="B157" s="39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</row>
    <row r="158" ht="15.75" customHeight="1">
      <c r="A158" s="36"/>
      <c r="B158" s="39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</row>
    <row r="159" ht="15.75" customHeight="1">
      <c r="A159" s="36"/>
      <c r="B159" s="39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</row>
    <row r="160" ht="15.75" customHeight="1">
      <c r="A160" s="36"/>
      <c r="B160" s="39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</row>
    <row r="161" ht="15.75" customHeight="1">
      <c r="A161" s="36"/>
      <c r="B161" s="39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</row>
    <row r="162" ht="15.75" customHeight="1">
      <c r="A162" s="36"/>
      <c r="B162" s="39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</row>
    <row r="163" ht="15.75" customHeight="1">
      <c r="A163" s="36"/>
      <c r="B163" s="39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</row>
    <row r="164" ht="15.75" customHeight="1">
      <c r="A164" s="36"/>
      <c r="B164" s="39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</row>
    <row r="165" ht="15.75" customHeight="1">
      <c r="A165" s="36"/>
      <c r="B165" s="39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</row>
    <row r="166" ht="15.75" customHeight="1">
      <c r="A166" s="36"/>
      <c r="B166" s="39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</row>
    <row r="167" ht="15.75" customHeight="1">
      <c r="A167" s="36"/>
      <c r="B167" s="39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</row>
    <row r="168" ht="15.75" customHeight="1">
      <c r="A168" s="36"/>
      <c r="B168" s="39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</row>
    <row r="169" ht="15.75" customHeight="1">
      <c r="A169" s="36"/>
      <c r="B169" s="39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</row>
    <row r="170" ht="15.75" customHeight="1">
      <c r="A170" s="36"/>
      <c r="B170" s="39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</row>
    <row r="171" ht="15.75" customHeight="1">
      <c r="A171" s="36"/>
      <c r="B171" s="39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</row>
    <row r="172" ht="15.75" customHeight="1">
      <c r="A172" s="36"/>
      <c r="B172" s="39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</row>
    <row r="173" ht="15.75" customHeight="1">
      <c r="A173" s="36"/>
      <c r="B173" s="39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</row>
    <row r="174" ht="15.75" customHeight="1">
      <c r="A174" s="36"/>
      <c r="B174" s="39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</row>
    <row r="175" ht="15.75" customHeight="1">
      <c r="A175" s="36"/>
      <c r="B175" s="39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</row>
    <row r="176" ht="15.75" customHeight="1">
      <c r="A176" s="36"/>
      <c r="B176" s="39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</row>
    <row r="177" ht="15.75" customHeight="1">
      <c r="A177" s="36"/>
      <c r="B177" s="39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</row>
    <row r="178" ht="15.75" customHeight="1">
      <c r="A178" s="36"/>
      <c r="B178" s="39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</row>
    <row r="179" ht="15.75" customHeight="1">
      <c r="A179" s="36"/>
      <c r="B179" s="39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</row>
    <row r="180" ht="15.75" customHeight="1">
      <c r="A180" s="36"/>
      <c r="B180" s="39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</row>
    <row r="181" ht="15.75" customHeight="1">
      <c r="A181" s="36"/>
      <c r="B181" s="39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</row>
    <row r="182" ht="15.75" customHeight="1">
      <c r="A182" s="36"/>
      <c r="B182" s="39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</row>
    <row r="183" ht="15.75" customHeight="1">
      <c r="A183" s="36"/>
      <c r="B183" s="39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</row>
    <row r="184" ht="15.75" customHeight="1">
      <c r="A184" s="36"/>
      <c r="B184" s="39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</row>
    <row r="185" ht="15.75" customHeight="1">
      <c r="A185" s="36"/>
      <c r="B185" s="39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</row>
    <row r="186" ht="15.75" customHeight="1">
      <c r="A186" s="36"/>
      <c r="B186" s="39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</row>
    <row r="187" ht="15.75" customHeight="1">
      <c r="A187" s="36"/>
      <c r="B187" s="39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</row>
    <row r="188" ht="15.75" customHeight="1">
      <c r="A188" s="36"/>
      <c r="B188" s="39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</row>
    <row r="189" ht="15.75" customHeight="1">
      <c r="A189" s="36"/>
      <c r="B189" s="39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</row>
    <row r="190" ht="15.75" customHeight="1">
      <c r="A190" s="36"/>
      <c r="B190" s="39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</row>
    <row r="191" ht="15.75" customHeight="1">
      <c r="A191" s="36"/>
      <c r="B191" s="39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</row>
    <row r="192" ht="15.75" customHeight="1">
      <c r="A192" s="36"/>
      <c r="B192" s="39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</row>
    <row r="193" ht="15.75" customHeight="1">
      <c r="A193" s="36"/>
      <c r="B193" s="39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</row>
    <row r="194" ht="15.75" customHeight="1">
      <c r="A194" s="36"/>
      <c r="B194" s="39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</row>
    <row r="195" ht="15.75" customHeight="1">
      <c r="A195" s="36"/>
      <c r="B195" s="39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</row>
    <row r="196" ht="15.75" customHeight="1">
      <c r="A196" s="36"/>
      <c r="B196" s="39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</row>
    <row r="197" ht="15.75" customHeight="1">
      <c r="A197" s="36"/>
      <c r="B197" s="39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</row>
    <row r="198" ht="15.75" customHeight="1">
      <c r="A198" s="36"/>
      <c r="B198" s="39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</row>
    <row r="199" ht="15.75" customHeight="1">
      <c r="A199" s="36"/>
      <c r="B199" s="39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</row>
    <row r="200" ht="15.75" customHeight="1">
      <c r="A200" s="36"/>
      <c r="B200" s="39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</row>
    <row r="201" ht="15.75" customHeight="1">
      <c r="A201" s="36"/>
      <c r="B201" s="39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</row>
    <row r="202" ht="15.75" customHeight="1">
      <c r="A202" s="36"/>
      <c r="B202" s="39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</row>
    <row r="203" ht="15.75" customHeight="1">
      <c r="A203" s="36"/>
      <c r="B203" s="39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</row>
    <row r="204" ht="15.75" customHeight="1">
      <c r="A204" s="36"/>
      <c r="B204" s="39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</row>
    <row r="205" ht="15.75" customHeight="1">
      <c r="A205" s="36"/>
      <c r="B205" s="39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</row>
    <row r="206" ht="15.75" customHeight="1">
      <c r="A206" s="36"/>
      <c r="B206" s="39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</row>
    <row r="207" ht="15.75" customHeight="1">
      <c r="A207" s="36"/>
      <c r="B207" s="39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</row>
    <row r="208" ht="15.75" customHeight="1">
      <c r="A208" s="36"/>
      <c r="B208" s="39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</row>
    <row r="209" ht="15.75" customHeight="1">
      <c r="A209" s="36"/>
      <c r="B209" s="39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</row>
    <row r="210" ht="15.75" customHeight="1">
      <c r="A210" s="36"/>
      <c r="B210" s="39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</row>
    <row r="211" ht="15.75" customHeight="1">
      <c r="A211" s="36"/>
      <c r="B211" s="39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</row>
    <row r="212" ht="15.75" customHeight="1">
      <c r="A212" s="36"/>
      <c r="B212" s="39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</row>
    <row r="213" ht="15.75" customHeight="1">
      <c r="A213" s="36"/>
      <c r="B213" s="39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</row>
    <row r="214" ht="15.75" customHeight="1">
      <c r="A214" s="36"/>
      <c r="B214" s="39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</row>
    <row r="215" ht="15.75" customHeight="1">
      <c r="A215" s="36"/>
      <c r="B215" s="39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</row>
    <row r="216" ht="15.75" customHeight="1">
      <c r="A216" s="36"/>
      <c r="B216" s="39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</row>
    <row r="217" ht="15.75" customHeight="1">
      <c r="A217" s="36"/>
      <c r="B217" s="39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</row>
    <row r="218" ht="15.75" customHeight="1">
      <c r="A218" s="36"/>
      <c r="B218" s="39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</row>
    <row r="219" ht="15.75" customHeight="1">
      <c r="A219" s="36"/>
      <c r="B219" s="39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</row>
    <row r="220" ht="15.75" customHeight="1">
      <c r="A220" s="36"/>
      <c r="B220" s="39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F7:F8"/>
    <mergeCell ref="G7:G8"/>
    <mergeCell ref="H7:H8"/>
    <mergeCell ref="I7:I8"/>
    <mergeCell ref="H15:I15"/>
    <mergeCell ref="A6:A8"/>
    <mergeCell ref="F6:G6"/>
    <mergeCell ref="H6:I6"/>
    <mergeCell ref="J6:J8"/>
    <mergeCell ref="C7:C8"/>
    <mergeCell ref="D7:D8"/>
    <mergeCell ref="E7:E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34" t="s">
        <v>150</v>
      </c>
      <c r="B1" s="35" t="s">
        <v>151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</row>
    <row r="2" ht="15.75" customHeight="1">
      <c r="A2" s="34" t="s">
        <v>33</v>
      </c>
      <c r="B2" s="37">
        <v>1.0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</row>
    <row r="3" ht="15.75" customHeight="1">
      <c r="A3" s="34" t="s">
        <v>32</v>
      </c>
      <c r="B3" s="38" t="str">
        <f>'Base del Diseño Curricular'!B2</f>
        <v>Introduccion a la Modelación y Simulación</v>
      </c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</row>
    <row r="4" ht="15.75" customHeight="1">
      <c r="A4" s="34" t="s">
        <v>34</v>
      </c>
      <c r="B4" s="39" t="str">
        <f>'Base del Diseño Curricular'!D2</f>
        <v>Presentación de Laboratorio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</row>
    <row r="5" ht="15.75" customHeight="1">
      <c r="A5" s="36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</row>
    <row r="6" ht="15.75" customHeight="1">
      <c r="A6" s="40" t="s">
        <v>35</v>
      </c>
      <c r="B6" s="55" t="s">
        <v>154</v>
      </c>
      <c r="C6" s="43" t="s">
        <v>155</v>
      </c>
      <c r="D6" s="43" t="s">
        <v>156</v>
      </c>
      <c r="E6" s="43" t="s">
        <v>157</v>
      </c>
      <c r="F6" s="44" t="s">
        <v>158</v>
      </c>
      <c r="G6" s="45"/>
      <c r="H6" s="44" t="s">
        <v>159</v>
      </c>
      <c r="I6" s="45"/>
      <c r="J6" s="42" t="s">
        <v>160</v>
      </c>
      <c r="K6" s="56" t="s">
        <v>158</v>
      </c>
      <c r="L6" s="56" t="s">
        <v>159</v>
      </c>
      <c r="M6" s="57" t="s">
        <v>171</v>
      </c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</row>
    <row r="7" ht="15.75" customHeight="1">
      <c r="A7" s="46"/>
      <c r="B7" s="55" t="s">
        <v>172</v>
      </c>
      <c r="C7" s="48">
        <v>15.0</v>
      </c>
      <c r="D7" s="48">
        <v>10.0</v>
      </c>
      <c r="E7" s="48">
        <v>10.0</v>
      </c>
      <c r="F7" s="48">
        <v>15.0</v>
      </c>
      <c r="G7" s="48">
        <v>5.0</v>
      </c>
      <c r="H7" s="48">
        <v>5.0</v>
      </c>
      <c r="I7" s="48">
        <v>15.0</v>
      </c>
      <c r="J7" s="46"/>
      <c r="K7" s="58" t="s">
        <v>173</v>
      </c>
      <c r="L7" s="58" t="s">
        <v>173</v>
      </c>
      <c r="M7" s="17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</row>
    <row r="8" ht="15.75" customHeight="1">
      <c r="A8" s="49"/>
      <c r="B8" s="40" t="s">
        <v>36</v>
      </c>
      <c r="C8" s="49"/>
      <c r="D8" s="49"/>
      <c r="E8" s="49"/>
      <c r="F8" s="49"/>
      <c r="G8" s="49"/>
      <c r="H8" s="49"/>
      <c r="I8" s="49"/>
      <c r="J8" s="49"/>
      <c r="K8" s="19"/>
      <c r="L8" s="19"/>
      <c r="M8" s="19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</row>
    <row r="9">
      <c r="A9" s="50">
        <v>1.0</v>
      </c>
      <c r="B9" s="59" t="str">
        <f>'Base del Diseño Curricular'!F2</f>
        <v>Presentacion de programa de laboratorio</v>
      </c>
      <c r="C9" s="60" t="s">
        <v>163</v>
      </c>
      <c r="D9" s="61"/>
      <c r="E9" s="60"/>
      <c r="F9" s="60"/>
      <c r="G9" s="61"/>
      <c r="H9" s="61"/>
      <c r="I9" s="61"/>
      <c r="J9" s="62">
        <f>if(C9="X",$C$7,0)+if(D9="X",$D$7,0)+if(E9="X",$E$7,0)+if(F9="X",$F$7,0)+if(G9="X",$G$7,0)+if(H9="X",$H$7,0)+if(I9="X",$I$7,0)</f>
        <v>15</v>
      </c>
      <c r="K9" s="63"/>
      <c r="L9" s="52"/>
      <c r="M9" s="52">
        <f t="shared" ref="M9:M14" si="1">sum(K9:L9)</f>
        <v>0</v>
      </c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</row>
    <row r="10" ht="15.75" customHeight="1">
      <c r="A10" s="52">
        <v>2.0</v>
      </c>
      <c r="B10" s="59" t="str">
        <f>'Base del Diseño Curricular'!F3</f>
        <v>Datos generales</v>
      </c>
      <c r="C10" s="64" t="s">
        <v>163</v>
      </c>
      <c r="D10" s="64"/>
      <c r="E10" s="64"/>
      <c r="F10" s="65"/>
      <c r="G10" s="65"/>
      <c r="H10" s="65"/>
      <c r="I10" s="65"/>
      <c r="J10" s="62">
        <f>IF(C10="X",$C$7,0)+IF(D10="X",$D$7,0)+IF(E10="X",$E$7,0)+IF(F10="X",$F$7,0)+IF(G10="X",$G$7,0)+IF(H10="X",$H$7,0)+IF(I10="X",$I$7,0)</f>
        <v>15</v>
      </c>
      <c r="K10" s="52"/>
      <c r="L10" s="52"/>
      <c r="M10" s="52">
        <f t="shared" si="1"/>
        <v>0</v>
      </c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</row>
    <row r="11" ht="15.75" customHeight="1">
      <c r="A11" s="52">
        <v>3.0</v>
      </c>
      <c r="B11" s="59" t="str">
        <f>'Base del Diseño Curricular'!F4</f>
        <v>Reglas de trabajo</v>
      </c>
      <c r="C11" s="66"/>
      <c r="D11" s="66"/>
      <c r="E11" s="64" t="s">
        <v>163</v>
      </c>
      <c r="F11" s="67"/>
      <c r="G11" s="67"/>
      <c r="H11" s="67"/>
      <c r="I11" s="67"/>
      <c r="J11" s="62">
        <f>if(C11="X",$C$7,0)+if(D11="X",$D$7,0)+if(E11="X",$E$7,0)+if(F11="X",$F$7,0)+if(G11="X",$G$7,0)+if(H11="X",$H$7,0)+if(I11="X",$I$7,0)</f>
        <v>10</v>
      </c>
      <c r="K11" s="52"/>
      <c r="L11" s="52"/>
      <c r="M11" s="52">
        <f t="shared" si="1"/>
        <v>0</v>
      </c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</row>
    <row r="12" ht="15.75" customHeight="1">
      <c r="A12" s="52">
        <v>4.0</v>
      </c>
      <c r="B12" s="59" t="str">
        <f>'Base del Diseño Curricular'!F5</f>
        <v>Formatos de entrega</v>
      </c>
      <c r="C12" s="66"/>
      <c r="D12" s="66"/>
      <c r="E12" s="64" t="s">
        <v>163</v>
      </c>
      <c r="F12" s="67"/>
      <c r="G12" s="67"/>
      <c r="H12" s="67"/>
      <c r="I12" s="67"/>
      <c r="J12" s="62">
        <f>IF(C12="X",$C$7,0)+IF(D12="X",$D$7,0)+IF(E12="X",$E$7,0)+IF(F12="X",$F$7,0)+IF(G12="X",$G$7,0)+IF(H12="X",$H$7,0)+IF(I12="X",$I$7,0)</f>
        <v>10</v>
      </c>
      <c r="K12" s="52"/>
      <c r="L12" s="52"/>
      <c r="M12" s="52">
        <f t="shared" si="1"/>
        <v>0</v>
      </c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</row>
    <row r="13" ht="15.75" customHeight="1">
      <c r="A13" s="52">
        <v>5.0</v>
      </c>
      <c r="B13" s="59" t="str">
        <f>'Base del Diseño Curricular'!F6</f>
        <v>Medios de comunicación</v>
      </c>
      <c r="C13" s="64" t="s">
        <v>163</v>
      </c>
      <c r="D13" s="66"/>
      <c r="E13" s="64"/>
      <c r="F13" s="67"/>
      <c r="G13" s="67"/>
      <c r="H13" s="67"/>
      <c r="I13" s="67"/>
      <c r="J13" s="62">
        <f>if(C13="X",$C$7,0)+if(D13="X",$D$7,0)+if(E13="X",$E$7,0)+if(F13="X",$F$7,0)+if(G13="X",$G$7,0)+if(H13="X",$H$7,0)+if(I13="X",$I$7,0)</f>
        <v>15</v>
      </c>
      <c r="K13" s="52"/>
      <c r="L13" s="52"/>
      <c r="M13" s="52">
        <f t="shared" si="1"/>
        <v>0</v>
      </c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</row>
    <row r="14" ht="15.75" customHeight="1">
      <c r="A14" s="52">
        <v>6.0</v>
      </c>
      <c r="B14" s="68" t="s">
        <v>174</v>
      </c>
      <c r="C14" s="66"/>
      <c r="D14" s="64" t="s">
        <v>163</v>
      </c>
      <c r="E14" s="66"/>
      <c r="F14" s="67"/>
      <c r="G14" s="67"/>
      <c r="H14" s="67"/>
      <c r="I14" s="65" t="s">
        <v>163</v>
      </c>
      <c r="J14" s="62">
        <f>IF(C14="X",$C$7,0)+IF(D14="X",$D$7,0)+IF(E14="X",$E$7,0)+IF(F14="X",$F$7,0)+IF(G14="X",$G$7,0)+IF(H14="X",$H$7,0)+IF(I14="X",$I$7,0)</f>
        <v>25</v>
      </c>
      <c r="K14" s="52"/>
      <c r="L14" s="69">
        <v>1.0</v>
      </c>
      <c r="M14" s="52">
        <f t="shared" si="1"/>
        <v>1</v>
      </c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</row>
    <row r="15" ht="15.75" customHeight="1">
      <c r="A15" s="36"/>
      <c r="B15" s="36"/>
      <c r="C15" s="36"/>
      <c r="D15" s="36"/>
      <c r="E15" s="36"/>
      <c r="F15" s="36"/>
      <c r="G15" s="36"/>
      <c r="H15" s="36"/>
      <c r="I15" s="70" t="s">
        <v>175</v>
      </c>
      <c r="J15" s="71">
        <f>SUM(J9:J14)</f>
        <v>90</v>
      </c>
      <c r="K15" s="36"/>
      <c r="L15" s="39" t="s">
        <v>176</v>
      </c>
      <c r="M15" s="36">
        <f>sum(M9:M14)</f>
        <v>1</v>
      </c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</row>
    <row r="16" ht="15.75" customHeight="1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</row>
    <row r="17" ht="15.75" customHeight="1">
      <c r="A17" s="72" t="s">
        <v>177</v>
      </c>
      <c r="B17" s="36"/>
      <c r="C17" s="36"/>
      <c r="D17" s="36"/>
      <c r="E17" s="36"/>
      <c r="F17" s="36"/>
      <c r="G17" s="36"/>
      <c r="H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</row>
    <row r="18" ht="15.75" customHeight="1">
      <c r="A18" s="72" t="s">
        <v>178</v>
      </c>
      <c r="B18" s="36"/>
      <c r="C18" s="36"/>
      <c r="D18" s="36"/>
      <c r="E18" s="36"/>
      <c r="F18" s="36"/>
      <c r="G18" s="36"/>
      <c r="H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</row>
    <row r="19" ht="15.75" customHeight="1">
      <c r="A19" s="72" t="s">
        <v>179</v>
      </c>
      <c r="B19" s="36"/>
      <c r="C19" s="36"/>
      <c r="D19" s="36"/>
      <c r="E19" s="36"/>
      <c r="F19" s="36"/>
      <c r="G19" s="36"/>
      <c r="H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</row>
    <row r="20" ht="15.75" customHeigh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</row>
    <row r="21" ht="15.75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</row>
    <row r="22" ht="15.75" customHeight="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</row>
    <row r="23" ht="15.75" customHeight="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</row>
    <row r="24" ht="15.75" customHeight="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</row>
    <row r="25" ht="15.75" customHeight="1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</row>
    <row r="26" ht="15.75" customHeight="1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</row>
    <row r="27" ht="15.75" customHeight="1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</row>
    <row r="28" ht="15.75" customHeight="1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</row>
    <row r="29" ht="15.75" customHeight="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</row>
    <row r="30" ht="15.75" customHeight="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</row>
    <row r="31" ht="15.75" customHeight="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</row>
    <row r="32" ht="15.75" customHeight="1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</row>
    <row r="33" ht="15.7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</row>
    <row r="34" ht="15.7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</row>
    <row r="35" ht="15.7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</row>
    <row r="36" ht="15.7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</row>
    <row r="37" ht="15.7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</row>
    <row r="38" ht="15.75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</row>
    <row r="39" ht="15.75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</row>
    <row r="40" ht="15.75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34" t="s">
        <v>150</v>
      </c>
      <c r="B1" s="35" t="s">
        <v>151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</row>
    <row r="2" ht="15.75" customHeight="1">
      <c r="A2" s="34" t="s">
        <v>33</v>
      </c>
      <c r="B2" s="73">
        <v>2.0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</row>
    <row r="3" ht="15.75" customHeight="1">
      <c r="A3" s="34" t="s">
        <v>32</v>
      </c>
      <c r="B3" s="38" t="str">
        <f>'Base del Diseño Curricular'!B2</f>
        <v>Introduccion a la Modelación y Simulación</v>
      </c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</row>
    <row r="4" ht="15.75" customHeight="1">
      <c r="A4" s="34" t="s">
        <v>34</v>
      </c>
      <c r="B4" s="39" t="str">
        <f>'Base del Diseño Curricular'!D9</f>
        <v>Introduccion a la Modelación y Simulación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</row>
    <row r="5" ht="15.75" customHeight="1">
      <c r="A5" s="36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</row>
    <row r="6" ht="15.75" customHeight="1">
      <c r="A6" s="40" t="s">
        <v>35</v>
      </c>
      <c r="B6" s="55" t="s">
        <v>154</v>
      </c>
      <c r="C6" s="43" t="s">
        <v>155</v>
      </c>
      <c r="D6" s="43" t="s">
        <v>156</v>
      </c>
      <c r="E6" s="43" t="s">
        <v>157</v>
      </c>
      <c r="F6" s="44" t="s">
        <v>158</v>
      </c>
      <c r="G6" s="45"/>
      <c r="H6" s="44" t="s">
        <v>159</v>
      </c>
      <c r="I6" s="45"/>
      <c r="J6" s="42" t="s">
        <v>160</v>
      </c>
      <c r="K6" s="56" t="s">
        <v>158</v>
      </c>
      <c r="L6" s="56" t="s">
        <v>159</v>
      </c>
      <c r="M6" s="57" t="s">
        <v>171</v>
      </c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</row>
    <row r="7" ht="15.75" customHeight="1">
      <c r="A7" s="46"/>
      <c r="B7" s="55" t="s">
        <v>172</v>
      </c>
      <c r="C7" s="74">
        <v>5.0</v>
      </c>
      <c r="D7" s="48">
        <v>10.0</v>
      </c>
      <c r="E7" s="48">
        <v>10.0</v>
      </c>
      <c r="F7" s="48">
        <v>15.0</v>
      </c>
      <c r="G7" s="48">
        <v>5.0</v>
      </c>
      <c r="H7" s="48">
        <v>5.0</v>
      </c>
      <c r="I7" s="48">
        <v>15.0</v>
      </c>
      <c r="J7" s="46"/>
      <c r="K7" s="58" t="s">
        <v>173</v>
      </c>
      <c r="L7" s="58" t="s">
        <v>173</v>
      </c>
      <c r="M7" s="17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</row>
    <row r="8" ht="15.75" customHeight="1">
      <c r="A8" s="49"/>
      <c r="B8" s="40" t="s">
        <v>36</v>
      </c>
      <c r="C8" s="49"/>
      <c r="D8" s="49"/>
      <c r="E8" s="49"/>
      <c r="F8" s="49"/>
      <c r="G8" s="49"/>
      <c r="H8" s="49"/>
      <c r="I8" s="49"/>
      <c r="J8" s="49"/>
      <c r="K8" s="19"/>
      <c r="L8" s="19"/>
      <c r="M8" s="19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</row>
    <row r="9">
      <c r="A9" s="50">
        <v>1.0</v>
      </c>
      <c r="B9" s="59" t="str">
        <f>'Base del Diseño Curricular'!F9</f>
        <v>¿Qué es la modelación y simulación?</v>
      </c>
      <c r="C9" s="60"/>
      <c r="D9" s="60" t="s">
        <v>163</v>
      </c>
      <c r="E9" s="60"/>
      <c r="F9" s="60"/>
      <c r="G9" s="61"/>
      <c r="H9" s="61"/>
      <c r="I9" s="61"/>
      <c r="J9" s="62">
        <f>if(C9="X",$C$7,0)+if(D9="X",$D$7,0)+if(E9="X",$E$7,0)+if(F9="X",$F$7,0)+if(G9="X",$G$7,0)+if(H9="X",$H$7,0)+if(I9="X",$I$7,0)</f>
        <v>10</v>
      </c>
      <c r="K9" s="63"/>
      <c r="L9" s="52"/>
      <c r="M9" s="52">
        <f t="shared" ref="M9:M14" si="1">sum(K9:L9)</f>
        <v>0</v>
      </c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</row>
    <row r="10" ht="15.75" customHeight="1">
      <c r="A10" s="52">
        <v>2.0</v>
      </c>
      <c r="B10" s="59" t="str">
        <f>'Base del Diseño Curricular'!F10</f>
        <v>Explicación de que es Simio</v>
      </c>
      <c r="C10" s="64" t="s">
        <v>163</v>
      </c>
      <c r="D10" s="64"/>
      <c r="E10" s="64"/>
      <c r="F10" s="65"/>
      <c r="G10" s="65"/>
      <c r="H10" s="65"/>
      <c r="I10" s="65"/>
      <c r="J10" s="62">
        <f>IF(C10="X",$C$7,0)+IF(D10="X",$D$7,0)+IF(E10="X",$E$7,0)+IF(F10="X",$F$7,0)+IF(G10="X",$G$7,0)+IF(H10="X",$H$7,0)+IF(I10="X",$I$7,0)</f>
        <v>5</v>
      </c>
      <c r="K10" s="52"/>
      <c r="L10" s="52"/>
      <c r="M10" s="52">
        <f t="shared" si="1"/>
        <v>0</v>
      </c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</row>
    <row r="11" ht="15.75" customHeight="1">
      <c r="A11" s="52">
        <v>3.0</v>
      </c>
      <c r="B11" s="59" t="str">
        <f>'Base del Diseño Curricular'!F11</f>
        <v>Componentes generales y uso de Simio</v>
      </c>
      <c r="C11" s="64" t="s">
        <v>163</v>
      </c>
      <c r="D11" s="66"/>
      <c r="E11" s="64" t="s">
        <v>163</v>
      </c>
      <c r="F11" s="67"/>
      <c r="G11" s="67"/>
      <c r="H11" s="67"/>
      <c r="I11" s="67"/>
      <c r="J11" s="62">
        <f>if(C11="X",$C$7,0)+if(D11="X",$D$7,0)+if(E11="X",$E$7,0)+if(F11="X",$F$7,0)+if(G11="X",$G$7,0)+if(H11="X",$H$7,0)+if(I11="X",$I$7,0)</f>
        <v>15</v>
      </c>
      <c r="K11" s="52"/>
      <c r="L11" s="52"/>
      <c r="M11" s="52">
        <f t="shared" si="1"/>
        <v>0</v>
      </c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</row>
    <row r="12" ht="15.75" customHeight="1">
      <c r="A12" s="52">
        <v>4.0</v>
      </c>
      <c r="B12" s="59" t="str">
        <f>'Base del Diseño Curricular'!F12</f>
        <v>Explicación de la interfaz de Simio</v>
      </c>
      <c r="C12" s="64" t="s">
        <v>163</v>
      </c>
      <c r="D12" s="66"/>
      <c r="E12" s="64"/>
      <c r="F12" s="65" t="s">
        <v>163</v>
      </c>
      <c r="G12" s="67"/>
      <c r="H12" s="67"/>
      <c r="I12" s="67"/>
      <c r="J12" s="62">
        <f>IF(C12="X",$C$7,0)+IF(D12="X",$D$7,0)+IF(E12="X",$E$7,0)+IF(F12="X",$F$7,0)+IF(G12="X",$G$7,0)+IF(H12="X",$H$7,0)+IF(I12="X",$I$7,0)</f>
        <v>20</v>
      </c>
      <c r="K12" s="52"/>
      <c r="L12" s="52"/>
      <c r="M12" s="52">
        <f t="shared" si="1"/>
        <v>0</v>
      </c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</row>
    <row r="13" ht="15.75" customHeight="1">
      <c r="A13" s="52">
        <v>5.0</v>
      </c>
      <c r="B13" s="59" t="str">
        <f>'Base del Diseño Curricular'!F13</f>
        <v>Explicación de la libreria estándar de Simio</v>
      </c>
      <c r="C13" s="64" t="s">
        <v>163</v>
      </c>
      <c r="D13" s="66"/>
      <c r="E13" s="64"/>
      <c r="F13" s="67"/>
      <c r="G13" s="65" t="s">
        <v>163</v>
      </c>
      <c r="H13" s="67"/>
      <c r="I13" s="67"/>
      <c r="J13" s="62">
        <f>if(C13="X",$C$7,0)+if(D13="X",$D$7,0)+if(E13="X",$E$7,0)+if(F13="X",$F$7,0)+if(G13="X",$G$7,0)+if(H13="X",$H$7,0)+if(I13="X",$I$7,0)</f>
        <v>10</v>
      </c>
      <c r="K13" s="52"/>
      <c r="L13" s="52"/>
      <c r="M13" s="52">
        <f t="shared" si="1"/>
        <v>0</v>
      </c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</row>
    <row r="14" ht="15.75" customHeight="1">
      <c r="A14" s="52">
        <v>6.0</v>
      </c>
      <c r="B14" s="59" t="str">
        <f>'Base del Diseño Curricular'!F14</f>
        <v>Componentes generales</v>
      </c>
      <c r="C14" s="64" t="s">
        <v>163</v>
      </c>
      <c r="D14" s="66"/>
      <c r="E14" s="66"/>
      <c r="F14" s="65" t="s">
        <v>163</v>
      </c>
      <c r="G14" s="65" t="s">
        <v>163</v>
      </c>
      <c r="H14" s="67"/>
      <c r="I14" s="65" t="s">
        <v>163</v>
      </c>
      <c r="J14" s="62">
        <f>IF(C14="X",$C$7,0)+IF(D14="X",$D$7,0)+IF(E14="X",$E$7,0)+IF(F14="X",$F$7,0)+IF(G14="X",$G$7,0)+IF(H14="X",$H$7,0)+IF(I14="X",$I$7,0)</f>
        <v>40</v>
      </c>
      <c r="K14" s="52"/>
      <c r="L14" s="69">
        <v>2.0</v>
      </c>
      <c r="M14" s="52">
        <f t="shared" si="1"/>
        <v>2</v>
      </c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</row>
    <row r="15" ht="15.75" customHeight="1">
      <c r="A15" s="36"/>
      <c r="B15" s="36"/>
      <c r="C15" s="36"/>
      <c r="D15" s="36"/>
      <c r="E15" s="36"/>
      <c r="F15" s="36"/>
      <c r="G15" s="36"/>
      <c r="H15" s="36"/>
      <c r="I15" s="70" t="s">
        <v>175</v>
      </c>
      <c r="J15" s="71">
        <f>SUM(J9:J14)</f>
        <v>100</v>
      </c>
      <c r="K15" s="36"/>
      <c r="L15" s="39" t="s">
        <v>176</v>
      </c>
      <c r="M15" s="36">
        <f>sum(M9:M14)</f>
        <v>2</v>
      </c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</row>
    <row r="16" ht="15.75" customHeight="1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</row>
    <row r="17" ht="15.75" customHeight="1">
      <c r="A17" s="72" t="s">
        <v>177</v>
      </c>
      <c r="B17" s="36"/>
      <c r="C17" s="36"/>
      <c r="D17" s="36"/>
      <c r="E17" s="36"/>
      <c r="F17" s="36"/>
      <c r="G17" s="36"/>
      <c r="H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</row>
    <row r="18" ht="15.75" customHeight="1">
      <c r="A18" s="72" t="s">
        <v>180</v>
      </c>
      <c r="B18" s="36"/>
      <c r="C18" s="36"/>
      <c r="D18" s="36"/>
      <c r="E18" s="36"/>
      <c r="F18" s="36"/>
      <c r="G18" s="36"/>
      <c r="H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</row>
    <row r="19" ht="15.75" customHeight="1">
      <c r="A19" s="72" t="s">
        <v>179</v>
      </c>
      <c r="B19" s="36"/>
      <c r="C19" s="36"/>
      <c r="D19" s="36"/>
      <c r="E19" s="36"/>
      <c r="F19" s="36"/>
      <c r="G19" s="36"/>
      <c r="H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</row>
    <row r="20" ht="15.75" customHeigh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</row>
    <row r="21" ht="15.75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</row>
    <row r="22" ht="15.75" customHeight="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</row>
    <row r="23" ht="15.75" customHeight="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</row>
    <row r="24" ht="15.75" customHeight="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</row>
    <row r="25" ht="15.75" customHeight="1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</row>
    <row r="26" ht="15.75" customHeight="1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</row>
    <row r="27" ht="15.75" customHeight="1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</row>
    <row r="28" ht="15.75" customHeight="1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</row>
    <row r="29" ht="15.75" customHeight="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</row>
    <row r="30" ht="15.75" customHeight="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</row>
    <row r="31" ht="15.75" customHeight="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</row>
    <row r="32" ht="15.75" customHeight="1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</row>
    <row r="33" ht="15.7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</row>
    <row r="34" ht="15.7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</row>
    <row r="35" ht="15.7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</row>
    <row r="36" ht="15.7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</row>
    <row r="37" ht="15.7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</row>
    <row r="38" ht="15.75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</row>
    <row r="39" ht="15.75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</row>
    <row r="40" ht="15.75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63"/>
    <col customWidth="1" min="2" max="2" width="46.13"/>
    <col customWidth="1" min="3" max="3" width="7.5"/>
    <col customWidth="1" min="4" max="4" width="7.0"/>
    <col customWidth="1" min="5" max="5" width="8.25"/>
    <col customWidth="1" min="6" max="6" width="7.88"/>
    <col customWidth="1" min="7" max="7" width="6.75"/>
    <col customWidth="1" min="8" max="8" width="5.25"/>
    <col customWidth="1" min="9" max="9" width="6.0"/>
    <col customWidth="1" min="10" max="10" width="8.25"/>
    <col customWidth="1" min="11" max="11" width="10.13"/>
    <col customWidth="1" min="14" max="14" width="17.0"/>
  </cols>
  <sheetData>
    <row r="1" ht="15.75" customHeight="1">
      <c r="A1" s="34" t="s">
        <v>150</v>
      </c>
      <c r="B1" s="75" t="s">
        <v>181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ht="15.75" customHeight="1">
      <c r="A2" s="34" t="s">
        <v>33</v>
      </c>
      <c r="B2" s="73">
        <v>3.0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</row>
    <row r="3" ht="32.25" customHeight="1">
      <c r="A3" s="76" t="s">
        <v>32</v>
      </c>
      <c r="B3" s="38" t="str">
        <f>'Base del Diseño Curricular'!B16</f>
        <v>Herramientas y Técnicas para la Modelación y Simulación en Simio</v>
      </c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</row>
    <row r="4" ht="15.75" customHeight="1">
      <c r="A4" s="34" t="s">
        <v>34</v>
      </c>
      <c r="B4" s="39" t="str">
        <f>'Base del Diseño Curricular'!D16</f>
        <v>Distribuciones de probabilidad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</row>
    <row r="5" ht="15.75" customHeight="1">
      <c r="A5" s="36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</row>
    <row r="6" ht="15.75" customHeight="1">
      <c r="A6" s="77" t="s">
        <v>35</v>
      </c>
      <c r="B6" s="55" t="s">
        <v>154</v>
      </c>
      <c r="C6" s="44" t="s">
        <v>155</v>
      </c>
      <c r="D6" s="45"/>
      <c r="E6" s="43" t="s">
        <v>156</v>
      </c>
      <c r="F6" s="43" t="s">
        <v>157</v>
      </c>
      <c r="G6" s="44" t="s">
        <v>158</v>
      </c>
      <c r="H6" s="45"/>
      <c r="I6" s="44" t="s">
        <v>159</v>
      </c>
      <c r="J6" s="45"/>
      <c r="K6" s="42" t="s">
        <v>160</v>
      </c>
      <c r="L6" s="56" t="s">
        <v>158</v>
      </c>
      <c r="M6" s="56" t="s">
        <v>159</v>
      </c>
      <c r="N6" s="57" t="s">
        <v>171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</row>
    <row r="7" ht="15.75" customHeight="1">
      <c r="A7" s="46"/>
      <c r="B7" s="55" t="s">
        <v>172</v>
      </c>
      <c r="C7" s="74">
        <v>10.0</v>
      </c>
      <c r="D7" s="74">
        <v>5.0</v>
      </c>
      <c r="E7" s="74">
        <v>5.0</v>
      </c>
      <c r="F7" s="74">
        <v>10.0</v>
      </c>
      <c r="G7" s="74">
        <v>30.0</v>
      </c>
      <c r="H7" s="48">
        <v>5.0</v>
      </c>
      <c r="I7" s="48">
        <v>5.0</v>
      </c>
      <c r="J7" s="74">
        <v>10.0</v>
      </c>
      <c r="K7" s="46"/>
      <c r="L7" s="58" t="s">
        <v>173</v>
      </c>
      <c r="M7" s="58" t="s">
        <v>173</v>
      </c>
      <c r="N7" s="17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</row>
    <row r="8" ht="15.75" customHeight="1">
      <c r="A8" s="49"/>
      <c r="B8" s="40" t="s">
        <v>36</v>
      </c>
      <c r="C8" s="49"/>
      <c r="D8" s="49"/>
      <c r="E8" s="49"/>
      <c r="F8" s="49"/>
      <c r="G8" s="49"/>
      <c r="H8" s="49"/>
      <c r="I8" s="49"/>
      <c r="J8" s="49"/>
      <c r="K8" s="49"/>
      <c r="L8" s="19"/>
      <c r="M8" s="19"/>
      <c r="N8" s="19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>
      <c r="A9" s="50">
        <v>1.0</v>
      </c>
      <c r="B9" s="59" t="str">
        <f>'Base del Diseño Curricular'!F16</f>
        <v>¿Qué son las distribuciones de probabilidad?</v>
      </c>
      <c r="C9" s="60" t="s">
        <v>163</v>
      </c>
      <c r="D9" s="60"/>
      <c r="E9" s="60" t="s">
        <v>163</v>
      </c>
      <c r="F9" s="60"/>
      <c r="G9" s="60"/>
      <c r="H9" s="61"/>
      <c r="I9" s="61"/>
      <c r="J9" s="60" t="s">
        <v>163</v>
      </c>
      <c r="K9" s="62">
        <f t="shared" ref="K9:K15" si="1">if(C9="X",$C$7,0)+if(E9="X",$E$7,0)+if(D9="X",$D$7,0)+if(F9="X",$F$7,0)+if(G9="X",$G$7,0)+if(H9="X",$H$7,0)+if(I9="X",$I$7,0)+if(J9="X",$J$7,0)</f>
        <v>25</v>
      </c>
      <c r="L9" s="63"/>
      <c r="M9" s="69">
        <v>2.0</v>
      </c>
      <c r="N9" s="52">
        <f t="shared" ref="N9:N14" si="2">sum(L9:M9)</f>
        <v>2</v>
      </c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</row>
    <row r="10" ht="15.75" customHeight="1">
      <c r="A10" s="52">
        <v>2.0</v>
      </c>
      <c r="B10" s="59" t="str">
        <f>'Base del Diseño Curricular'!F17</f>
        <v>Para qué nos sirven</v>
      </c>
      <c r="C10" s="64"/>
      <c r="D10" s="64" t="s">
        <v>163</v>
      </c>
      <c r="E10" s="64"/>
      <c r="F10" s="64"/>
      <c r="G10" s="65"/>
      <c r="H10" s="65"/>
      <c r="I10" s="65"/>
      <c r="J10" s="65"/>
      <c r="K10" s="62">
        <f t="shared" si="1"/>
        <v>5</v>
      </c>
      <c r="L10" s="52"/>
      <c r="M10" s="52"/>
      <c r="N10" s="52">
        <f t="shared" si="2"/>
        <v>0</v>
      </c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</row>
    <row r="11" ht="15.75" customHeight="1">
      <c r="A11" s="52">
        <v>3.0</v>
      </c>
      <c r="B11" s="59" t="str">
        <f>'Base del Diseño Curricular'!F18</f>
        <v>Aplicaciones de la distribuciones</v>
      </c>
      <c r="C11" s="64"/>
      <c r="D11" s="64" t="s">
        <v>163</v>
      </c>
      <c r="E11" s="66"/>
      <c r="F11" s="64"/>
      <c r="G11" s="67"/>
      <c r="H11" s="67"/>
      <c r="I11" s="67"/>
      <c r="J11" s="67"/>
      <c r="K11" s="62">
        <f t="shared" si="1"/>
        <v>5</v>
      </c>
      <c r="L11" s="52"/>
      <c r="M11" s="52"/>
      <c r="N11" s="52">
        <f t="shared" si="2"/>
        <v>0</v>
      </c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</row>
    <row r="12" ht="15.75" customHeight="1">
      <c r="A12" s="52">
        <v>4.0</v>
      </c>
      <c r="B12" s="59" t="str">
        <f>'Base del Diseño Curricular'!F19</f>
        <v>Relación de las distribuciones con Simio</v>
      </c>
      <c r="C12" s="64"/>
      <c r="D12" s="64" t="s">
        <v>163</v>
      </c>
      <c r="E12" s="66"/>
      <c r="F12" s="64"/>
      <c r="G12" s="67"/>
      <c r="H12" s="67"/>
      <c r="I12" s="67"/>
      <c r="J12" s="67"/>
      <c r="K12" s="62">
        <f t="shared" si="1"/>
        <v>5</v>
      </c>
      <c r="L12" s="52"/>
      <c r="M12" s="52"/>
      <c r="N12" s="52">
        <f t="shared" si="2"/>
        <v>0</v>
      </c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</row>
    <row r="13" ht="15.75" customHeight="1">
      <c r="A13" s="52">
        <v>5.0</v>
      </c>
      <c r="B13" s="59" t="str">
        <f>'Base del Diseño Curricular'!F20</f>
        <v>Análisis de datos</v>
      </c>
      <c r="C13" s="64"/>
      <c r="D13" s="64" t="s">
        <v>163</v>
      </c>
      <c r="E13" s="66"/>
      <c r="F13" s="64" t="s">
        <v>163</v>
      </c>
      <c r="G13" s="65"/>
      <c r="H13" s="65" t="s">
        <v>163</v>
      </c>
      <c r="I13" s="67"/>
      <c r="J13" s="67"/>
      <c r="K13" s="62">
        <f t="shared" si="1"/>
        <v>20</v>
      </c>
      <c r="L13" s="69">
        <v>2.0</v>
      </c>
      <c r="M13" s="69"/>
      <c r="N13" s="52">
        <f t="shared" si="2"/>
        <v>2</v>
      </c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</row>
    <row r="14" ht="15.75" customHeight="1">
      <c r="A14" s="52">
        <v>6.0</v>
      </c>
      <c r="B14" s="59" t="str">
        <f>'Base del Diseño Curricular'!F21</f>
        <v>Como ajustar una serie de datos a una distribución</v>
      </c>
      <c r="C14" s="64"/>
      <c r="D14" s="64"/>
      <c r="E14" s="66"/>
      <c r="F14" s="64" t="s">
        <v>163</v>
      </c>
      <c r="G14" s="67"/>
      <c r="H14" s="67"/>
      <c r="I14" s="67"/>
      <c r="J14" s="67"/>
      <c r="K14" s="62">
        <f t="shared" si="1"/>
        <v>10</v>
      </c>
      <c r="L14" s="52"/>
      <c r="M14" s="52"/>
      <c r="N14" s="52">
        <f t="shared" si="2"/>
        <v>0</v>
      </c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</row>
    <row r="15" ht="15.75" customHeight="1">
      <c r="A15" s="69">
        <v>7.0</v>
      </c>
      <c r="B15" s="78" t="str">
        <f>'Base del Diseño Curricular'!F22</f>
        <v>Ejemplo de ajustar una serie de datos a una distribución</v>
      </c>
      <c r="C15" s="52"/>
      <c r="D15" s="52"/>
      <c r="E15" s="52"/>
      <c r="F15" s="65"/>
      <c r="G15" s="65" t="s">
        <v>163</v>
      </c>
      <c r="H15" s="52"/>
      <c r="I15" s="52"/>
      <c r="J15" s="79"/>
      <c r="K15" s="62">
        <f t="shared" si="1"/>
        <v>30</v>
      </c>
      <c r="L15" s="52"/>
      <c r="M15" s="53"/>
      <c r="N15" s="52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</row>
    <row r="16" ht="40.5" customHeight="1">
      <c r="A16" s="36"/>
      <c r="B16" s="36"/>
      <c r="C16" s="36"/>
      <c r="D16" s="36"/>
      <c r="E16" s="36"/>
      <c r="F16" s="36"/>
      <c r="G16" s="36"/>
      <c r="H16" s="36"/>
      <c r="I16" s="36"/>
      <c r="J16" s="70" t="s">
        <v>175</v>
      </c>
      <c r="K16" s="71">
        <f>SUM(K9:K15)</f>
        <v>100</v>
      </c>
      <c r="L16" s="36"/>
      <c r="M16" s="39" t="s">
        <v>176</v>
      </c>
      <c r="N16" s="36">
        <f>sum(N9:N14)</f>
        <v>4</v>
      </c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</row>
    <row r="17" ht="15.75" customHeight="1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</row>
    <row r="18" ht="15.75" customHeight="1">
      <c r="A18" s="72" t="s">
        <v>177</v>
      </c>
      <c r="B18" s="36"/>
      <c r="C18" s="36"/>
      <c r="D18" s="36"/>
      <c r="E18" s="36"/>
      <c r="F18" s="36"/>
      <c r="G18" s="36"/>
      <c r="H18" s="36"/>
      <c r="I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</row>
    <row r="19" ht="15.75" customHeight="1">
      <c r="A19" s="72" t="s">
        <v>182</v>
      </c>
      <c r="B19" s="36"/>
      <c r="C19" s="36"/>
      <c r="D19" s="36"/>
      <c r="E19" s="36"/>
      <c r="F19" s="36"/>
      <c r="G19" s="36"/>
      <c r="H19" s="36"/>
      <c r="I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</row>
    <row r="20" ht="15.75" customHeight="1">
      <c r="A20" s="72" t="s">
        <v>179</v>
      </c>
      <c r="B20" s="36"/>
      <c r="C20" s="36"/>
      <c r="D20" s="36"/>
      <c r="E20" s="36"/>
      <c r="F20" s="36"/>
      <c r="G20" s="36"/>
      <c r="H20" s="36"/>
      <c r="I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</row>
    <row r="21" ht="15.75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</row>
    <row r="22" ht="15.75" customHeight="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</row>
    <row r="23" ht="15.75" customHeight="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</row>
    <row r="24" ht="15.75" customHeight="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</row>
    <row r="25" ht="15.75" customHeight="1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</row>
    <row r="26" ht="15.75" customHeight="1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</row>
    <row r="27" ht="15.75" customHeight="1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</row>
    <row r="28" ht="15.75" customHeight="1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</row>
    <row r="29" ht="15.75" customHeight="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</row>
    <row r="30" ht="15.75" customHeight="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</row>
    <row r="31" ht="15.75" customHeight="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</row>
    <row r="32" ht="15.75" customHeight="1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</row>
    <row r="33" ht="15.7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</row>
    <row r="34" ht="15.7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</row>
    <row r="35" ht="15.7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</row>
    <row r="36" ht="15.7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</row>
    <row r="37" ht="15.7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</row>
    <row r="38" ht="15.75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</row>
    <row r="39" ht="15.75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</row>
    <row r="40" ht="15.75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6">
    <mergeCell ref="D7:D8"/>
    <mergeCell ref="E7:E8"/>
    <mergeCell ref="F7:F8"/>
    <mergeCell ref="G7:G8"/>
    <mergeCell ref="H7:H8"/>
    <mergeCell ref="I7:I8"/>
    <mergeCell ref="K6:K8"/>
    <mergeCell ref="L7:L8"/>
    <mergeCell ref="A6:A8"/>
    <mergeCell ref="C6:D6"/>
    <mergeCell ref="G6:H6"/>
    <mergeCell ref="I6:J6"/>
    <mergeCell ref="N6:N8"/>
    <mergeCell ref="C7:C8"/>
    <mergeCell ref="J7:J8"/>
    <mergeCell ref="M7:M8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88"/>
    <col customWidth="1" min="2" max="2" width="31.13"/>
    <col customWidth="1" min="3" max="3" width="7.88"/>
    <col customWidth="1" min="4" max="4" width="8.5"/>
    <col customWidth="1" min="5" max="5" width="8.13"/>
    <col customWidth="1" min="6" max="6" width="7.88"/>
    <col customWidth="1" min="7" max="7" width="6.13"/>
    <col customWidth="1" min="8" max="8" width="5.25"/>
    <col customWidth="1" min="9" max="9" width="6.63"/>
    <col customWidth="1" min="10" max="10" width="8.88"/>
    <col customWidth="1" min="11" max="11" width="10.38"/>
    <col customWidth="1" min="14" max="14" width="17.0"/>
  </cols>
  <sheetData>
    <row r="1" ht="15.75" customHeight="1">
      <c r="A1" s="34" t="s">
        <v>150</v>
      </c>
      <c r="B1" s="75" t="s">
        <v>181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ht="15.75" customHeight="1">
      <c r="A2" s="34" t="s">
        <v>33</v>
      </c>
      <c r="B2" s="73">
        <v>4.0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</row>
    <row r="3" ht="32.25" customHeight="1">
      <c r="A3" s="76" t="s">
        <v>32</v>
      </c>
      <c r="B3" s="38" t="str">
        <f>'Base del Diseño Curricular'!B16</f>
        <v>Herramientas y Técnicas para la Modelación y Simulación en Simio</v>
      </c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</row>
    <row r="4" ht="15.75" customHeight="1">
      <c r="A4" s="34" t="s">
        <v>34</v>
      </c>
      <c r="B4" s="39" t="str">
        <f>'Base del Diseño Curricular'!D23</f>
        <v>Modelos basados en datos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</row>
    <row r="5" ht="15.75" customHeight="1">
      <c r="A5" s="36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</row>
    <row r="6" ht="15.75" customHeight="1">
      <c r="A6" s="77" t="s">
        <v>35</v>
      </c>
      <c r="B6" s="55" t="s">
        <v>154</v>
      </c>
      <c r="C6" s="44" t="s">
        <v>155</v>
      </c>
      <c r="D6" s="45"/>
      <c r="E6" s="43" t="s">
        <v>156</v>
      </c>
      <c r="F6" s="43" t="s">
        <v>157</v>
      </c>
      <c r="G6" s="44" t="s">
        <v>158</v>
      </c>
      <c r="H6" s="45"/>
      <c r="I6" s="44" t="s">
        <v>159</v>
      </c>
      <c r="J6" s="45"/>
      <c r="K6" s="42" t="s">
        <v>160</v>
      </c>
      <c r="L6" s="56" t="s">
        <v>158</v>
      </c>
      <c r="M6" s="56" t="s">
        <v>159</v>
      </c>
      <c r="N6" s="57" t="s">
        <v>171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</row>
    <row r="7" ht="15.75" customHeight="1">
      <c r="A7" s="46"/>
      <c r="B7" s="55" t="s">
        <v>172</v>
      </c>
      <c r="C7" s="74">
        <v>10.0</v>
      </c>
      <c r="D7" s="74">
        <v>5.0</v>
      </c>
      <c r="E7" s="48">
        <v>10.0</v>
      </c>
      <c r="F7" s="74">
        <v>10.0</v>
      </c>
      <c r="G7" s="48">
        <v>15.0</v>
      </c>
      <c r="H7" s="48">
        <v>5.0</v>
      </c>
      <c r="I7" s="48">
        <v>5.0</v>
      </c>
      <c r="J7" s="48">
        <v>15.0</v>
      </c>
      <c r="K7" s="46"/>
      <c r="L7" s="58" t="s">
        <v>173</v>
      </c>
      <c r="M7" s="58" t="s">
        <v>173</v>
      </c>
      <c r="N7" s="17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</row>
    <row r="8" ht="15.75" customHeight="1">
      <c r="A8" s="49"/>
      <c r="B8" s="40" t="s">
        <v>36</v>
      </c>
      <c r="C8" s="49"/>
      <c r="D8" s="49"/>
      <c r="E8" s="49"/>
      <c r="F8" s="49"/>
      <c r="G8" s="49"/>
      <c r="H8" s="49"/>
      <c r="I8" s="49"/>
      <c r="J8" s="49"/>
      <c r="K8" s="49"/>
      <c r="L8" s="19"/>
      <c r="M8" s="19"/>
      <c r="N8" s="19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>
      <c r="A9" s="50">
        <v>1.0</v>
      </c>
      <c r="B9" s="59" t="str">
        <f>'Base del Diseño Curricular'!F23</f>
        <v>Explicación y uso de data tables</v>
      </c>
      <c r="C9" s="60" t="s">
        <v>163</v>
      </c>
      <c r="D9" s="60"/>
      <c r="E9" s="61"/>
      <c r="F9" s="60"/>
      <c r="G9" s="60" t="s">
        <v>163</v>
      </c>
      <c r="H9" s="61"/>
      <c r="I9" s="61"/>
      <c r="J9" s="61"/>
      <c r="K9" s="62">
        <f t="shared" ref="K9:K15" si="1">if(C9="X",$C$7,0)+if(E9="X",$E$7,0)+if(D9="X",$D$7,0)+if(F9="X",$F$7,0)+if(G9="X",$G$7,0)+if(H9="X",$H$7,0)+if(I9="X",$I$7,0)+if(J9="X",$J$7,0)</f>
        <v>25</v>
      </c>
      <c r="L9" s="63"/>
      <c r="M9" s="52"/>
      <c r="N9" s="52">
        <f t="shared" ref="N9:N14" si="2">sum(L9:M9)</f>
        <v>0</v>
      </c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</row>
    <row r="10" ht="15.75" customHeight="1">
      <c r="A10" s="52">
        <v>2.0</v>
      </c>
      <c r="B10" s="59" t="str">
        <f>'Base del Diseño Curricular'!F24</f>
        <v>Explicación y uso de rate tables</v>
      </c>
      <c r="C10" s="64"/>
      <c r="D10" s="64" t="s">
        <v>163</v>
      </c>
      <c r="E10" s="64"/>
      <c r="F10" s="64" t="s">
        <v>163</v>
      </c>
      <c r="G10" s="65"/>
      <c r="H10" s="65"/>
      <c r="I10" s="65"/>
      <c r="J10" s="65"/>
      <c r="K10" s="62">
        <f t="shared" si="1"/>
        <v>15</v>
      </c>
      <c r="L10" s="52"/>
      <c r="M10" s="52"/>
      <c r="N10" s="52">
        <f t="shared" si="2"/>
        <v>0</v>
      </c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</row>
    <row r="11" ht="15.75" customHeight="1">
      <c r="A11" s="52">
        <v>3.0</v>
      </c>
      <c r="B11" s="59" t="str">
        <f>'Base del Diseño Curricular'!F25</f>
        <v>Explicación y uso de work schedule</v>
      </c>
      <c r="C11" s="64"/>
      <c r="D11" s="64"/>
      <c r="E11" s="64" t="s">
        <v>163</v>
      </c>
      <c r="F11" s="64"/>
      <c r="G11" s="65" t="s">
        <v>163</v>
      </c>
      <c r="H11" s="67"/>
      <c r="I11" s="67"/>
      <c r="J11" s="67"/>
      <c r="K11" s="62">
        <f t="shared" si="1"/>
        <v>25</v>
      </c>
      <c r="L11" s="52"/>
      <c r="M11" s="52"/>
      <c r="N11" s="52">
        <f t="shared" si="2"/>
        <v>0</v>
      </c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</row>
    <row r="12" ht="15.75" customHeight="1">
      <c r="A12" s="52">
        <v>4.0</v>
      </c>
      <c r="B12" s="59" t="str">
        <f>'Base del Diseño Curricular'!F26</f>
        <v>Explicación y uso de sequence tables</v>
      </c>
      <c r="C12" s="64" t="s">
        <v>163</v>
      </c>
      <c r="D12" s="64"/>
      <c r="E12" s="66"/>
      <c r="F12" s="64" t="s">
        <v>163</v>
      </c>
      <c r="G12" s="67"/>
      <c r="H12" s="67"/>
      <c r="I12" s="67"/>
      <c r="J12" s="65" t="s">
        <v>163</v>
      </c>
      <c r="K12" s="62">
        <f t="shared" si="1"/>
        <v>35</v>
      </c>
      <c r="L12" s="52"/>
      <c r="M12" s="69">
        <v>2.0</v>
      </c>
      <c r="N12" s="52">
        <f t="shared" si="2"/>
        <v>2</v>
      </c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</row>
    <row r="13" ht="15.75" customHeight="1">
      <c r="A13" s="52">
        <v>5.0</v>
      </c>
      <c r="B13" s="59"/>
      <c r="C13" s="64"/>
      <c r="D13" s="64"/>
      <c r="E13" s="66"/>
      <c r="F13" s="64"/>
      <c r="G13" s="67"/>
      <c r="H13" s="67"/>
      <c r="I13" s="67"/>
      <c r="J13" s="67"/>
      <c r="K13" s="62">
        <f t="shared" si="1"/>
        <v>0</v>
      </c>
      <c r="L13" s="52"/>
      <c r="M13" s="52"/>
      <c r="N13" s="52">
        <f t="shared" si="2"/>
        <v>0</v>
      </c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</row>
    <row r="14" ht="15.75" customHeight="1">
      <c r="A14" s="52">
        <v>6.0</v>
      </c>
      <c r="B14" s="59"/>
      <c r="C14" s="64"/>
      <c r="D14" s="66"/>
      <c r="E14" s="66"/>
      <c r="F14" s="66"/>
      <c r="G14" s="67"/>
      <c r="H14" s="67"/>
      <c r="I14" s="67"/>
      <c r="J14" s="67"/>
      <c r="K14" s="62">
        <f t="shared" si="1"/>
        <v>0</v>
      </c>
      <c r="L14" s="52"/>
      <c r="M14" s="52"/>
      <c r="N14" s="52">
        <f t="shared" si="2"/>
        <v>0</v>
      </c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</row>
    <row r="15" ht="15.75" customHeight="1">
      <c r="A15" s="69">
        <v>7.0</v>
      </c>
      <c r="B15" s="78"/>
      <c r="C15" s="52"/>
      <c r="D15" s="52"/>
      <c r="E15" s="52"/>
      <c r="F15" s="52"/>
      <c r="G15" s="52"/>
      <c r="H15" s="52"/>
      <c r="I15" s="52"/>
      <c r="J15" s="79"/>
      <c r="K15" s="62">
        <f t="shared" si="1"/>
        <v>0</v>
      </c>
      <c r="L15" s="52"/>
      <c r="M15" s="53"/>
      <c r="N15" s="52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</row>
    <row r="16" ht="27.0" customHeight="1">
      <c r="A16" s="36"/>
      <c r="B16" s="36"/>
      <c r="C16" s="36"/>
      <c r="D16" s="36"/>
      <c r="E16" s="36"/>
      <c r="F16" s="36"/>
      <c r="G16" s="36"/>
      <c r="H16" s="36"/>
      <c r="I16" s="36"/>
      <c r="J16" s="70" t="s">
        <v>175</v>
      </c>
      <c r="K16" s="71">
        <f>SUM(K9:K15)</f>
        <v>100</v>
      </c>
      <c r="L16" s="36"/>
      <c r="M16" s="39" t="s">
        <v>176</v>
      </c>
      <c r="N16" s="36">
        <f>sum(N9:N14)</f>
        <v>2</v>
      </c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</row>
    <row r="17" ht="15.75" customHeight="1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</row>
    <row r="18" ht="15.75" customHeight="1">
      <c r="A18" s="72" t="s">
        <v>177</v>
      </c>
      <c r="B18" s="36"/>
      <c r="C18" s="36"/>
      <c r="D18" s="36"/>
      <c r="E18" s="36"/>
      <c r="F18" s="36"/>
      <c r="G18" s="36"/>
      <c r="H18" s="36"/>
      <c r="I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</row>
    <row r="19" ht="15.75" customHeight="1">
      <c r="A19" s="72" t="s">
        <v>183</v>
      </c>
      <c r="B19" s="36"/>
      <c r="C19" s="36"/>
      <c r="D19" s="36"/>
      <c r="E19" s="36"/>
      <c r="F19" s="36"/>
      <c r="G19" s="36"/>
      <c r="H19" s="36"/>
      <c r="I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</row>
    <row r="20" ht="15.75" customHeight="1">
      <c r="A20" s="72" t="s">
        <v>179</v>
      </c>
      <c r="B20" s="36"/>
      <c r="C20" s="36"/>
      <c r="D20" s="36"/>
      <c r="E20" s="36"/>
      <c r="F20" s="36"/>
      <c r="G20" s="36"/>
      <c r="H20" s="36"/>
      <c r="I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</row>
    <row r="21" ht="15.75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</row>
    <row r="22" ht="15.75" customHeight="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</row>
    <row r="23" ht="15.75" customHeight="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</row>
    <row r="24" ht="15.75" customHeight="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</row>
    <row r="25" ht="15.75" customHeight="1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</row>
    <row r="26" ht="15.75" customHeight="1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</row>
    <row r="27" ht="15.75" customHeight="1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</row>
    <row r="28" ht="15.75" customHeight="1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</row>
    <row r="29" ht="15.75" customHeight="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</row>
    <row r="30" ht="15.75" customHeight="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</row>
    <row r="31" ht="15.75" customHeight="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</row>
    <row r="32" ht="15.75" customHeight="1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</row>
    <row r="33" ht="15.7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</row>
    <row r="34" ht="15.7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</row>
    <row r="35" ht="15.7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</row>
    <row r="36" ht="15.7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</row>
    <row r="37" ht="15.7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</row>
    <row r="38" ht="15.75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</row>
    <row r="39" ht="15.75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</row>
    <row r="40" ht="15.75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6">
    <mergeCell ref="D7:D8"/>
    <mergeCell ref="E7:E8"/>
    <mergeCell ref="F7:F8"/>
    <mergeCell ref="G7:G8"/>
    <mergeCell ref="H7:H8"/>
    <mergeCell ref="I7:I8"/>
    <mergeCell ref="K6:K8"/>
    <mergeCell ref="L7:L8"/>
    <mergeCell ref="A6:A8"/>
    <mergeCell ref="C6:D6"/>
    <mergeCell ref="G6:H6"/>
    <mergeCell ref="I6:J6"/>
    <mergeCell ref="N6:N8"/>
    <mergeCell ref="C7:C8"/>
    <mergeCell ref="J7:J8"/>
    <mergeCell ref="M7:M8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34" t="s">
        <v>150</v>
      </c>
      <c r="B1" s="75" t="s">
        <v>181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</row>
    <row r="2" ht="15.75" customHeight="1">
      <c r="A2" s="34" t="s">
        <v>33</v>
      </c>
      <c r="B2" s="73">
        <v>5.0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</row>
    <row r="3" ht="15.75" customHeight="1">
      <c r="A3" s="34" t="s">
        <v>32</v>
      </c>
      <c r="B3" s="38" t="str">
        <f>'Base del Diseño Curricular'!B16</f>
        <v>Herramientas y Técnicas para la Modelación y Simulación en Simio</v>
      </c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</row>
    <row r="4" ht="15.75" customHeight="1">
      <c r="A4" s="34" t="s">
        <v>34</v>
      </c>
      <c r="B4" s="39" t="str">
        <f>'Base del Diseño Curricular'!D30</f>
        <v>Utilización de gráficas, listas y colas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</row>
    <row r="5" ht="15.75" customHeight="1">
      <c r="A5" s="36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</row>
    <row r="6" ht="15.75" customHeight="1">
      <c r="A6" s="40" t="s">
        <v>35</v>
      </c>
      <c r="B6" s="55" t="s">
        <v>154</v>
      </c>
      <c r="C6" s="43" t="s">
        <v>155</v>
      </c>
      <c r="D6" s="43" t="s">
        <v>156</v>
      </c>
      <c r="E6" s="43" t="s">
        <v>157</v>
      </c>
      <c r="F6" s="44" t="s">
        <v>158</v>
      </c>
      <c r="G6" s="45"/>
      <c r="H6" s="44" t="s">
        <v>159</v>
      </c>
      <c r="I6" s="45"/>
      <c r="J6" s="42" t="s">
        <v>160</v>
      </c>
      <c r="K6" s="56" t="s">
        <v>158</v>
      </c>
      <c r="L6" s="56" t="s">
        <v>159</v>
      </c>
      <c r="M6" s="57" t="s">
        <v>171</v>
      </c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</row>
    <row r="7" ht="15.75" customHeight="1">
      <c r="A7" s="46"/>
      <c r="B7" s="55" t="s">
        <v>172</v>
      </c>
      <c r="C7" s="48">
        <v>15.0</v>
      </c>
      <c r="D7" s="48">
        <v>10.0</v>
      </c>
      <c r="E7" s="48">
        <v>10.0</v>
      </c>
      <c r="F7" s="48">
        <v>15.0</v>
      </c>
      <c r="G7" s="48">
        <v>5.0</v>
      </c>
      <c r="H7" s="48">
        <v>5.0</v>
      </c>
      <c r="I7" s="48">
        <v>15.0</v>
      </c>
      <c r="J7" s="46"/>
      <c r="K7" s="58" t="s">
        <v>173</v>
      </c>
      <c r="L7" s="58" t="s">
        <v>173</v>
      </c>
      <c r="M7" s="17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</row>
    <row r="8" ht="15.75" customHeight="1">
      <c r="A8" s="49"/>
      <c r="B8" s="40" t="s">
        <v>36</v>
      </c>
      <c r="C8" s="49"/>
      <c r="D8" s="49"/>
      <c r="E8" s="49"/>
      <c r="F8" s="49"/>
      <c r="G8" s="49"/>
      <c r="H8" s="49"/>
      <c r="I8" s="49"/>
      <c r="J8" s="49"/>
      <c r="K8" s="19"/>
      <c r="L8" s="19"/>
      <c r="M8" s="19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</row>
    <row r="9">
      <c r="A9" s="50">
        <v>1.0</v>
      </c>
      <c r="B9" s="59" t="str">
        <f>'Base del Diseño Curricular'!F30</f>
        <v>Explicación de las graficas de Simio</v>
      </c>
      <c r="C9" s="60" t="s">
        <v>163</v>
      </c>
      <c r="D9" s="61"/>
      <c r="E9" s="60"/>
      <c r="F9" s="60"/>
      <c r="G9" s="61"/>
      <c r="H9" s="61"/>
      <c r="I9" s="61"/>
      <c r="J9" s="62">
        <f>if(C9="X",$C$7,0)+if(D9="X",$D$7,0)+if(E9="X",$E$7,0)+if(F9="X",$F$7,0)+if(G9="X",$G$7,0)+if(H9="X",$H$7,0)+if(I9="X",$I$7,0)</f>
        <v>15</v>
      </c>
      <c r="K9" s="63"/>
      <c r="L9" s="52"/>
      <c r="M9" s="52">
        <f t="shared" ref="M9:M14" si="1">sum(K9:L9)</f>
        <v>0</v>
      </c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</row>
    <row r="10" ht="15.75" customHeight="1">
      <c r="A10" s="52">
        <v>2.0</v>
      </c>
      <c r="B10" s="59" t="str">
        <f>'Base del Diseño Curricular'!F31</f>
        <v>Definición y creación de listas en Simio</v>
      </c>
      <c r="C10" s="64" t="s">
        <v>163</v>
      </c>
      <c r="D10" s="64"/>
      <c r="E10" s="64"/>
      <c r="F10" s="65" t="s">
        <v>166</v>
      </c>
      <c r="G10" s="65"/>
      <c r="H10" s="65"/>
      <c r="I10" s="65"/>
      <c r="J10" s="62">
        <f>IF(C10="X",$C$7,0)+IF(D10="X",$D$7,0)+IF(E10="X",$E$7,0)+IF(F10="X",$F$7,0)+IF(G10="X",$G$7,0)+IF(H10="X",$H$7,0)+IF(I10="X",$I$7,0)</f>
        <v>30</v>
      </c>
      <c r="K10" s="52"/>
      <c r="L10" s="52"/>
      <c r="M10" s="52">
        <f t="shared" si="1"/>
        <v>0</v>
      </c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</row>
    <row r="11" ht="15.75" customHeight="1">
      <c r="A11" s="52">
        <v>3.0</v>
      </c>
      <c r="B11" s="59" t="str">
        <f>'Base del Diseño Curricular'!F32</f>
        <v>Teoría de colas</v>
      </c>
      <c r="C11" s="64"/>
      <c r="D11" s="66"/>
      <c r="E11" s="64" t="s">
        <v>163</v>
      </c>
      <c r="F11" s="67"/>
      <c r="G11" s="67"/>
      <c r="H11" s="67"/>
      <c r="I11" s="65" t="s">
        <v>163</v>
      </c>
      <c r="J11" s="62">
        <f>if(C11="X",$C$7,0)+if(D11="X",$D$7,0)+if(E11="X",$E$7,0)+if(F11="X",$F$7,0)+if(G11="X",$G$7,0)+if(H11="X",$H$7,0)+if(I11="X",$I$7,0)</f>
        <v>25</v>
      </c>
      <c r="K11" s="52"/>
      <c r="L11" s="69">
        <v>2.0</v>
      </c>
      <c r="M11" s="52">
        <f t="shared" si="1"/>
        <v>2</v>
      </c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</row>
    <row r="12" ht="15.75" customHeight="1">
      <c r="A12" s="52">
        <v>4.0</v>
      </c>
      <c r="B12" s="59" t="str">
        <f>'Base del Diseño Curricular'!F33</f>
        <v>Aplicación de colas</v>
      </c>
      <c r="C12" s="64"/>
      <c r="D12" s="64" t="s">
        <v>163</v>
      </c>
      <c r="E12" s="64"/>
      <c r="F12" s="65" t="s">
        <v>166</v>
      </c>
      <c r="G12" s="65" t="s">
        <v>163</v>
      </c>
      <c r="H12" s="65"/>
      <c r="I12" s="65"/>
      <c r="J12" s="62">
        <f>IF(C12="X",$C$7,0)+IF(D12="X",$D$7,0)+IF(E12="X",$E$7,0)+IF(F12="X",$F$7,0)+IF(G12="X",$G$7,0)+IF(H12="X",$H$7,0)+IF(I12="X",$I$7,0)</f>
        <v>30</v>
      </c>
      <c r="K12" s="52"/>
      <c r="L12" s="52"/>
      <c r="M12" s="52">
        <f t="shared" si="1"/>
        <v>0</v>
      </c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</row>
    <row r="13" ht="15.75" customHeight="1">
      <c r="A13" s="52">
        <v>5.0</v>
      </c>
      <c r="B13" s="59" t="str">
        <f>'Base del Diseño Curricular'!F34</f>
        <v/>
      </c>
      <c r="C13" s="64"/>
      <c r="D13" s="66"/>
      <c r="E13" s="64"/>
      <c r="F13" s="67"/>
      <c r="G13" s="67"/>
      <c r="H13" s="67"/>
      <c r="I13" s="67"/>
      <c r="J13" s="62">
        <f>if(C13="X",$C$7,0)+if(D13="X",$D$7,0)+if(E13="X",$E$7,0)+if(F13="X",$F$7,0)+if(G13="X",$G$7,0)+if(H13="X",$H$7,0)+if(I13="X",$I$7,0)</f>
        <v>0</v>
      </c>
      <c r="K13" s="52"/>
      <c r="L13" s="52"/>
      <c r="M13" s="52">
        <f t="shared" si="1"/>
        <v>0</v>
      </c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</row>
    <row r="14" ht="15.75" customHeight="1">
      <c r="A14" s="52">
        <v>6.0</v>
      </c>
      <c r="B14" s="59" t="str">
        <f>'Base del Diseño Curricular'!F35</f>
        <v/>
      </c>
      <c r="C14" s="66"/>
      <c r="D14" s="66"/>
      <c r="E14" s="66"/>
      <c r="F14" s="67"/>
      <c r="G14" s="67"/>
      <c r="H14" s="67"/>
      <c r="I14" s="67"/>
      <c r="J14" s="62">
        <f>IF(C14="X",$C$7,0)+IF(D14="X",$D$7,0)+IF(E14="X",$E$7,0)+IF(F14="X",$F$7,0)+IF(G14="X",$G$7,0)+IF(H14="X",$H$7,0)+IF(I14="X",$I$7,0)</f>
        <v>0</v>
      </c>
      <c r="K14" s="52"/>
      <c r="L14" s="52"/>
      <c r="M14" s="52">
        <f t="shared" si="1"/>
        <v>0</v>
      </c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</row>
    <row r="15" ht="15.75" customHeight="1">
      <c r="A15" s="36"/>
      <c r="B15" s="36"/>
      <c r="C15" s="36"/>
      <c r="D15" s="36"/>
      <c r="E15" s="36"/>
      <c r="F15" s="36"/>
      <c r="G15" s="36"/>
      <c r="H15" s="36"/>
      <c r="I15" s="70" t="s">
        <v>175</v>
      </c>
      <c r="J15" s="71">
        <f>SUM(J9:J14)</f>
        <v>100</v>
      </c>
      <c r="K15" s="36"/>
      <c r="L15" s="39" t="s">
        <v>176</v>
      </c>
      <c r="M15" s="36">
        <f>sum(M9:M14)</f>
        <v>2</v>
      </c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</row>
    <row r="16" ht="15.75" customHeight="1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</row>
    <row r="17" ht="15.75" customHeight="1">
      <c r="A17" s="72" t="s">
        <v>177</v>
      </c>
      <c r="B17" s="36"/>
      <c r="C17" s="36"/>
      <c r="D17" s="36"/>
      <c r="E17" s="36"/>
      <c r="F17" s="36"/>
      <c r="G17" s="36"/>
      <c r="H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</row>
    <row r="18" ht="15.75" customHeight="1">
      <c r="A18" s="72" t="s">
        <v>184</v>
      </c>
      <c r="B18" s="36"/>
      <c r="C18" s="36"/>
      <c r="D18" s="36"/>
      <c r="E18" s="36"/>
      <c r="F18" s="36"/>
      <c r="G18" s="36"/>
      <c r="H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</row>
    <row r="19" ht="15.75" customHeight="1">
      <c r="A19" s="72" t="s">
        <v>179</v>
      </c>
      <c r="B19" s="36"/>
      <c r="C19" s="36"/>
      <c r="D19" s="36"/>
      <c r="E19" s="36"/>
      <c r="F19" s="36"/>
      <c r="G19" s="36"/>
      <c r="H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</row>
    <row r="20" ht="15.75" customHeigh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</row>
    <row r="21" ht="15.75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</row>
    <row r="22" ht="15.75" customHeight="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</row>
    <row r="23" ht="15.75" customHeight="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</row>
    <row r="24" ht="15.75" customHeight="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</row>
    <row r="25" ht="15.75" customHeight="1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</row>
    <row r="26" ht="15.75" customHeight="1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</row>
    <row r="27" ht="15.75" customHeight="1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</row>
    <row r="28" ht="15.75" customHeight="1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</row>
    <row r="29" ht="15.75" customHeight="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</row>
    <row r="30" ht="15.75" customHeight="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</row>
    <row r="31" ht="15.75" customHeight="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</row>
    <row r="32" ht="15.75" customHeight="1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</row>
    <row r="33" ht="15.7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</row>
    <row r="34" ht="15.7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</row>
    <row r="35" ht="15.7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</row>
    <row r="36" ht="15.7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</row>
    <row r="37" ht="15.7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</row>
    <row r="38" ht="15.75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</row>
    <row r="39" ht="15.75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</row>
    <row r="40" ht="15.75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31.13"/>
    <col customWidth="1" min="3" max="3" width="8.88"/>
    <col customWidth="1" min="4" max="4" width="7.88"/>
    <col customWidth="1" min="5" max="5" width="8.63"/>
    <col customWidth="1" min="6" max="6" width="7.63"/>
    <col customWidth="1" min="7" max="7" width="5.75"/>
    <col customWidth="1" min="8" max="8" width="5.13"/>
    <col customWidth="1" min="9" max="9" width="6.13"/>
    <col customWidth="1" min="10" max="10" width="8.75"/>
    <col customWidth="1" min="14" max="14" width="17.0"/>
  </cols>
  <sheetData>
    <row r="1" ht="15.75" customHeight="1">
      <c r="A1" s="34" t="s">
        <v>150</v>
      </c>
      <c r="B1" s="75" t="s">
        <v>181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ht="15.75" customHeight="1">
      <c r="A2" s="34" t="s">
        <v>33</v>
      </c>
      <c r="B2" s="73">
        <v>6.0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</row>
    <row r="3" ht="32.25" customHeight="1">
      <c r="A3" s="76" t="s">
        <v>32</v>
      </c>
      <c r="B3" s="38" t="str">
        <f>'Base del Diseño Curricular'!B16</f>
        <v>Herramientas y Técnicas para la Modelación y Simulación en Simio</v>
      </c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</row>
    <row r="4" ht="15.75" customHeight="1">
      <c r="A4" s="34" t="s">
        <v>34</v>
      </c>
      <c r="B4" s="39" t="str">
        <f>'Base del Diseño Curricular'!D37</f>
        <v>Combiners, separadors, inventarios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</row>
    <row r="5" ht="15.75" customHeight="1">
      <c r="A5" s="36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</row>
    <row r="6" ht="15.75" customHeight="1">
      <c r="A6" s="80" t="s">
        <v>35</v>
      </c>
      <c r="B6" s="55" t="s">
        <v>154</v>
      </c>
      <c r="C6" s="44" t="s">
        <v>155</v>
      </c>
      <c r="D6" s="45"/>
      <c r="E6" s="43" t="s">
        <v>156</v>
      </c>
      <c r="F6" s="43" t="s">
        <v>157</v>
      </c>
      <c r="G6" s="44" t="s">
        <v>158</v>
      </c>
      <c r="H6" s="45"/>
      <c r="I6" s="44" t="s">
        <v>159</v>
      </c>
      <c r="J6" s="45"/>
      <c r="K6" s="42" t="s">
        <v>160</v>
      </c>
      <c r="L6" s="56" t="s">
        <v>158</v>
      </c>
      <c r="M6" s="56" t="s">
        <v>159</v>
      </c>
      <c r="N6" s="57" t="s">
        <v>171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</row>
    <row r="7" ht="15.75" customHeight="1">
      <c r="A7" s="46"/>
      <c r="B7" s="55" t="s">
        <v>172</v>
      </c>
      <c r="C7" s="74">
        <v>10.0</v>
      </c>
      <c r="D7" s="74">
        <v>5.0</v>
      </c>
      <c r="E7" s="48">
        <v>10.0</v>
      </c>
      <c r="F7" s="48">
        <v>10.0</v>
      </c>
      <c r="G7" s="48">
        <v>15.0</v>
      </c>
      <c r="H7" s="48">
        <v>5.0</v>
      </c>
      <c r="I7" s="48">
        <v>5.0</v>
      </c>
      <c r="J7" s="48">
        <v>15.0</v>
      </c>
      <c r="K7" s="46"/>
      <c r="L7" s="58" t="s">
        <v>173</v>
      </c>
      <c r="M7" s="58" t="s">
        <v>173</v>
      </c>
      <c r="N7" s="17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</row>
    <row r="8" ht="15.75" customHeight="1">
      <c r="A8" s="49"/>
      <c r="B8" s="40" t="s">
        <v>36</v>
      </c>
      <c r="C8" s="49"/>
      <c r="D8" s="49"/>
      <c r="E8" s="49"/>
      <c r="F8" s="49"/>
      <c r="G8" s="49"/>
      <c r="H8" s="49"/>
      <c r="I8" s="49"/>
      <c r="J8" s="49"/>
      <c r="K8" s="49"/>
      <c r="L8" s="19"/>
      <c r="M8" s="19"/>
      <c r="N8" s="19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>
      <c r="A9" s="50">
        <v>1.0</v>
      </c>
      <c r="B9" s="59" t="str">
        <f>'Base del Diseño Curricular'!F37</f>
        <v>Explicación y uso de Combiner</v>
      </c>
      <c r="C9" s="60"/>
      <c r="D9" s="60" t="s">
        <v>163</v>
      </c>
      <c r="E9" s="61"/>
      <c r="F9" s="60"/>
      <c r="G9" s="60"/>
      <c r="H9" s="61"/>
      <c r="I9" s="61"/>
      <c r="J9" s="61"/>
      <c r="K9" s="62">
        <f t="shared" ref="K9:K15" si="1">if(C9="X",$C$7,0)+if(E9="X",$E$7,0)+if(D9="X",$D$7,0)+if(F9="X",$F$7,0)+if(G9="X",$G$7,0)+if(H9="X",$H$7,0)+if(I9="X",$I$7,0)+if(J9="X",$J$7,0)</f>
        <v>5</v>
      </c>
      <c r="L9" s="63"/>
      <c r="M9" s="52"/>
      <c r="N9" s="52">
        <f t="shared" ref="N9:N14" si="2">sum(L9:M9)</f>
        <v>0</v>
      </c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</row>
    <row r="10" ht="15.75" customHeight="1">
      <c r="A10" s="52">
        <v>2.0</v>
      </c>
      <c r="B10" s="59" t="str">
        <f>'Base del Diseño Curricular'!F38</f>
        <v>Explicación y uso Separator</v>
      </c>
      <c r="C10" s="64"/>
      <c r="D10" s="64" t="s">
        <v>163</v>
      </c>
      <c r="E10" s="64" t="s">
        <v>163</v>
      </c>
      <c r="F10" s="64"/>
      <c r="G10" s="65" t="s">
        <v>163</v>
      </c>
      <c r="H10" s="65"/>
      <c r="I10" s="65"/>
      <c r="J10" s="65"/>
      <c r="K10" s="62">
        <f t="shared" si="1"/>
        <v>30</v>
      </c>
      <c r="L10" s="52"/>
      <c r="M10" s="52"/>
      <c r="N10" s="52">
        <f t="shared" si="2"/>
        <v>0</v>
      </c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</row>
    <row r="11" ht="15.75" customHeight="1">
      <c r="A11" s="52">
        <v>3.0</v>
      </c>
      <c r="B11" s="59" t="str">
        <f>'Base del Diseño Curricular'!F39</f>
        <v>Como manipular Inventarios en Simio</v>
      </c>
      <c r="C11" s="64"/>
      <c r="D11" s="64" t="s">
        <v>163</v>
      </c>
      <c r="E11" s="66"/>
      <c r="F11" s="64"/>
      <c r="G11" s="67"/>
      <c r="H11" s="67"/>
      <c r="I11" s="67"/>
      <c r="J11" s="67"/>
      <c r="K11" s="62">
        <f t="shared" si="1"/>
        <v>5</v>
      </c>
      <c r="L11" s="52"/>
      <c r="M11" s="52"/>
      <c r="N11" s="52">
        <f t="shared" si="2"/>
        <v>0</v>
      </c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</row>
    <row r="12" ht="15.75" customHeight="1">
      <c r="A12" s="52">
        <v>4.0</v>
      </c>
      <c r="B12" s="59" t="str">
        <f>'Base del Diseño Curricular'!F40</f>
        <v>Como aplicar un Timer en Simio</v>
      </c>
      <c r="C12" s="64"/>
      <c r="D12" s="64" t="s">
        <v>163</v>
      </c>
      <c r="E12" s="66"/>
      <c r="F12" s="64"/>
      <c r="G12" s="67"/>
      <c r="H12" s="67"/>
      <c r="I12" s="67"/>
      <c r="J12" s="67"/>
      <c r="K12" s="62">
        <f t="shared" si="1"/>
        <v>5</v>
      </c>
      <c r="L12" s="52"/>
      <c r="M12" s="52"/>
      <c r="N12" s="52">
        <f t="shared" si="2"/>
        <v>0</v>
      </c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</row>
    <row r="13" ht="15.75" customHeight="1">
      <c r="A13" s="52">
        <v>5.0</v>
      </c>
      <c r="B13" s="59" t="str">
        <f>'Base del Diseño Curricular'!F41</f>
        <v>Política mínimo y máximo</v>
      </c>
      <c r="C13" s="64"/>
      <c r="D13" s="64" t="s">
        <v>163</v>
      </c>
      <c r="E13" s="66"/>
      <c r="F13" s="64"/>
      <c r="G13" s="67"/>
      <c r="H13" s="67"/>
      <c r="I13" s="67"/>
      <c r="J13" s="67"/>
      <c r="K13" s="62">
        <f t="shared" si="1"/>
        <v>5</v>
      </c>
      <c r="L13" s="52"/>
      <c r="M13" s="52"/>
      <c r="N13" s="52">
        <f t="shared" si="2"/>
        <v>0</v>
      </c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</row>
    <row r="14" ht="15.75" customHeight="1">
      <c r="A14" s="52">
        <v>6.0</v>
      </c>
      <c r="B14" s="68" t="str">
        <f>'Base del Diseño Curricular'!F42</f>
        <v>Política de punto de reorden</v>
      </c>
      <c r="C14" s="64"/>
      <c r="D14" s="64" t="s">
        <v>163</v>
      </c>
      <c r="E14" s="66"/>
      <c r="F14" s="64" t="s">
        <v>163</v>
      </c>
      <c r="G14" s="65" t="s">
        <v>163</v>
      </c>
      <c r="H14" s="65" t="s">
        <v>163</v>
      </c>
      <c r="I14" s="67"/>
      <c r="J14" s="65" t="s">
        <v>163</v>
      </c>
      <c r="K14" s="62">
        <f t="shared" si="1"/>
        <v>50</v>
      </c>
      <c r="L14" s="52"/>
      <c r="M14" s="69">
        <v>2.0</v>
      </c>
      <c r="N14" s="52">
        <f t="shared" si="2"/>
        <v>2</v>
      </c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</row>
    <row r="15" ht="15.75" customHeight="1">
      <c r="A15" s="69">
        <v>7.0</v>
      </c>
      <c r="B15" s="78"/>
      <c r="C15" s="52"/>
      <c r="D15" s="52"/>
      <c r="E15" s="52"/>
      <c r="F15" s="52"/>
      <c r="G15" s="52"/>
      <c r="H15" s="52"/>
      <c r="I15" s="52"/>
      <c r="J15" s="79"/>
      <c r="K15" s="62">
        <f t="shared" si="1"/>
        <v>0</v>
      </c>
      <c r="L15" s="52"/>
      <c r="M15" s="53"/>
      <c r="N15" s="52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</row>
    <row r="16" ht="36.0" customHeight="1">
      <c r="A16" s="36"/>
      <c r="B16" s="36"/>
      <c r="C16" s="36"/>
      <c r="D16" s="36"/>
      <c r="E16" s="36"/>
      <c r="F16" s="36"/>
      <c r="G16" s="36"/>
      <c r="H16" s="36"/>
      <c r="I16" s="36"/>
      <c r="J16" s="70" t="s">
        <v>175</v>
      </c>
      <c r="K16" s="71">
        <f>SUM(K9:K15)</f>
        <v>100</v>
      </c>
      <c r="L16" s="36"/>
      <c r="M16" s="39" t="s">
        <v>176</v>
      </c>
      <c r="N16" s="36">
        <f>sum(N9:N14)</f>
        <v>2</v>
      </c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</row>
    <row r="17" ht="15.75" customHeight="1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</row>
    <row r="18" ht="15.75" customHeight="1">
      <c r="A18" s="72" t="s">
        <v>177</v>
      </c>
      <c r="B18" s="36"/>
      <c r="C18" s="36"/>
      <c r="D18" s="36"/>
      <c r="E18" s="36"/>
      <c r="F18" s="36"/>
      <c r="G18" s="36"/>
      <c r="H18" s="36"/>
      <c r="I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</row>
    <row r="19" ht="15.75" customHeight="1">
      <c r="A19" s="72" t="s">
        <v>185</v>
      </c>
      <c r="B19" s="36"/>
      <c r="C19" s="36"/>
      <c r="D19" s="36"/>
      <c r="E19" s="36"/>
      <c r="F19" s="36"/>
      <c r="G19" s="36"/>
      <c r="H19" s="36"/>
      <c r="I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</row>
    <row r="20" ht="15.75" customHeight="1">
      <c r="A20" s="72" t="s">
        <v>179</v>
      </c>
      <c r="B20" s="36"/>
      <c r="C20" s="36"/>
      <c r="D20" s="36"/>
      <c r="E20" s="36"/>
      <c r="F20" s="36"/>
      <c r="G20" s="36"/>
      <c r="H20" s="36"/>
      <c r="I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</row>
    <row r="21" ht="15.75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</row>
    <row r="22" ht="15.75" customHeight="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</row>
    <row r="23" ht="15.75" customHeight="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</row>
    <row r="24" ht="15.75" customHeight="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</row>
    <row r="25" ht="15.75" customHeight="1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</row>
    <row r="26" ht="15.75" customHeight="1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</row>
    <row r="27" ht="15.75" customHeight="1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</row>
    <row r="28" ht="15.75" customHeight="1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</row>
    <row r="29" ht="15.75" customHeight="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</row>
    <row r="30" ht="15.75" customHeight="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</row>
    <row r="31" ht="15.75" customHeight="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</row>
    <row r="32" ht="15.75" customHeight="1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</row>
    <row r="33" ht="15.7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</row>
    <row r="34" ht="15.7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</row>
    <row r="35" ht="15.7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</row>
    <row r="36" ht="15.7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</row>
    <row r="37" ht="15.7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</row>
    <row r="38" ht="15.75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</row>
    <row r="39" ht="15.75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</row>
    <row r="40" ht="15.75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6">
    <mergeCell ref="D7:D8"/>
    <mergeCell ref="E7:E8"/>
    <mergeCell ref="F7:F8"/>
    <mergeCell ref="G7:G8"/>
    <mergeCell ref="H7:H8"/>
    <mergeCell ref="I7:I8"/>
    <mergeCell ref="K6:K8"/>
    <mergeCell ref="L7:L8"/>
    <mergeCell ref="A6:A8"/>
    <mergeCell ref="C6:D6"/>
    <mergeCell ref="G6:H6"/>
    <mergeCell ref="I6:J6"/>
    <mergeCell ref="N6:N8"/>
    <mergeCell ref="C7:C8"/>
    <mergeCell ref="J7:J8"/>
    <mergeCell ref="M7:M8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5"/>
    <col customWidth="1" min="2" max="2" width="31.25"/>
    <col customWidth="1" min="3" max="3" width="8.38"/>
    <col customWidth="1" min="4" max="4" width="8.13"/>
    <col customWidth="1" min="5" max="5" width="8.63"/>
    <col customWidth="1" min="6" max="6" width="8.13"/>
    <col customWidth="1" min="7" max="7" width="5.5"/>
    <col customWidth="1" min="8" max="8" width="4.5"/>
    <col customWidth="1" min="9" max="9" width="5.88"/>
    <col customWidth="1" min="10" max="10" width="8.0"/>
    <col customWidth="1" min="11" max="11" width="10.13"/>
    <col customWidth="1" min="14" max="14" width="17.0"/>
  </cols>
  <sheetData>
    <row r="1" ht="15.75" customHeight="1">
      <c r="A1" s="34" t="s">
        <v>150</v>
      </c>
      <c r="B1" s="75" t="s">
        <v>186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ht="15.75" customHeight="1">
      <c r="A2" s="34" t="s">
        <v>33</v>
      </c>
      <c r="B2" s="73">
        <v>7.0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</row>
    <row r="3" ht="32.25" customHeight="1">
      <c r="A3" s="76" t="s">
        <v>32</v>
      </c>
      <c r="B3" s="38" t="str">
        <f>'Base del Diseño Curricular'!B44</f>
        <v>Procesos y Modelado Avanzado en Simio</v>
      </c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</row>
    <row r="4" ht="15.75" customHeight="1">
      <c r="A4" s="34" t="s">
        <v>34</v>
      </c>
      <c r="B4" s="39" t="str">
        <f>'Base del Diseño Curricular'!D44</f>
        <v>Modelado de procesos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</row>
    <row r="5" ht="15.75" customHeight="1">
      <c r="A5" s="36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</row>
    <row r="6" ht="15.75" customHeight="1">
      <c r="A6" s="77" t="s">
        <v>35</v>
      </c>
      <c r="B6" s="55" t="s">
        <v>154</v>
      </c>
      <c r="C6" s="44" t="s">
        <v>155</v>
      </c>
      <c r="D6" s="45"/>
      <c r="E6" s="43" t="s">
        <v>156</v>
      </c>
      <c r="F6" s="43" t="s">
        <v>157</v>
      </c>
      <c r="G6" s="44" t="s">
        <v>158</v>
      </c>
      <c r="H6" s="45"/>
      <c r="I6" s="44" t="s">
        <v>159</v>
      </c>
      <c r="J6" s="45"/>
      <c r="K6" s="42" t="s">
        <v>160</v>
      </c>
      <c r="L6" s="56" t="s">
        <v>158</v>
      </c>
      <c r="M6" s="56" t="s">
        <v>159</v>
      </c>
      <c r="N6" s="57" t="s">
        <v>171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</row>
    <row r="7" ht="15.75" customHeight="1">
      <c r="A7" s="46"/>
      <c r="B7" s="55" t="s">
        <v>172</v>
      </c>
      <c r="C7" s="74">
        <v>15.0</v>
      </c>
      <c r="D7" s="74">
        <v>5.0</v>
      </c>
      <c r="E7" s="74">
        <v>15.0</v>
      </c>
      <c r="F7" s="74">
        <v>15.0</v>
      </c>
      <c r="G7" s="74">
        <v>20.0</v>
      </c>
      <c r="H7" s="74">
        <v>10.0</v>
      </c>
      <c r="I7" s="48">
        <v>5.0</v>
      </c>
      <c r="J7" s="48">
        <v>15.0</v>
      </c>
      <c r="K7" s="46"/>
      <c r="L7" s="58" t="s">
        <v>173</v>
      </c>
      <c r="M7" s="58" t="s">
        <v>173</v>
      </c>
      <c r="N7" s="17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</row>
    <row r="8" ht="15.75" customHeight="1">
      <c r="A8" s="49"/>
      <c r="B8" s="40" t="s">
        <v>36</v>
      </c>
      <c r="C8" s="49"/>
      <c r="D8" s="49"/>
      <c r="E8" s="49"/>
      <c r="F8" s="49"/>
      <c r="G8" s="49"/>
      <c r="H8" s="49"/>
      <c r="I8" s="49"/>
      <c r="J8" s="49"/>
      <c r="K8" s="49"/>
      <c r="L8" s="19"/>
      <c r="M8" s="19"/>
      <c r="N8" s="19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>
      <c r="A9" s="81">
        <v>1.0</v>
      </c>
      <c r="B9" s="59" t="str">
        <f>'Base del Diseño Curricular'!F44</f>
        <v>Tipos y usos de procesos</v>
      </c>
      <c r="C9" s="60"/>
      <c r="D9" s="60" t="s">
        <v>163</v>
      </c>
      <c r="E9" s="60" t="s">
        <v>163</v>
      </c>
      <c r="F9" s="60"/>
      <c r="G9" s="60" t="s">
        <v>163</v>
      </c>
      <c r="H9" s="61"/>
      <c r="I9" s="61"/>
      <c r="J9" s="60" t="s">
        <v>163</v>
      </c>
      <c r="K9" s="62">
        <f t="shared" ref="K9:K15" si="1">if(C9="X",$C$7,0)+if(E9="X",$E$7,0)+if(D9="X",$D$7,0)+if(F9="X",$F$7,0)+if(G9="X",$G$7,0)+if(H9="X",$H$7,0)+if(I9="X",$I$7,0)+if(J9="X",$J$7,0)</f>
        <v>55</v>
      </c>
      <c r="L9" s="63"/>
      <c r="M9" s="69">
        <v>2.0</v>
      </c>
      <c r="N9" s="52">
        <f t="shared" ref="N9:N14" si="2">sum(L9:M9)</f>
        <v>2</v>
      </c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</row>
    <row r="10" ht="15.75" customHeight="1">
      <c r="A10" s="82">
        <v>2.0</v>
      </c>
      <c r="B10" s="59" t="str">
        <f>'Base del Diseño Curricular'!F45</f>
        <v>Tipos y usos de steps</v>
      </c>
      <c r="C10" s="64"/>
      <c r="D10" s="64" t="s">
        <v>163</v>
      </c>
      <c r="E10" s="64"/>
      <c r="F10" s="64" t="s">
        <v>163</v>
      </c>
      <c r="G10" s="65"/>
      <c r="H10" s="65" t="s">
        <v>163</v>
      </c>
      <c r="I10" s="65"/>
      <c r="J10" s="65"/>
      <c r="K10" s="62">
        <f t="shared" si="1"/>
        <v>30</v>
      </c>
      <c r="L10" s="52"/>
      <c r="M10" s="52"/>
      <c r="N10" s="52">
        <f t="shared" si="2"/>
        <v>0</v>
      </c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</row>
    <row r="11" ht="15.75" customHeight="1">
      <c r="A11" s="82">
        <v>3.0</v>
      </c>
      <c r="B11" s="59" t="str">
        <f>'Base del Diseño Curricular'!F46</f>
        <v>Balking y reneging</v>
      </c>
      <c r="C11" s="64"/>
      <c r="D11" s="64" t="s">
        <v>163</v>
      </c>
      <c r="E11" s="66"/>
      <c r="F11" s="64"/>
      <c r="G11" s="67"/>
      <c r="H11" s="65" t="s">
        <v>163</v>
      </c>
      <c r="I11" s="67"/>
      <c r="J11" s="65"/>
      <c r="K11" s="62">
        <f t="shared" si="1"/>
        <v>15</v>
      </c>
      <c r="L11" s="52"/>
      <c r="M11" s="52"/>
      <c r="N11" s="52">
        <f t="shared" si="2"/>
        <v>0</v>
      </c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</row>
    <row r="12" ht="15.75" customHeight="1">
      <c r="A12" s="82">
        <v>4.0</v>
      </c>
      <c r="B12" s="59"/>
      <c r="C12" s="64"/>
      <c r="D12" s="64"/>
      <c r="E12" s="66"/>
      <c r="F12" s="64"/>
      <c r="G12" s="67"/>
      <c r="H12" s="67"/>
      <c r="I12" s="67"/>
      <c r="J12" s="67"/>
      <c r="K12" s="62">
        <f t="shared" si="1"/>
        <v>0</v>
      </c>
      <c r="L12" s="52"/>
      <c r="M12" s="52"/>
      <c r="N12" s="52">
        <f t="shared" si="2"/>
        <v>0</v>
      </c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</row>
    <row r="13" ht="15.75" customHeight="1">
      <c r="A13" s="82">
        <v>5.0</v>
      </c>
      <c r="B13" s="59"/>
      <c r="C13" s="64"/>
      <c r="D13" s="64"/>
      <c r="E13" s="66"/>
      <c r="F13" s="64"/>
      <c r="G13" s="67"/>
      <c r="H13" s="67"/>
      <c r="I13" s="67"/>
      <c r="J13" s="67"/>
      <c r="K13" s="62">
        <f t="shared" si="1"/>
        <v>0</v>
      </c>
      <c r="L13" s="52"/>
      <c r="M13" s="52"/>
      <c r="N13" s="52">
        <f t="shared" si="2"/>
        <v>0</v>
      </c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</row>
    <row r="14" ht="15.75" customHeight="1">
      <c r="A14" s="82">
        <v>6.0</v>
      </c>
      <c r="B14" s="68"/>
      <c r="C14" s="64"/>
      <c r="D14" s="64"/>
      <c r="E14" s="66"/>
      <c r="F14" s="66"/>
      <c r="G14" s="67"/>
      <c r="H14" s="67"/>
      <c r="I14" s="67"/>
      <c r="J14" s="67"/>
      <c r="K14" s="62">
        <f t="shared" si="1"/>
        <v>0</v>
      </c>
      <c r="L14" s="52"/>
      <c r="M14" s="52"/>
      <c r="N14" s="52">
        <f t="shared" si="2"/>
        <v>0</v>
      </c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</row>
    <row r="15" ht="15.75" customHeight="1">
      <c r="A15" s="83">
        <v>7.0</v>
      </c>
      <c r="B15" s="78"/>
      <c r="C15" s="52"/>
      <c r="D15" s="52"/>
      <c r="E15" s="52"/>
      <c r="F15" s="52"/>
      <c r="G15" s="52"/>
      <c r="H15" s="52"/>
      <c r="I15" s="52"/>
      <c r="J15" s="79"/>
      <c r="K15" s="62">
        <f t="shared" si="1"/>
        <v>0</v>
      </c>
      <c r="L15" s="52"/>
      <c r="M15" s="53"/>
      <c r="N15" s="52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</row>
    <row r="16" ht="36.75" customHeight="1">
      <c r="A16" s="36"/>
      <c r="B16" s="36"/>
      <c r="C16" s="36"/>
      <c r="D16" s="36"/>
      <c r="E16" s="36"/>
      <c r="F16" s="36"/>
      <c r="G16" s="36"/>
      <c r="H16" s="36"/>
      <c r="I16" s="36"/>
      <c r="J16" s="70" t="s">
        <v>175</v>
      </c>
      <c r="K16" s="71">
        <f>SUM(K9:K15)</f>
        <v>100</v>
      </c>
      <c r="L16" s="36"/>
      <c r="M16" s="39" t="s">
        <v>176</v>
      </c>
      <c r="N16" s="36">
        <f>sum(N9:N14)</f>
        <v>2</v>
      </c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</row>
    <row r="17" ht="15.75" customHeight="1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</row>
    <row r="18" ht="15.75" customHeight="1">
      <c r="A18" s="72" t="s">
        <v>177</v>
      </c>
      <c r="B18" s="36"/>
      <c r="C18" s="36"/>
      <c r="D18" s="36"/>
      <c r="E18" s="36"/>
      <c r="F18" s="36"/>
      <c r="G18" s="36"/>
      <c r="H18" s="36"/>
      <c r="I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</row>
    <row r="19" ht="15.75" customHeight="1">
      <c r="A19" s="72" t="s">
        <v>187</v>
      </c>
      <c r="B19" s="36"/>
      <c r="C19" s="36"/>
      <c r="D19" s="36"/>
      <c r="E19" s="36"/>
      <c r="F19" s="36"/>
      <c r="G19" s="36"/>
      <c r="H19" s="36"/>
      <c r="I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</row>
    <row r="20" ht="15.75" customHeight="1">
      <c r="A20" s="72" t="s">
        <v>179</v>
      </c>
      <c r="B20" s="36"/>
      <c r="C20" s="36"/>
      <c r="D20" s="36"/>
      <c r="E20" s="36"/>
      <c r="F20" s="36"/>
      <c r="G20" s="36"/>
      <c r="H20" s="36"/>
      <c r="I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</row>
    <row r="21" ht="15.75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</row>
    <row r="22" ht="15.75" customHeight="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</row>
    <row r="23" ht="15.75" customHeight="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</row>
    <row r="24" ht="15.75" customHeight="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</row>
    <row r="25" ht="15.75" customHeight="1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</row>
    <row r="26" ht="15.75" customHeight="1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</row>
    <row r="27" ht="15.75" customHeight="1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</row>
    <row r="28" ht="15.75" customHeight="1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</row>
    <row r="29" ht="15.75" customHeight="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</row>
    <row r="30" ht="15.75" customHeight="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</row>
    <row r="31" ht="15.75" customHeight="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</row>
    <row r="32" ht="15.75" customHeight="1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</row>
    <row r="33" ht="15.7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</row>
    <row r="34" ht="15.7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</row>
    <row r="35" ht="15.7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</row>
    <row r="36" ht="15.7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</row>
    <row r="37" ht="15.7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</row>
    <row r="38" ht="15.75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</row>
    <row r="39" ht="15.75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</row>
    <row r="40" ht="15.75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6">
    <mergeCell ref="D7:D8"/>
    <mergeCell ref="E7:E8"/>
    <mergeCell ref="F7:F8"/>
    <mergeCell ref="G7:G8"/>
    <mergeCell ref="H7:H8"/>
    <mergeCell ref="I7:I8"/>
    <mergeCell ref="K6:K8"/>
    <mergeCell ref="L7:L8"/>
    <mergeCell ref="A6:A8"/>
    <mergeCell ref="C6:D6"/>
    <mergeCell ref="G6:H6"/>
    <mergeCell ref="I6:J6"/>
    <mergeCell ref="N6:N8"/>
    <mergeCell ref="C7:C8"/>
    <mergeCell ref="J7:J8"/>
    <mergeCell ref="M7:M8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38.25"/>
    <col customWidth="1" min="3" max="3" width="7.63"/>
    <col customWidth="1" min="4" max="4" width="8.13"/>
    <col customWidth="1" min="5" max="5" width="7.38"/>
    <col customWidth="1" min="6" max="6" width="7.63"/>
    <col customWidth="1" min="7" max="7" width="6.13"/>
    <col customWidth="1" min="8" max="8" width="5.38"/>
    <col customWidth="1" min="9" max="9" width="6.0"/>
    <col customWidth="1" min="10" max="10" width="8.5"/>
    <col customWidth="1" min="14" max="14" width="17.0"/>
  </cols>
  <sheetData>
    <row r="1" ht="15.75" customHeight="1">
      <c r="A1" s="34" t="s">
        <v>150</v>
      </c>
      <c r="B1" s="75" t="s">
        <v>186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ht="15.75" customHeight="1">
      <c r="A2" s="34" t="s">
        <v>33</v>
      </c>
      <c r="B2" s="73">
        <v>8.0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</row>
    <row r="3" ht="32.25" customHeight="1">
      <c r="A3" s="76" t="s">
        <v>32</v>
      </c>
      <c r="B3" s="38" t="str">
        <f>'Base del Diseño Curricular'!B44</f>
        <v>Procesos y Modelado Avanzado en Simio</v>
      </c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</row>
    <row r="4" ht="15.75" customHeight="1">
      <c r="A4" s="34" t="s">
        <v>34</v>
      </c>
      <c r="B4" s="39" t="str">
        <f>'Base del Diseño Curricular'!D51</f>
        <v>Tranportadores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</row>
    <row r="5" ht="15.75" customHeight="1">
      <c r="A5" s="36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</row>
    <row r="6" ht="15.75" customHeight="1">
      <c r="A6" s="77" t="s">
        <v>35</v>
      </c>
      <c r="B6" s="55" t="s">
        <v>154</v>
      </c>
      <c r="C6" s="44" t="s">
        <v>155</v>
      </c>
      <c r="D6" s="45"/>
      <c r="E6" s="43" t="s">
        <v>156</v>
      </c>
      <c r="F6" s="43" t="s">
        <v>157</v>
      </c>
      <c r="G6" s="44" t="s">
        <v>158</v>
      </c>
      <c r="H6" s="45"/>
      <c r="I6" s="44" t="s">
        <v>159</v>
      </c>
      <c r="J6" s="45"/>
      <c r="K6" s="42" t="s">
        <v>160</v>
      </c>
      <c r="L6" s="56" t="s">
        <v>158</v>
      </c>
      <c r="M6" s="56" t="s">
        <v>159</v>
      </c>
      <c r="N6" s="57" t="s">
        <v>171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</row>
    <row r="7" ht="15.75" customHeight="1">
      <c r="A7" s="46"/>
      <c r="B7" s="55" t="s">
        <v>172</v>
      </c>
      <c r="C7" s="74">
        <v>5.0</v>
      </c>
      <c r="D7" s="74">
        <v>10.0</v>
      </c>
      <c r="E7" s="48">
        <v>10.0</v>
      </c>
      <c r="F7" s="48">
        <v>10.0</v>
      </c>
      <c r="G7" s="74">
        <v>20.0</v>
      </c>
      <c r="H7" s="74">
        <v>15.0</v>
      </c>
      <c r="I7" s="48">
        <v>5.0</v>
      </c>
      <c r="J7" s="48">
        <v>15.0</v>
      </c>
      <c r="K7" s="46"/>
      <c r="L7" s="58" t="s">
        <v>173</v>
      </c>
      <c r="M7" s="58" t="s">
        <v>173</v>
      </c>
      <c r="N7" s="17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</row>
    <row r="8" ht="15.75" customHeight="1">
      <c r="A8" s="49"/>
      <c r="B8" s="40" t="s">
        <v>36</v>
      </c>
      <c r="C8" s="49"/>
      <c r="D8" s="49"/>
      <c r="E8" s="49"/>
      <c r="F8" s="49"/>
      <c r="G8" s="49"/>
      <c r="H8" s="49"/>
      <c r="I8" s="49"/>
      <c r="J8" s="49"/>
      <c r="K8" s="49"/>
      <c r="L8" s="19"/>
      <c r="M8" s="19"/>
      <c r="N8" s="19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>
      <c r="A9" s="50">
        <v>1.0</v>
      </c>
      <c r="B9" s="59" t="str">
        <f>'Base del Diseño Curricular'!F51</f>
        <v>Como generar Workers y usarlos en nuestos modelos en Simio</v>
      </c>
      <c r="C9" s="60" t="s">
        <v>163</v>
      </c>
      <c r="D9" s="60"/>
      <c r="E9" s="61"/>
      <c r="F9" s="60" t="s">
        <v>163</v>
      </c>
      <c r="G9" s="60"/>
      <c r="H9" s="60"/>
      <c r="I9" s="61"/>
      <c r="J9" s="61"/>
      <c r="K9" s="62">
        <f t="shared" ref="K9:K15" si="1">if(C9="X",$C$7,0)+if(E9="X",$E$7,0)+if(D9="X",$D$7,0)+if(F9="X",$F$7,0)+if(G9="X",$G$7,0)+if(H9="X",$H$7,0)+if(I9="X",$I$7,0)+if(J9="X",$J$7,0)</f>
        <v>15</v>
      </c>
      <c r="L9" s="63"/>
      <c r="M9" s="52"/>
      <c r="N9" s="52">
        <f t="shared" ref="N9:N14" si="2">sum(L9:M9)</f>
        <v>0</v>
      </c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</row>
    <row r="10" ht="27.75" customHeight="1">
      <c r="A10" s="52">
        <v>2.0</v>
      </c>
      <c r="B10" s="59" t="str">
        <f>'Base del Diseño Curricular'!F52</f>
        <v>Como generar Vehiculos y aplicarlos en nuestros modelos en Simio</v>
      </c>
      <c r="C10" s="64"/>
      <c r="D10" s="64" t="s">
        <v>163</v>
      </c>
      <c r="E10" s="64" t="s">
        <v>163</v>
      </c>
      <c r="F10" s="64"/>
      <c r="G10" s="65" t="s">
        <v>163</v>
      </c>
      <c r="H10" s="65"/>
      <c r="I10" s="65"/>
      <c r="J10" s="65" t="s">
        <v>163</v>
      </c>
      <c r="K10" s="62">
        <f t="shared" si="1"/>
        <v>55</v>
      </c>
      <c r="L10" s="52"/>
      <c r="M10" s="69">
        <v>2.0</v>
      </c>
      <c r="N10" s="52">
        <f t="shared" si="2"/>
        <v>2</v>
      </c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</row>
    <row r="11" ht="15.75" customHeight="1">
      <c r="A11" s="52">
        <v>3.0</v>
      </c>
      <c r="B11" s="59" t="str">
        <f>'Base del Diseño Curricular'!F53</f>
        <v>Que es y como funcionan los Lift trucks</v>
      </c>
      <c r="C11" s="64" t="s">
        <v>163</v>
      </c>
      <c r="D11" s="64"/>
      <c r="E11" s="66"/>
      <c r="F11" s="64" t="s">
        <v>163</v>
      </c>
      <c r="G11" s="67"/>
      <c r="H11" s="65" t="s">
        <v>163</v>
      </c>
      <c r="I11" s="67"/>
      <c r="J11" s="67"/>
      <c r="K11" s="62">
        <f t="shared" si="1"/>
        <v>30</v>
      </c>
      <c r="L11" s="52"/>
      <c r="M11" s="52"/>
      <c r="N11" s="52">
        <f t="shared" si="2"/>
        <v>0</v>
      </c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</row>
    <row r="12" ht="15.75" customHeight="1">
      <c r="A12" s="52">
        <v>4.0</v>
      </c>
      <c r="B12" s="59"/>
      <c r="C12" s="64"/>
      <c r="D12" s="64"/>
      <c r="E12" s="66"/>
      <c r="F12" s="64"/>
      <c r="G12" s="67"/>
      <c r="H12" s="67"/>
      <c r="I12" s="67"/>
      <c r="J12" s="67"/>
      <c r="K12" s="62">
        <f t="shared" si="1"/>
        <v>0</v>
      </c>
      <c r="L12" s="52"/>
      <c r="M12" s="52"/>
      <c r="N12" s="52">
        <f t="shared" si="2"/>
        <v>0</v>
      </c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</row>
    <row r="13" ht="15.75" customHeight="1">
      <c r="A13" s="52">
        <v>5.0</v>
      </c>
      <c r="B13" s="59"/>
      <c r="C13" s="64"/>
      <c r="D13" s="64"/>
      <c r="E13" s="66"/>
      <c r="F13" s="64"/>
      <c r="G13" s="67"/>
      <c r="H13" s="67"/>
      <c r="I13" s="67"/>
      <c r="J13" s="67"/>
      <c r="K13" s="62">
        <f t="shared" si="1"/>
        <v>0</v>
      </c>
      <c r="L13" s="52"/>
      <c r="M13" s="52"/>
      <c r="N13" s="52">
        <f t="shared" si="2"/>
        <v>0</v>
      </c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</row>
    <row r="14" ht="15.75" customHeight="1">
      <c r="A14" s="52">
        <v>6.0</v>
      </c>
      <c r="B14" s="68"/>
      <c r="C14" s="64"/>
      <c r="D14" s="64"/>
      <c r="E14" s="66"/>
      <c r="F14" s="66"/>
      <c r="G14" s="67"/>
      <c r="H14" s="67"/>
      <c r="I14" s="67"/>
      <c r="J14" s="67"/>
      <c r="K14" s="62">
        <f t="shared" si="1"/>
        <v>0</v>
      </c>
      <c r="L14" s="52"/>
      <c r="M14" s="52"/>
      <c r="N14" s="52">
        <f t="shared" si="2"/>
        <v>0</v>
      </c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</row>
    <row r="15" ht="15.75" customHeight="1">
      <c r="A15" s="69">
        <v>7.0</v>
      </c>
      <c r="B15" s="78"/>
      <c r="C15" s="52"/>
      <c r="D15" s="52"/>
      <c r="E15" s="52"/>
      <c r="F15" s="52"/>
      <c r="G15" s="52"/>
      <c r="H15" s="52"/>
      <c r="I15" s="52"/>
      <c r="J15" s="79"/>
      <c r="K15" s="62">
        <f t="shared" si="1"/>
        <v>0</v>
      </c>
      <c r="L15" s="52"/>
      <c r="M15" s="53"/>
      <c r="N15" s="52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</row>
    <row r="16" ht="41.25" customHeight="1">
      <c r="A16" s="36"/>
      <c r="B16" s="36"/>
      <c r="C16" s="36"/>
      <c r="D16" s="36"/>
      <c r="E16" s="36"/>
      <c r="F16" s="36"/>
      <c r="G16" s="36"/>
      <c r="H16" s="36"/>
      <c r="I16" s="36"/>
      <c r="J16" s="70" t="s">
        <v>175</v>
      </c>
      <c r="K16" s="71">
        <f>SUM(K9:K15)</f>
        <v>100</v>
      </c>
      <c r="L16" s="36"/>
      <c r="M16" s="39" t="s">
        <v>176</v>
      </c>
      <c r="N16" s="36">
        <f>sum(N9:N14)</f>
        <v>2</v>
      </c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</row>
    <row r="17" ht="15.75" customHeight="1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</row>
    <row r="18" ht="15.75" customHeight="1">
      <c r="A18" s="72" t="s">
        <v>177</v>
      </c>
      <c r="B18" s="36"/>
      <c r="C18" s="36"/>
      <c r="D18" s="36"/>
      <c r="E18" s="36"/>
      <c r="F18" s="36"/>
      <c r="G18" s="36"/>
      <c r="H18" s="36"/>
      <c r="I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</row>
    <row r="19" ht="15.75" customHeight="1">
      <c r="A19" s="72" t="s">
        <v>188</v>
      </c>
      <c r="B19" s="36"/>
      <c r="C19" s="36"/>
      <c r="D19" s="36"/>
      <c r="E19" s="36"/>
      <c r="F19" s="36"/>
      <c r="G19" s="36"/>
      <c r="H19" s="36"/>
      <c r="I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</row>
    <row r="20" ht="15.75" customHeight="1">
      <c r="A20" s="72" t="s">
        <v>179</v>
      </c>
      <c r="B20" s="36"/>
      <c r="C20" s="36"/>
      <c r="D20" s="36"/>
      <c r="E20" s="36"/>
      <c r="F20" s="36"/>
      <c r="G20" s="36"/>
      <c r="H20" s="36"/>
      <c r="I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</row>
    <row r="21" ht="15.75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</row>
    <row r="22" ht="15.75" customHeight="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</row>
    <row r="23" ht="15.75" customHeight="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</row>
    <row r="24" ht="15.75" customHeight="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</row>
    <row r="25" ht="15.75" customHeight="1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</row>
    <row r="26" ht="15.75" customHeight="1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</row>
    <row r="27" ht="15.75" customHeight="1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</row>
    <row r="28" ht="15.75" customHeight="1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</row>
    <row r="29" ht="15.75" customHeight="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</row>
    <row r="30" ht="15.75" customHeight="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</row>
    <row r="31" ht="15.75" customHeight="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</row>
    <row r="32" ht="15.75" customHeight="1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</row>
    <row r="33" ht="15.7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</row>
    <row r="34" ht="15.7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</row>
    <row r="35" ht="15.7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</row>
    <row r="36" ht="15.7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</row>
    <row r="37" ht="15.7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</row>
    <row r="38" ht="15.75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</row>
    <row r="39" ht="15.75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</row>
    <row r="40" ht="15.75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6">
    <mergeCell ref="D7:D8"/>
    <mergeCell ref="E7:E8"/>
    <mergeCell ref="F7:F8"/>
    <mergeCell ref="G7:G8"/>
    <mergeCell ref="H7:H8"/>
    <mergeCell ref="I7:I8"/>
    <mergeCell ref="K6:K8"/>
    <mergeCell ref="L7:L8"/>
    <mergeCell ref="A6:A8"/>
    <mergeCell ref="C6:D6"/>
    <mergeCell ref="G6:H6"/>
    <mergeCell ref="I6:J6"/>
    <mergeCell ref="N6:N8"/>
    <mergeCell ref="C7:C8"/>
    <mergeCell ref="J7:J8"/>
    <mergeCell ref="M7:M8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34" t="s">
        <v>150</v>
      </c>
      <c r="B1" s="75" t="s">
        <v>186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</row>
    <row r="2" ht="15.75" customHeight="1">
      <c r="A2" s="34" t="s">
        <v>33</v>
      </c>
      <c r="B2" s="73">
        <v>9.0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</row>
    <row r="3" ht="15.75" customHeight="1">
      <c r="A3" s="34" t="s">
        <v>32</v>
      </c>
      <c r="B3" s="38" t="str">
        <f>'Base del Diseño Curricular'!B44</f>
        <v>Procesos y Modelado Avanzado en Simio</v>
      </c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</row>
    <row r="4" ht="15.75" customHeight="1">
      <c r="A4" s="34" t="s">
        <v>34</v>
      </c>
      <c r="B4" s="39" t="str">
        <f>'Base del Diseño Curricular'!D58</f>
        <v>Libreria extra de Simio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</row>
    <row r="5" ht="15.75" customHeight="1">
      <c r="A5" s="36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</row>
    <row r="6" ht="15.75" customHeight="1">
      <c r="A6" s="40" t="s">
        <v>35</v>
      </c>
      <c r="B6" s="55" t="s">
        <v>154</v>
      </c>
      <c r="C6" s="43" t="s">
        <v>155</v>
      </c>
      <c r="D6" s="43" t="s">
        <v>156</v>
      </c>
      <c r="E6" s="43" t="s">
        <v>157</v>
      </c>
      <c r="F6" s="44" t="s">
        <v>158</v>
      </c>
      <c r="G6" s="45"/>
      <c r="H6" s="44" t="s">
        <v>159</v>
      </c>
      <c r="I6" s="45"/>
      <c r="J6" s="42" t="s">
        <v>160</v>
      </c>
      <c r="K6" s="56" t="s">
        <v>158</v>
      </c>
      <c r="L6" s="56" t="s">
        <v>159</v>
      </c>
      <c r="M6" s="57" t="s">
        <v>171</v>
      </c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</row>
    <row r="7" ht="15.75" customHeight="1">
      <c r="A7" s="46"/>
      <c r="B7" s="55" t="s">
        <v>172</v>
      </c>
      <c r="C7" s="74">
        <v>5.0</v>
      </c>
      <c r="D7" s="74">
        <v>15.0</v>
      </c>
      <c r="E7" s="48">
        <v>10.0</v>
      </c>
      <c r="F7" s="74">
        <v>30.0</v>
      </c>
      <c r="G7" s="74">
        <v>10.0</v>
      </c>
      <c r="H7" s="48">
        <v>5.0</v>
      </c>
      <c r="I7" s="74">
        <v>20.0</v>
      </c>
      <c r="J7" s="46"/>
      <c r="K7" s="58" t="s">
        <v>173</v>
      </c>
      <c r="L7" s="58" t="s">
        <v>173</v>
      </c>
      <c r="M7" s="17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</row>
    <row r="8" ht="15.75" customHeight="1">
      <c r="A8" s="49"/>
      <c r="B8" s="40" t="s">
        <v>36</v>
      </c>
      <c r="C8" s="49"/>
      <c r="D8" s="49"/>
      <c r="E8" s="49"/>
      <c r="F8" s="49"/>
      <c r="G8" s="49"/>
      <c r="H8" s="49"/>
      <c r="I8" s="49"/>
      <c r="J8" s="49"/>
      <c r="K8" s="19"/>
      <c r="L8" s="19"/>
      <c r="M8" s="19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</row>
    <row r="9">
      <c r="A9" s="50">
        <v>1.0</v>
      </c>
      <c r="B9" s="59" t="str">
        <f>'Base del Diseño Curricular'!F58</f>
        <v>Introduccion a libreria extra de Simio</v>
      </c>
      <c r="C9" s="60" t="s">
        <v>163</v>
      </c>
      <c r="D9" s="60" t="s">
        <v>163</v>
      </c>
      <c r="E9" s="60"/>
      <c r="F9" s="60"/>
      <c r="G9" s="60" t="s">
        <v>163</v>
      </c>
      <c r="H9" s="61"/>
      <c r="I9" s="61"/>
      <c r="J9" s="62">
        <f>if(C9="X",$C$7,0)+if(D9="X",$D$7,0)+if(E9="X",$E$7,0)+if(F9="X",$F$7,0)+if(G9="X",$G$7,0)+if(H9="X",$H$7,0)+if(I9="X",$I$7,0)</f>
        <v>30</v>
      </c>
      <c r="K9" s="63"/>
      <c r="L9" s="52"/>
      <c r="M9" s="52">
        <f t="shared" ref="M9:M14" si="1">sum(K9:L9)</f>
        <v>0</v>
      </c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</row>
    <row r="10" ht="15.75" customHeight="1">
      <c r="A10" s="52">
        <v>2.0</v>
      </c>
      <c r="B10" s="59" t="str">
        <f>'Base del Diseño Curricular'!F59</f>
        <v>Explicacion de los componentes de la libreria extra</v>
      </c>
      <c r="C10" s="64" t="s">
        <v>163</v>
      </c>
      <c r="D10" s="64"/>
      <c r="E10" s="64" t="s">
        <v>163</v>
      </c>
      <c r="F10" s="65"/>
      <c r="G10" s="65"/>
      <c r="H10" s="65"/>
      <c r="I10" s="65" t="s">
        <v>163</v>
      </c>
      <c r="J10" s="62">
        <f>IF(C10="X",$C$7,0)+IF(D10="X",$D$7,0)+IF(E10="X",$E$7,0)+IF(F10="X",$F$7,0)+IF(G10="X",$G$7,0)+IF(H10="X",$H$7,0)+IF(I10="X",$I$7,0)</f>
        <v>35</v>
      </c>
      <c r="K10" s="52"/>
      <c r="L10" s="69">
        <v>2.0</v>
      </c>
      <c r="M10" s="52">
        <f t="shared" si="1"/>
        <v>2</v>
      </c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</row>
    <row r="11" ht="15.75" customHeight="1">
      <c r="A11" s="52">
        <v>3.0</v>
      </c>
      <c r="B11" s="59" t="str">
        <f>'Base del Diseño Curricular'!F60</f>
        <v>Como aplicar los componentes de la libreria extra</v>
      </c>
      <c r="C11" s="64" t="s">
        <v>163</v>
      </c>
      <c r="D11" s="66"/>
      <c r="E11" s="64"/>
      <c r="F11" s="65" t="s">
        <v>163</v>
      </c>
      <c r="G11" s="65"/>
      <c r="H11" s="67"/>
      <c r="I11" s="65"/>
      <c r="J11" s="62">
        <f>if(C11="X",$C$7,0)+if(D11="X",$D$7,0)+if(E11="X",$E$7,0)+if(F11="X",$F$7,0)+if(G11="X",$G$7,0)+if(H11="X",$H$7,0)+if(I11="X",$I$7,0)</f>
        <v>35</v>
      </c>
      <c r="K11" s="52"/>
      <c r="L11" s="52"/>
      <c r="M11" s="52">
        <f t="shared" si="1"/>
        <v>0</v>
      </c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</row>
    <row r="12" ht="15.75" customHeight="1">
      <c r="A12" s="52">
        <v>4.0</v>
      </c>
      <c r="B12" s="59" t="str">
        <f>'Base del Diseño Curricular'!F61</f>
        <v/>
      </c>
      <c r="C12" s="64"/>
      <c r="D12" s="66"/>
      <c r="E12" s="64"/>
      <c r="F12" s="67"/>
      <c r="G12" s="67"/>
      <c r="H12" s="67"/>
      <c r="I12" s="67"/>
      <c r="J12" s="62">
        <f>IF(C12="X",$C$7,0)+IF(D12="X",$D$7,0)+IF(E12="X",$E$7,0)+IF(F12="X",$F$7,0)+IF(G12="X",$G$7,0)+IF(H12="X",$H$7,0)+IF(I12="X",$I$7,0)</f>
        <v>0</v>
      </c>
      <c r="K12" s="52"/>
      <c r="L12" s="52"/>
      <c r="M12" s="52">
        <f t="shared" si="1"/>
        <v>0</v>
      </c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</row>
    <row r="13" ht="15.75" customHeight="1">
      <c r="A13" s="52">
        <v>5.0</v>
      </c>
      <c r="B13" s="59" t="str">
        <f>'Base del Diseño Curricular'!F62</f>
        <v/>
      </c>
      <c r="C13" s="64"/>
      <c r="D13" s="66"/>
      <c r="E13" s="64"/>
      <c r="F13" s="67"/>
      <c r="G13" s="67"/>
      <c r="H13" s="67"/>
      <c r="I13" s="67"/>
      <c r="J13" s="62">
        <f>if(C13="X",$C$7,0)+if(D13="X",$D$7,0)+if(E13="X",$E$7,0)+if(F13="X",$F$7,0)+if(G13="X",$G$7,0)+if(H13="X",$H$7,0)+if(I13="X",$I$7,0)</f>
        <v>0</v>
      </c>
      <c r="K13" s="52"/>
      <c r="L13" s="52"/>
      <c r="M13" s="52">
        <f t="shared" si="1"/>
        <v>0</v>
      </c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</row>
    <row r="14" ht="15.75" customHeight="1">
      <c r="A14" s="52">
        <v>6.0</v>
      </c>
      <c r="B14" s="59" t="str">
        <f>'Base del Diseño Curricular'!F63</f>
        <v/>
      </c>
      <c r="C14" s="66"/>
      <c r="D14" s="66"/>
      <c r="E14" s="66"/>
      <c r="F14" s="67"/>
      <c r="G14" s="67"/>
      <c r="H14" s="67"/>
      <c r="I14" s="67"/>
      <c r="J14" s="62">
        <f>IF(C14="X",$C$7,0)+IF(D14="X",$D$7,0)+IF(E14="X",$E$7,0)+IF(F14="X",$F$7,0)+IF(G14="X",$G$7,0)+IF(H14="X",$H$7,0)+IF(I14="X",$I$7,0)</f>
        <v>0</v>
      </c>
      <c r="K14" s="52"/>
      <c r="L14" s="52"/>
      <c r="M14" s="52">
        <f t="shared" si="1"/>
        <v>0</v>
      </c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</row>
    <row r="15" ht="15.75" customHeight="1">
      <c r="A15" s="36"/>
      <c r="B15" s="36"/>
      <c r="C15" s="36"/>
      <c r="D15" s="36"/>
      <c r="E15" s="36"/>
      <c r="F15" s="36"/>
      <c r="G15" s="36"/>
      <c r="H15" s="36"/>
      <c r="I15" s="70" t="s">
        <v>175</v>
      </c>
      <c r="J15" s="71">
        <f>SUM(J9:J14)</f>
        <v>100</v>
      </c>
      <c r="K15" s="36"/>
      <c r="L15" s="39" t="s">
        <v>176</v>
      </c>
      <c r="M15" s="36">
        <f>sum(M9:M14)</f>
        <v>2</v>
      </c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</row>
    <row r="16" ht="15.75" customHeight="1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</row>
    <row r="17" ht="15.75" customHeight="1">
      <c r="A17" s="72" t="s">
        <v>177</v>
      </c>
      <c r="B17" s="36"/>
      <c r="C17" s="36"/>
      <c r="D17" s="36"/>
      <c r="E17" s="36"/>
      <c r="F17" s="36"/>
      <c r="G17" s="36"/>
      <c r="H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</row>
    <row r="18" ht="15.75" customHeight="1">
      <c r="A18" s="72" t="s">
        <v>189</v>
      </c>
      <c r="B18" s="36"/>
      <c r="C18" s="36"/>
      <c r="D18" s="36"/>
      <c r="E18" s="36"/>
      <c r="F18" s="36"/>
      <c r="G18" s="36"/>
      <c r="H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</row>
    <row r="19" ht="15.75" customHeight="1">
      <c r="A19" s="72" t="s">
        <v>179</v>
      </c>
      <c r="B19" s="36"/>
      <c r="C19" s="36"/>
      <c r="D19" s="36"/>
      <c r="E19" s="36"/>
      <c r="F19" s="36"/>
      <c r="G19" s="36"/>
      <c r="H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</row>
    <row r="20" ht="15.75" customHeigh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</row>
    <row r="21" ht="15.75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</row>
    <row r="22" ht="15.75" customHeight="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</row>
    <row r="23" ht="15.75" customHeight="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</row>
    <row r="24" ht="15.75" customHeight="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</row>
    <row r="25" ht="15.75" customHeight="1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</row>
    <row r="26" ht="15.75" customHeight="1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</row>
    <row r="27" ht="15.75" customHeight="1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</row>
    <row r="28" ht="15.75" customHeight="1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</row>
    <row r="29" ht="15.75" customHeight="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</row>
    <row r="30" ht="15.75" customHeight="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</row>
    <row r="31" ht="15.75" customHeight="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</row>
    <row r="32" ht="15.75" customHeight="1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</row>
    <row r="33" ht="15.7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</row>
    <row r="34" ht="15.7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</row>
    <row r="35" ht="15.7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</row>
    <row r="36" ht="15.7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</row>
    <row r="37" ht="15.7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</row>
    <row r="38" ht="15.75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</row>
    <row r="39" ht="15.75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</row>
    <row r="40" ht="15.75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34" t="s">
        <v>150</v>
      </c>
      <c r="B1" s="75" t="s">
        <v>186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</row>
    <row r="2" ht="15.75" customHeight="1">
      <c r="A2" s="34" t="s">
        <v>33</v>
      </c>
      <c r="B2" s="73">
        <v>10.0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</row>
    <row r="3" ht="15.75" customHeight="1">
      <c r="A3" s="34" t="s">
        <v>32</v>
      </c>
      <c r="B3" s="38" t="str">
        <f>'Base del Diseño Curricular'!D65</f>
        <v>Como modelar en 3D usando Simio</v>
      </c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</row>
    <row r="4" ht="15.75" customHeight="1">
      <c r="A4" s="34" t="s">
        <v>34</v>
      </c>
      <c r="B4" s="39" t="str">
        <f>'Base del Diseño Curricular'!B44</f>
        <v>Procesos y Modelado Avanzado en Simio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</row>
    <row r="5" ht="15.75" customHeight="1">
      <c r="A5" s="36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</row>
    <row r="6" ht="15.75" customHeight="1">
      <c r="A6" s="40" t="s">
        <v>35</v>
      </c>
      <c r="B6" s="55" t="s">
        <v>154</v>
      </c>
      <c r="C6" s="43" t="s">
        <v>155</v>
      </c>
      <c r="D6" s="43" t="s">
        <v>156</v>
      </c>
      <c r="E6" s="43" t="s">
        <v>157</v>
      </c>
      <c r="F6" s="44" t="s">
        <v>158</v>
      </c>
      <c r="G6" s="45"/>
      <c r="H6" s="44" t="s">
        <v>159</v>
      </c>
      <c r="I6" s="45"/>
      <c r="J6" s="42" t="s">
        <v>160</v>
      </c>
      <c r="K6" s="56" t="s">
        <v>158</v>
      </c>
      <c r="L6" s="56" t="s">
        <v>159</v>
      </c>
      <c r="M6" s="57" t="s">
        <v>171</v>
      </c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</row>
    <row r="7" ht="15.75" customHeight="1">
      <c r="A7" s="46"/>
      <c r="B7" s="55" t="s">
        <v>172</v>
      </c>
      <c r="C7" s="74">
        <v>5.0</v>
      </c>
      <c r="D7" s="48">
        <v>10.0</v>
      </c>
      <c r="E7" s="74">
        <v>20.0</v>
      </c>
      <c r="F7" s="74">
        <v>20.0</v>
      </c>
      <c r="G7" s="48">
        <v>5.0</v>
      </c>
      <c r="H7" s="48">
        <v>5.0</v>
      </c>
      <c r="I7" s="48">
        <v>15.0</v>
      </c>
      <c r="J7" s="46"/>
      <c r="K7" s="58" t="s">
        <v>173</v>
      </c>
      <c r="L7" s="58" t="s">
        <v>173</v>
      </c>
      <c r="M7" s="17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</row>
    <row r="8" ht="15.75" customHeight="1">
      <c r="A8" s="49"/>
      <c r="B8" s="40" t="s">
        <v>36</v>
      </c>
      <c r="C8" s="49"/>
      <c r="D8" s="49"/>
      <c r="E8" s="49"/>
      <c r="F8" s="49"/>
      <c r="G8" s="49"/>
      <c r="H8" s="49"/>
      <c r="I8" s="49"/>
      <c r="J8" s="49"/>
      <c r="K8" s="19"/>
      <c r="L8" s="19"/>
      <c r="M8" s="19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</row>
    <row r="9">
      <c r="A9" s="50">
        <v>1.0</v>
      </c>
      <c r="B9" s="59" t="str">
        <f>'Base del Diseño Curricular'!F65</f>
        <v>Explicacion de que es el modelado 3D</v>
      </c>
      <c r="C9" s="60" t="s">
        <v>163</v>
      </c>
      <c r="D9" s="61"/>
      <c r="E9" s="60"/>
      <c r="F9" s="60"/>
      <c r="G9" s="61"/>
      <c r="H9" s="61"/>
      <c r="I9" s="61"/>
      <c r="J9" s="62">
        <f>if(C9="X",$C$7,0)+if(D9="X",$D$7,0)+if(E9="X",$E$7,0)+if(F9="X",$F$7,0)+if(G9="X",$G$7,0)+if(H9="X",$H$7,0)+if(I9="X",$I$7,0)</f>
        <v>5</v>
      </c>
      <c r="K9" s="63"/>
      <c r="L9" s="52"/>
      <c r="M9" s="52">
        <f t="shared" ref="M9:M14" si="1">sum(K9:L9)</f>
        <v>0</v>
      </c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</row>
    <row r="10" ht="15.75" customHeight="1">
      <c r="A10" s="52">
        <v>2.0</v>
      </c>
      <c r="B10" s="59" t="str">
        <f>'Base del Diseño Curricular'!F66</f>
        <v>Para que sirve el modelado 3D</v>
      </c>
      <c r="C10" s="60" t="s">
        <v>163</v>
      </c>
      <c r="D10" s="64"/>
      <c r="E10" s="64"/>
      <c r="F10" s="65"/>
      <c r="G10" s="65"/>
      <c r="H10" s="65"/>
      <c r="I10" s="65"/>
      <c r="J10" s="62">
        <f>IF(C10="X",$C$7,0)+IF(D10="X",$D$7,0)+IF(E10="X",$E$7,0)+IF(F10="X",$F$7,0)+IF(G10="X",$G$7,0)+IF(H10="X",$H$7,0)+IF(I10="X",$I$7,0)</f>
        <v>5</v>
      </c>
      <c r="K10" s="52"/>
      <c r="L10" s="52"/>
      <c r="M10" s="52">
        <f t="shared" si="1"/>
        <v>0</v>
      </c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</row>
    <row r="11" ht="15.75" customHeight="1">
      <c r="A11" s="52">
        <v>3.0</v>
      </c>
      <c r="B11" s="59" t="str">
        <f>'Base del Diseño Curricular'!F67</f>
        <v>Modelado 3D funcional</v>
      </c>
      <c r="C11" s="60" t="s">
        <v>163</v>
      </c>
      <c r="D11" s="66"/>
      <c r="E11" s="64"/>
      <c r="F11" s="67"/>
      <c r="G11" s="67"/>
      <c r="H11" s="67"/>
      <c r="I11" s="67"/>
      <c r="J11" s="62">
        <f>if(C11="X",$C$7,0)+if(D11="X",$D$7,0)+if(E11="X",$E$7,0)+if(F11="X",$F$7,0)+if(G11="X",$G$7,0)+if(H11="X",$H$7,0)+if(I11="X",$I$7,0)</f>
        <v>5</v>
      </c>
      <c r="K11" s="52"/>
      <c r="L11" s="52"/>
      <c r="M11" s="52">
        <f t="shared" si="1"/>
        <v>0</v>
      </c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</row>
    <row r="12" ht="15.75" customHeight="1">
      <c r="A12" s="52">
        <v>4.0</v>
      </c>
      <c r="B12" s="59" t="str">
        <f>'Base del Diseño Curricular'!F68</f>
        <v>Modelado 3D ambiental</v>
      </c>
      <c r="C12" s="60" t="s">
        <v>163</v>
      </c>
      <c r="D12" s="64" t="s">
        <v>163</v>
      </c>
      <c r="E12" s="64"/>
      <c r="F12" s="67"/>
      <c r="G12" s="67"/>
      <c r="H12" s="67"/>
      <c r="I12" s="67"/>
      <c r="J12" s="62">
        <f>IF(C12="X",$C$7,0)+IF(D12="X",$D$7,0)+IF(E12="X",$E$7,0)+IF(F12="X",$F$7,0)+IF(G12="X",$G$7,0)+IF(H12="X",$H$7,0)+IF(I12="X",$I$7,0)</f>
        <v>15</v>
      </c>
      <c r="K12" s="52"/>
      <c r="L12" s="52"/>
      <c r="M12" s="52">
        <f t="shared" si="1"/>
        <v>0</v>
      </c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</row>
    <row r="13" ht="15.75" customHeight="1">
      <c r="A13" s="52">
        <v>5.0</v>
      </c>
      <c r="B13" s="59" t="str">
        <f>'Base del Diseño Curricular'!F69</f>
        <v>Como descargar mas modelos en 3D</v>
      </c>
      <c r="C13" s="60" t="s">
        <v>163</v>
      </c>
      <c r="D13" s="66"/>
      <c r="E13" s="64" t="s">
        <v>163</v>
      </c>
      <c r="F13" s="67"/>
      <c r="G13" s="65" t="s">
        <v>163</v>
      </c>
      <c r="H13" s="67"/>
      <c r="I13" s="67"/>
      <c r="J13" s="62">
        <f>if(C13="X",$C$7,0)+if(D13="X",$D$7,0)+if(E13="X",$E$7,0)+if(F13="X",$F$7,0)+if(G13="X",$G$7,0)+if(H13="X",$H$7,0)+if(I13="X",$I$7,0)</f>
        <v>30</v>
      </c>
      <c r="K13" s="52"/>
      <c r="L13" s="52"/>
      <c r="M13" s="52">
        <f t="shared" si="1"/>
        <v>0</v>
      </c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</row>
    <row r="14" ht="15.75" customHeight="1">
      <c r="A14" s="52">
        <v>6.0</v>
      </c>
      <c r="B14" s="59" t="str">
        <f>'Base del Diseño Curricular'!F70</f>
        <v>Creación, modificación de vistas</v>
      </c>
      <c r="C14" s="60" t="s">
        <v>163</v>
      </c>
      <c r="D14" s="66"/>
      <c r="E14" s="66"/>
      <c r="F14" s="65" t="s">
        <v>163</v>
      </c>
      <c r="G14" s="67"/>
      <c r="H14" s="65"/>
      <c r="I14" s="65" t="s">
        <v>163</v>
      </c>
      <c r="J14" s="62">
        <f>IF(C14="X",$C$7,0)+IF(D14="X",$D$7,0)+IF(E14="X",$E$7,0)+IF(F14="X",$F$7,0)+IF(G14="X",$G$7,0)+IF(H14="X",$H$7,0)+IF(I14="X",$I$7,0)</f>
        <v>40</v>
      </c>
      <c r="K14" s="69">
        <v>2.0</v>
      </c>
      <c r="L14" s="69">
        <v>2.0</v>
      </c>
      <c r="M14" s="52">
        <f t="shared" si="1"/>
        <v>4</v>
      </c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</row>
    <row r="15" ht="15.75" customHeight="1">
      <c r="A15" s="36"/>
      <c r="B15" s="36"/>
      <c r="C15" s="36"/>
      <c r="D15" s="36"/>
      <c r="E15" s="36"/>
      <c r="F15" s="36"/>
      <c r="G15" s="36"/>
      <c r="H15" s="36"/>
      <c r="I15" s="70" t="s">
        <v>175</v>
      </c>
      <c r="J15" s="71">
        <f>SUM(J9:J14)</f>
        <v>100</v>
      </c>
      <c r="K15" s="36"/>
      <c r="L15" s="39" t="s">
        <v>176</v>
      </c>
      <c r="M15" s="36">
        <f>sum(M9:M14)</f>
        <v>4</v>
      </c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</row>
    <row r="16" ht="15.75" customHeight="1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</row>
    <row r="17" ht="15.75" customHeight="1">
      <c r="A17" s="72" t="s">
        <v>177</v>
      </c>
      <c r="B17" s="36"/>
      <c r="C17" s="36"/>
      <c r="D17" s="36"/>
      <c r="E17" s="36"/>
      <c r="F17" s="36"/>
      <c r="G17" s="36"/>
      <c r="H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</row>
    <row r="18" ht="15.75" customHeight="1">
      <c r="A18" s="72" t="s">
        <v>190</v>
      </c>
      <c r="B18" s="36"/>
      <c r="C18" s="36"/>
      <c r="D18" s="36"/>
      <c r="E18" s="36"/>
      <c r="F18" s="36"/>
      <c r="G18" s="36"/>
      <c r="H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</row>
    <row r="19" ht="15.75" customHeight="1">
      <c r="A19" s="72" t="s">
        <v>179</v>
      </c>
      <c r="B19" s="36"/>
      <c r="C19" s="36"/>
      <c r="D19" s="36"/>
      <c r="E19" s="36"/>
      <c r="F19" s="36"/>
      <c r="G19" s="36"/>
      <c r="H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</row>
    <row r="20" ht="15.75" customHeigh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</row>
    <row r="21" ht="15.75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</row>
    <row r="22" ht="15.75" customHeight="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</row>
    <row r="23" ht="15.75" customHeight="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</row>
    <row r="24" ht="15.75" customHeight="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</row>
    <row r="25" ht="15.75" customHeight="1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</row>
    <row r="26" ht="15.75" customHeight="1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</row>
    <row r="27" ht="15.75" customHeight="1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</row>
    <row r="28" ht="15.75" customHeight="1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</row>
    <row r="29" ht="15.75" customHeight="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</row>
    <row r="30" ht="15.75" customHeight="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</row>
    <row r="31" ht="15.75" customHeight="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</row>
    <row r="32" ht="15.75" customHeight="1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</row>
    <row r="33" ht="15.7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</row>
    <row r="34" ht="15.7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</row>
    <row r="35" ht="15.7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</row>
    <row r="36" ht="15.7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</row>
    <row r="37" ht="15.7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</row>
    <row r="38" ht="15.75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</row>
    <row r="39" ht="15.75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</row>
    <row r="40" ht="15.75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34" t="s">
        <v>150</v>
      </c>
      <c r="B1" s="75" t="s">
        <v>191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</row>
    <row r="2" ht="15.75" customHeight="1">
      <c r="A2" s="34" t="s">
        <v>33</v>
      </c>
      <c r="B2" s="73">
        <v>11.0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</row>
    <row r="3" ht="15.75" customHeight="1">
      <c r="A3" s="34" t="s">
        <v>32</v>
      </c>
      <c r="B3" s="38" t="str">
        <f>'Base del Diseño Curricular'!B72</f>
        <v>Análisis Financiero y Experimentos Avanzados en Simio</v>
      </c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</row>
    <row r="4" ht="15.75" customHeight="1">
      <c r="A4" s="34" t="s">
        <v>34</v>
      </c>
      <c r="B4" s="39" t="str">
        <f>'Base del Diseño Curricular'!D72</f>
        <v>Como realizar finanzas en Simio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</row>
    <row r="5" ht="15.75" customHeight="1">
      <c r="A5" s="36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</row>
    <row r="6" ht="15.75" customHeight="1">
      <c r="A6" s="40" t="s">
        <v>35</v>
      </c>
      <c r="B6" s="55" t="s">
        <v>154</v>
      </c>
      <c r="C6" s="43" t="s">
        <v>155</v>
      </c>
      <c r="D6" s="43" t="s">
        <v>156</v>
      </c>
      <c r="E6" s="43" t="s">
        <v>157</v>
      </c>
      <c r="F6" s="44" t="s">
        <v>158</v>
      </c>
      <c r="G6" s="45"/>
      <c r="H6" s="44" t="s">
        <v>159</v>
      </c>
      <c r="I6" s="45"/>
      <c r="J6" s="42" t="s">
        <v>160</v>
      </c>
      <c r="K6" s="56" t="s">
        <v>158</v>
      </c>
      <c r="L6" s="56" t="s">
        <v>159</v>
      </c>
      <c r="M6" s="57" t="s">
        <v>171</v>
      </c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</row>
    <row r="7" ht="15.75" customHeight="1">
      <c r="A7" s="46"/>
      <c r="B7" s="55" t="s">
        <v>172</v>
      </c>
      <c r="C7" s="74">
        <v>5.0</v>
      </c>
      <c r="D7" s="74">
        <v>15.0</v>
      </c>
      <c r="E7" s="74">
        <v>15.0</v>
      </c>
      <c r="F7" s="48">
        <v>15.0</v>
      </c>
      <c r="G7" s="48">
        <v>5.0</v>
      </c>
      <c r="H7" s="48">
        <v>5.0</v>
      </c>
      <c r="I7" s="48">
        <v>15.0</v>
      </c>
      <c r="J7" s="46"/>
      <c r="K7" s="58" t="s">
        <v>173</v>
      </c>
      <c r="L7" s="58" t="s">
        <v>173</v>
      </c>
      <c r="M7" s="17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</row>
    <row r="8" ht="15.75" customHeight="1">
      <c r="A8" s="49"/>
      <c r="B8" s="40" t="s">
        <v>36</v>
      </c>
      <c r="C8" s="49"/>
      <c r="D8" s="49"/>
      <c r="E8" s="49"/>
      <c r="F8" s="49"/>
      <c r="G8" s="49"/>
      <c r="H8" s="49"/>
      <c r="I8" s="49"/>
      <c r="J8" s="49"/>
      <c r="K8" s="19"/>
      <c r="L8" s="19"/>
      <c r="M8" s="19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</row>
    <row r="9">
      <c r="A9" s="50">
        <v>1.0</v>
      </c>
      <c r="B9" s="59" t="str">
        <f>'Base del Diseño Curricular'!F72</f>
        <v>Introduccion a finanzas</v>
      </c>
      <c r="C9" s="60" t="s">
        <v>163</v>
      </c>
      <c r="D9" s="60" t="s">
        <v>163</v>
      </c>
      <c r="E9" s="60"/>
      <c r="F9" s="60"/>
      <c r="G9" s="61"/>
      <c r="H9" s="61"/>
      <c r="I9" s="60" t="s">
        <v>163</v>
      </c>
      <c r="J9" s="62">
        <f>if(C9="X",$C$7,0)+if(D9="X",$D$7,0)+if(E9="X",$E$7,0)+if(F9="X",$F$7,0)+if(G9="X",$G$7,0)+if(H9="X",$H$7,0)+if(I9="X",$I$7,0)</f>
        <v>35</v>
      </c>
      <c r="K9" s="63"/>
      <c r="L9" s="69">
        <v>2.0</v>
      </c>
      <c r="M9" s="52">
        <f t="shared" ref="M9:M14" si="1">sum(K9:L9)</f>
        <v>2</v>
      </c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</row>
    <row r="10" ht="15.75" customHeight="1">
      <c r="A10" s="52">
        <v>2.0</v>
      </c>
      <c r="B10" s="59" t="str">
        <f>'Base del Diseño Curricular'!F73</f>
        <v>Como realizar el cambio de divisas</v>
      </c>
      <c r="C10" s="64" t="s">
        <v>163</v>
      </c>
      <c r="D10" s="64"/>
      <c r="E10" s="64"/>
      <c r="F10" s="65"/>
      <c r="G10" s="65"/>
      <c r="H10" s="65"/>
      <c r="I10" s="65"/>
      <c r="J10" s="62">
        <f>IF(C10="X",$C$7,0)+IF(D10="X",$D$7,0)+IF(E10="X",$E$7,0)+IF(F10="X",$F$7,0)+IF(G10="X",$G$7,0)+IF(H10="X",$H$7,0)+IF(I10="X",$I$7,0)</f>
        <v>5</v>
      </c>
      <c r="K10" s="52"/>
      <c r="L10" s="52"/>
      <c r="M10" s="52">
        <f t="shared" si="1"/>
        <v>0</v>
      </c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</row>
    <row r="11" ht="15.75" customHeight="1">
      <c r="A11" s="52">
        <v>3.0</v>
      </c>
      <c r="B11" s="59" t="str">
        <f>'Base del Diseño Curricular'!F74</f>
        <v>Como aplicar gastos por uso de un servidor</v>
      </c>
      <c r="C11" s="64" t="s">
        <v>163</v>
      </c>
      <c r="D11" s="66"/>
      <c r="E11" s="64"/>
      <c r="F11" s="65" t="s">
        <v>163</v>
      </c>
      <c r="G11" s="67"/>
      <c r="H11" s="67"/>
      <c r="I11" s="67"/>
      <c r="J11" s="62">
        <f>if(C11="X",$C$7,0)+if(D11="X",$D$7,0)+if(E11="X",$E$7,0)+if(F11="X",$F$7,0)+if(G11="X",$G$7,0)+if(H11="X",$H$7,0)+if(I11="X",$I$7,0)</f>
        <v>20</v>
      </c>
      <c r="K11" s="52"/>
      <c r="L11" s="52"/>
      <c r="M11" s="52">
        <f t="shared" si="1"/>
        <v>0</v>
      </c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</row>
    <row r="12" ht="15.75" customHeight="1">
      <c r="A12" s="52">
        <v>4.0</v>
      </c>
      <c r="B12" s="59" t="str">
        <f>'Base del Diseño Curricular'!F75</f>
        <v>Creacion de variables de centro de costos</v>
      </c>
      <c r="C12" s="64" t="s">
        <v>163</v>
      </c>
      <c r="D12" s="66"/>
      <c r="E12" s="64" t="s">
        <v>163</v>
      </c>
      <c r="F12" s="65" t="s">
        <v>163</v>
      </c>
      <c r="G12" s="65" t="s">
        <v>163</v>
      </c>
      <c r="H12" s="67"/>
      <c r="I12" s="67"/>
      <c r="J12" s="62">
        <f>IF(C12="X",$C$7,0)+IF(D12="X",$D$7,0)+IF(E12="X",$E$7,0)+IF(F12="X",$F$7,0)+IF(G12="X",$G$7,0)+IF(H12="X",$H$7,0)+IF(I12="X",$I$7,0)</f>
        <v>40</v>
      </c>
      <c r="K12" s="52"/>
      <c r="L12" s="52"/>
      <c r="M12" s="52">
        <f t="shared" si="1"/>
        <v>0</v>
      </c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</row>
    <row r="13" ht="15.75" customHeight="1">
      <c r="A13" s="52">
        <v>5.0</v>
      </c>
      <c r="B13" s="59" t="str">
        <f>'Base del Diseño Curricular'!F76</f>
        <v/>
      </c>
      <c r="C13" s="64"/>
      <c r="D13" s="66"/>
      <c r="E13" s="64"/>
      <c r="F13" s="67"/>
      <c r="G13" s="67"/>
      <c r="H13" s="67"/>
      <c r="I13" s="67"/>
      <c r="J13" s="62">
        <f>if(C13="X",$C$7,0)+if(D13="X",$D$7,0)+if(E13="X",$E$7,0)+if(F13="X",$F$7,0)+if(G13="X",$G$7,0)+if(H13="X",$H$7,0)+if(I13="X",$I$7,0)</f>
        <v>0</v>
      </c>
      <c r="K13" s="52"/>
      <c r="L13" s="52"/>
      <c r="M13" s="52">
        <f t="shared" si="1"/>
        <v>0</v>
      </c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</row>
    <row r="14" ht="15.75" customHeight="1">
      <c r="A14" s="52">
        <v>6.0</v>
      </c>
      <c r="B14" s="59" t="str">
        <f>'Base del Diseño Curricular'!F77</f>
        <v/>
      </c>
      <c r="C14" s="66"/>
      <c r="D14" s="66"/>
      <c r="E14" s="66"/>
      <c r="F14" s="67"/>
      <c r="G14" s="67"/>
      <c r="H14" s="67"/>
      <c r="I14" s="67"/>
      <c r="J14" s="62">
        <f>IF(C14="X",$C$7,0)+IF(D14="X",$D$7,0)+IF(E14="X",$E$7,0)+IF(F14="X",$F$7,0)+IF(G14="X",$G$7,0)+IF(H14="X",$H$7,0)+IF(I14="X",$I$7,0)</f>
        <v>0</v>
      </c>
      <c r="K14" s="52"/>
      <c r="L14" s="52"/>
      <c r="M14" s="52">
        <f t="shared" si="1"/>
        <v>0</v>
      </c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</row>
    <row r="15" ht="26.25" customHeight="1">
      <c r="A15" s="36"/>
      <c r="B15" s="36"/>
      <c r="C15" s="36"/>
      <c r="D15" s="36"/>
      <c r="E15" s="36"/>
      <c r="F15" s="36"/>
      <c r="G15" s="36"/>
      <c r="H15" s="36"/>
      <c r="I15" s="70" t="s">
        <v>175</v>
      </c>
      <c r="J15" s="71">
        <f>SUM(J9:J14)</f>
        <v>100</v>
      </c>
      <c r="K15" s="36"/>
      <c r="L15" s="39" t="s">
        <v>176</v>
      </c>
      <c r="M15" s="36">
        <f>sum(M9:M14)</f>
        <v>2</v>
      </c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</row>
    <row r="16" ht="15.75" customHeight="1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</row>
    <row r="17" ht="15.75" customHeight="1">
      <c r="A17" s="72" t="s">
        <v>177</v>
      </c>
      <c r="B17" s="36"/>
      <c r="C17" s="36"/>
      <c r="D17" s="36"/>
      <c r="E17" s="36"/>
      <c r="F17" s="36"/>
      <c r="G17" s="36"/>
      <c r="H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</row>
    <row r="18" ht="15.75" customHeight="1">
      <c r="A18" s="72" t="s">
        <v>192</v>
      </c>
      <c r="B18" s="36"/>
      <c r="C18" s="36"/>
      <c r="D18" s="36"/>
      <c r="E18" s="36"/>
      <c r="F18" s="36"/>
      <c r="G18" s="36"/>
      <c r="H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</row>
    <row r="19" ht="15.75" customHeight="1">
      <c r="A19" s="72" t="s">
        <v>179</v>
      </c>
      <c r="B19" s="36"/>
      <c r="C19" s="36"/>
      <c r="D19" s="36"/>
      <c r="E19" s="36"/>
      <c r="F19" s="36"/>
      <c r="G19" s="36"/>
      <c r="H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</row>
    <row r="20" ht="15.75" customHeigh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</row>
    <row r="21" ht="15.75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</row>
    <row r="22" ht="15.75" customHeight="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</row>
    <row r="23" ht="15.75" customHeight="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</row>
    <row r="24" ht="15.75" customHeight="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</row>
    <row r="25" ht="15.75" customHeight="1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</row>
    <row r="26" ht="15.75" customHeight="1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</row>
    <row r="27" ht="15.75" customHeight="1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</row>
    <row r="28" ht="15.75" customHeight="1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</row>
    <row r="29" ht="15.75" customHeight="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</row>
    <row r="30" ht="15.75" customHeight="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</row>
    <row r="31" ht="15.75" customHeight="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</row>
    <row r="32" ht="15.75" customHeight="1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</row>
    <row r="33" ht="15.7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</row>
    <row r="34" ht="15.7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</row>
    <row r="35" ht="15.7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</row>
    <row r="36" ht="15.7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</row>
    <row r="37" ht="15.7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</row>
    <row r="38" ht="15.75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</row>
    <row r="39" ht="15.75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</row>
    <row r="40" ht="15.75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33.25"/>
    <col customWidth="1" min="3" max="3" width="8.13"/>
    <col customWidth="1" min="4" max="4" width="7.5"/>
    <col customWidth="1" min="5" max="5" width="9.0"/>
    <col customWidth="1" min="6" max="6" width="7.88"/>
    <col customWidth="1" min="7" max="7" width="5.63"/>
    <col customWidth="1" min="8" max="8" width="4.88"/>
    <col customWidth="1" min="9" max="9" width="5.5"/>
    <col customWidth="1" min="10" max="10" width="9.75"/>
    <col customWidth="1" min="11" max="11" width="9.88"/>
    <col customWidth="1" min="14" max="14" width="17.0"/>
  </cols>
  <sheetData>
    <row r="1" ht="15.75" customHeight="1">
      <c r="A1" s="34" t="s">
        <v>150</v>
      </c>
      <c r="B1" s="75" t="s">
        <v>191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ht="15.75" customHeight="1">
      <c r="A2" s="34" t="s">
        <v>33</v>
      </c>
      <c r="B2" s="73">
        <v>12.0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</row>
    <row r="3" ht="32.25" customHeight="1">
      <c r="A3" s="76" t="s">
        <v>32</v>
      </c>
      <c r="B3" s="38" t="str">
        <f>'Base del Diseño Curricular'!B72</f>
        <v>Análisis Financiero y Experimentos Avanzados en Simio</v>
      </c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</row>
    <row r="4" ht="15.75" customHeight="1">
      <c r="A4" s="34" t="s">
        <v>34</v>
      </c>
      <c r="B4" s="39" t="str">
        <f>'Base del Diseño Curricular'!D79</f>
        <v>Análisis de resultados en Simio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</row>
    <row r="5" ht="15.75" customHeight="1">
      <c r="A5" s="36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</row>
    <row r="6" ht="15.75" customHeight="1">
      <c r="A6" s="40" t="s">
        <v>35</v>
      </c>
      <c r="B6" s="55" t="s">
        <v>154</v>
      </c>
      <c r="C6" s="44" t="s">
        <v>155</v>
      </c>
      <c r="D6" s="45"/>
      <c r="E6" s="43" t="s">
        <v>156</v>
      </c>
      <c r="F6" s="43" t="s">
        <v>157</v>
      </c>
      <c r="G6" s="44" t="s">
        <v>158</v>
      </c>
      <c r="H6" s="45"/>
      <c r="I6" s="44" t="s">
        <v>159</v>
      </c>
      <c r="J6" s="45"/>
      <c r="K6" s="42" t="s">
        <v>160</v>
      </c>
      <c r="L6" s="56" t="s">
        <v>158</v>
      </c>
      <c r="M6" s="56" t="s">
        <v>159</v>
      </c>
      <c r="N6" s="57" t="s">
        <v>171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</row>
    <row r="7" ht="15.75" customHeight="1">
      <c r="A7" s="46"/>
      <c r="B7" s="55" t="s">
        <v>172</v>
      </c>
      <c r="C7" s="74">
        <v>15.0</v>
      </c>
      <c r="D7" s="74">
        <v>5.0</v>
      </c>
      <c r="E7" s="74">
        <v>15.0</v>
      </c>
      <c r="F7" s="74">
        <v>20.0</v>
      </c>
      <c r="G7" s="74">
        <v>30.0</v>
      </c>
      <c r="H7" s="48">
        <v>5.0</v>
      </c>
      <c r="I7" s="48">
        <v>5.0</v>
      </c>
      <c r="J7" s="48">
        <v>15.0</v>
      </c>
      <c r="K7" s="46"/>
      <c r="L7" s="58" t="s">
        <v>173</v>
      </c>
      <c r="M7" s="58" t="s">
        <v>173</v>
      </c>
      <c r="N7" s="17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</row>
    <row r="8" ht="15.75" customHeight="1">
      <c r="A8" s="49"/>
      <c r="B8" s="40" t="s">
        <v>36</v>
      </c>
      <c r="C8" s="49"/>
      <c r="D8" s="49"/>
      <c r="E8" s="49"/>
      <c r="F8" s="49"/>
      <c r="G8" s="49"/>
      <c r="H8" s="49"/>
      <c r="I8" s="49"/>
      <c r="J8" s="49"/>
      <c r="K8" s="49"/>
      <c r="L8" s="19"/>
      <c r="M8" s="19"/>
      <c r="N8" s="19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>
      <c r="A9" s="50">
        <v>1.0</v>
      </c>
      <c r="B9" s="59" t="str">
        <f>'Base del Diseño Curricular'!F79</f>
        <v>Uso de la tabla pivote de resultados</v>
      </c>
      <c r="C9" s="60"/>
      <c r="D9" s="60" t="s">
        <v>163</v>
      </c>
      <c r="E9" s="60" t="s">
        <v>163</v>
      </c>
      <c r="F9" s="60"/>
      <c r="G9" s="60"/>
      <c r="H9" s="61"/>
      <c r="I9" s="61"/>
      <c r="J9" s="60" t="s">
        <v>163</v>
      </c>
      <c r="K9" s="62">
        <f t="shared" ref="K9:K15" si="1">if(C9="X",$C$7,0)+if(E9="X",$E$7,0)+if(D9="X",$D$7,0)+if(F9="X",$F$7,0)+if(G9="X",$G$7,0)+if(H9="X",$H$7,0)+if(I9="X",$I$7,0)+if(J9="X",$J$7,0)</f>
        <v>35</v>
      </c>
      <c r="L9" s="63"/>
      <c r="M9" s="69">
        <v>2.0</v>
      </c>
      <c r="N9" s="52">
        <f t="shared" ref="N9:N14" si="2">sum(L9:M9)</f>
        <v>2</v>
      </c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</row>
    <row r="10" ht="15.75" customHeight="1">
      <c r="A10" s="52">
        <v>2.0</v>
      </c>
      <c r="B10" s="59" t="str">
        <f>'Base del Diseño Curricular'!F80</f>
        <v>Visualización y generación de reportes</v>
      </c>
      <c r="C10" s="64"/>
      <c r="D10" s="64" t="s">
        <v>163</v>
      </c>
      <c r="E10" s="64"/>
      <c r="F10" s="64" t="s">
        <v>163</v>
      </c>
      <c r="G10" s="65" t="s">
        <v>163</v>
      </c>
      <c r="H10" s="65"/>
      <c r="I10" s="65"/>
      <c r="J10" s="65"/>
      <c r="K10" s="62">
        <f t="shared" si="1"/>
        <v>55</v>
      </c>
      <c r="L10" s="69">
        <v>2.0</v>
      </c>
      <c r="M10" s="52"/>
      <c r="N10" s="52">
        <f t="shared" si="2"/>
        <v>2</v>
      </c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</row>
    <row r="11" ht="15.75" customHeight="1">
      <c r="A11" s="52">
        <v>3.0</v>
      </c>
      <c r="B11" s="59" t="str">
        <f>'Base del Diseño Curricular'!F81</f>
        <v>Generación y visualización de dashboards</v>
      </c>
      <c r="C11" s="64"/>
      <c r="D11" s="64" t="s">
        <v>163</v>
      </c>
      <c r="E11" s="66"/>
      <c r="F11" s="64"/>
      <c r="G11" s="67"/>
      <c r="H11" s="65" t="s">
        <v>163</v>
      </c>
      <c r="I11" s="67"/>
      <c r="J11" s="67"/>
      <c r="K11" s="62">
        <f t="shared" si="1"/>
        <v>10</v>
      </c>
      <c r="L11" s="52"/>
      <c r="M11" s="52"/>
      <c r="N11" s="52">
        <f t="shared" si="2"/>
        <v>0</v>
      </c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</row>
    <row r="12" ht="15.75" customHeight="1">
      <c r="A12" s="52">
        <v>4.0</v>
      </c>
      <c r="B12" s="59"/>
      <c r="C12" s="64"/>
      <c r="D12" s="64"/>
      <c r="E12" s="66"/>
      <c r="F12" s="64"/>
      <c r="G12" s="67"/>
      <c r="H12" s="67"/>
      <c r="I12" s="67"/>
      <c r="J12" s="67"/>
      <c r="K12" s="62">
        <f t="shared" si="1"/>
        <v>0</v>
      </c>
      <c r="L12" s="52"/>
      <c r="M12" s="52"/>
      <c r="N12" s="52">
        <f t="shared" si="2"/>
        <v>0</v>
      </c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</row>
    <row r="13" ht="15.75" customHeight="1">
      <c r="A13" s="52">
        <v>5.0</v>
      </c>
      <c r="B13" s="59"/>
      <c r="C13" s="64"/>
      <c r="D13" s="64"/>
      <c r="E13" s="66"/>
      <c r="F13" s="64"/>
      <c r="G13" s="67"/>
      <c r="H13" s="67"/>
      <c r="I13" s="67"/>
      <c r="J13" s="67"/>
      <c r="K13" s="62">
        <f t="shared" si="1"/>
        <v>0</v>
      </c>
      <c r="L13" s="52"/>
      <c r="M13" s="52"/>
      <c r="N13" s="52">
        <f t="shared" si="2"/>
        <v>0</v>
      </c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</row>
    <row r="14" ht="15.75" customHeight="1">
      <c r="A14" s="52">
        <v>6.0</v>
      </c>
      <c r="B14" s="68"/>
      <c r="C14" s="64"/>
      <c r="D14" s="64"/>
      <c r="E14" s="66"/>
      <c r="F14" s="66"/>
      <c r="G14" s="67"/>
      <c r="H14" s="67"/>
      <c r="I14" s="67"/>
      <c r="J14" s="67"/>
      <c r="K14" s="62">
        <f t="shared" si="1"/>
        <v>0</v>
      </c>
      <c r="L14" s="52"/>
      <c r="M14" s="52"/>
      <c r="N14" s="52">
        <f t="shared" si="2"/>
        <v>0</v>
      </c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</row>
    <row r="15" ht="15.75" customHeight="1">
      <c r="A15" s="69">
        <v>7.0</v>
      </c>
      <c r="B15" s="78"/>
      <c r="C15" s="52"/>
      <c r="D15" s="52"/>
      <c r="E15" s="52"/>
      <c r="F15" s="52"/>
      <c r="G15" s="52"/>
      <c r="H15" s="52"/>
      <c r="I15" s="52"/>
      <c r="J15" s="79"/>
      <c r="K15" s="62">
        <f t="shared" si="1"/>
        <v>0</v>
      </c>
      <c r="L15" s="52"/>
      <c r="M15" s="53"/>
      <c r="N15" s="52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</row>
    <row r="16" ht="38.25" customHeight="1">
      <c r="A16" s="36"/>
      <c r="B16" s="36"/>
      <c r="C16" s="36"/>
      <c r="D16" s="36"/>
      <c r="E16" s="36"/>
      <c r="F16" s="36"/>
      <c r="G16" s="36"/>
      <c r="H16" s="36"/>
      <c r="I16" s="36"/>
      <c r="J16" s="70" t="s">
        <v>175</v>
      </c>
      <c r="K16" s="71">
        <f>SUM(K9:K15)</f>
        <v>100</v>
      </c>
      <c r="L16" s="36"/>
      <c r="M16" s="39" t="s">
        <v>176</v>
      </c>
      <c r="N16" s="36">
        <f>sum(N9:N14)</f>
        <v>4</v>
      </c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</row>
    <row r="17" ht="15.75" customHeight="1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</row>
    <row r="18" ht="15.75" customHeight="1">
      <c r="A18" s="72" t="s">
        <v>177</v>
      </c>
      <c r="B18" s="36"/>
      <c r="C18" s="36"/>
      <c r="D18" s="36"/>
      <c r="E18" s="36"/>
      <c r="F18" s="36"/>
      <c r="G18" s="36"/>
      <c r="H18" s="36"/>
      <c r="I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</row>
    <row r="19" ht="15.75" customHeight="1">
      <c r="A19" s="72" t="s">
        <v>193</v>
      </c>
      <c r="B19" s="36"/>
      <c r="C19" s="36"/>
      <c r="D19" s="36"/>
      <c r="E19" s="36"/>
      <c r="F19" s="36"/>
      <c r="G19" s="36"/>
      <c r="H19" s="36"/>
      <c r="I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</row>
    <row r="20" ht="15.75" customHeight="1">
      <c r="A20" s="72" t="s">
        <v>179</v>
      </c>
      <c r="B20" s="36"/>
      <c r="C20" s="36"/>
      <c r="D20" s="36"/>
      <c r="E20" s="36"/>
      <c r="F20" s="36"/>
      <c r="G20" s="36"/>
      <c r="H20" s="36"/>
      <c r="I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</row>
    <row r="21" ht="15.75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</row>
    <row r="22" ht="15.75" customHeight="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</row>
    <row r="23" ht="15.75" customHeight="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</row>
    <row r="24" ht="15.75" customHeight="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</row>
    <row r="25" ht="15.75" customHeight="1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</row>
    <row r="26" ht="15.75" customHeight="1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</row>
    <row r="27" ht="15.75" customHeight="1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</row>
    <row r="28" ht="15.75" customHeight="1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</row>
    <row r="29" ht="15.75" customHeight="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</row>
    <row r="30" ht="15.75" customHeight="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</row>
    <row r="31" ht="15.75" customHeight="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</row>
    <row r="32" ht="15.75" customHeight="1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</row>
    <row r="33" ht="15.7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</row>
    <row r="34" ht="15.7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</row>
    <row r="35" ht="15.7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</row>
    <row r="36" ht="15.7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</row>
    <row r="37" ht="15.7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</row>
    <row r="38" ht="15.75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</row>
    <row r="39" ht="15.75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</row>
    <row r="40" ht="15.75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6">
    <mergeCell ref="D7:D8"/>
    <mergeCell ref="E7:E8"/>
    <mergeCell ref="F7:F8"/>
    <mergeCell ref="G7:G8"/>
    <mergeCell ref="H7:H8"/>
    <mergeCell ref="I7:I8"/>
    <mergeCell ref="K6:K8"/>
    <mergeCell ref="L7:L8"/>
    <mergeCell ref="A6:A8"/>
    <mergeCell ref="C6:D6"/>
    <mergeCell ref="G6:H6"/>
    <mergeCell ref="I6:J6"/>
    <mergeCell ref="N6:N8"/>
    <mergeCell ref="C7:C8"/>
    <mergeCell ref="J7:J8"/>
    <mergeCell ref="M7:M8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31.75"/>
    <col customWidth="1" min="3" max="3" width="7.63"/>
    <col customWidth="1" min="4" max="5" width="8.88"/>
    <col customWidth="1" min="6" max="6" width="7.75"/>
    <col customWidth="1" min="7" max="7" width="6.75"/>
    <col customWidth="1" min="8" max="8" width="6.13"/>
    <col customWidth="1" min="9" max="9" width="6.5"/>
    <col customWidth="1" min="10" max="10" width="9.88"/>
    <col customWidth="1" min="11" max="11" width="8.0"/>
    <col customWidth="1" min="14" max="14" width="17.0"/>
  </cols>
  <sheetData>
    <row r="1" ht="15.75" customHeight="1">
      <c r="A1" s="34" t="s">
        <v>150</v>
      </c>
      <c r="B1" s="75" t="s">
        <v>191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ht="15.75" customHeight="1">
      <c r="A2" s="34" t="s">
        <v>33</v>
      </c>
      <c r="B2" s="73">
        <v>13.0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</row>
    <row r="3" ht="32.25" customHeight="1">
      <c r="A3" s="76" t="s">
        <v>32</v>
      </c>
      <c r="B3" s="38" t="str">
        <f>'Base del Diseño Curricular'!B72</f>
        <v>Análisis Financiero y Experimentos Avanzados en Simio</v>
      </c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</row>
    <row r="4" ht="15.75" customHeight="1">
      <c r="A4" s="34" t="s">
        <v>34</v>
      </c>
      <c r="B4" s="39" t="str">
        <f>'Base del Diseño Curricular'!D86</f>
        <v>Experimentos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</row>
    <row r="5" ht="15.75" customHeight="1">
      <c r="A5" s="36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</row>
    <row r="6" ht="15.75" customHeight="1">
      <c r="A6" s="77" t="s">
        <v>35</v>
      </c>
      <c r="B6" s="55" t="s">
        <v>154</v>
      </c>
      <c r="C6" s="44" t="s">
        <v>155</v>
      </c>
      <c r="D6" s="45"/>
      <c r="E6" s="43" t="s">
        <v>156</v>
      </c>
      <c r="F6" s="43" t="s">
        <v>157</v>
      </c>
      <c r="G6" s="44" t="s">
        <v>158</v>
      </c>
      <c r="H6" s="45"/>
      <c r="I6" s="44" t="s">
        <v>159</v>
      </c>
      <c r="J6" s="45"/>
      <c r="K6" s="42" t="s">
        <v>160</v>
      </c>
      <c r="L6" s="56" t="s">
        <v>158</v>
      </c>
      <c r="M6" s="56" t="s">
        <v>159</v>
      </c>
      <c r="N6" s="57" t="s">
        <v>171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</row>
    <row r="7" ht="15.75" customHeight="1">
      <c r="A7" s="46"/>
      <c r="B7" s="55" t="s">
        <v>172</v>
      </c>
      <c r="C7" s="74">
        <v>10.0</v>
      </c>
      <c r="D7" s="74">
        <v>5.0</v>
      </c>
      <c r="E7" s="48">
        <v>10.0</v>
      </c>
      <c r="F7" s="48">
        <v>10.0</v>
      </c>
      <c r="G7" s="74">
        <v>30.0</v>
      </c>
      <c r="H7" s="48">
        <v>5.0</v>
      </c>
      <c r="I7" s="48">
        <v>5.0</v>
      </c>
      <c r="J7" s="48">
        <v>15.0</v>
      </c>
      <c r="K7" s="46"/>
      <c r="L7" s="58" t="s">
        <v>173</v>
      </c>
      <c r="M7" s="58" t="s">
        <v>173</v>
      </c>
      <c r="N7" s="17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</row>
    <row r="8" ht="15.75" customHeight="1">
      <c r="A8" s="49"/>
      <c r="B8" s="40" t="s">
        <v>36</v>
      </c>
      <c r="C8" s="49"/>
      <c r="D8" s="49"/>
      <c r="E8" s="49"/>
      <c r="F8" s="49"/>
      <c r="G8" s="49"/>
      <c r="H8" s="49"/>
      <c r="I8" s="49"/>
      <c r="J8" s="49"/>
      <c r="K8" s="49"/>
      <c r="L8" s="19"/>
      <c r="M8" s="19"/>
      <c r="N8" s="19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>
      <c r="A9" s="50">
        <v>1.0</v>
      </c>
      <c r="B9" s="59" t="str">
        <f>'Base del Diseño Curricular'!F86</f>
        <v>¿Qué son experimentos?</v>
      </c>
      <c r="C9" s="60"/>
      <c r="D9" s="60" t="s">
        <v>163</v>
      </c>
      <c r="E9" s="61"/>
      <c r="F9" s="60"/>
      <c r="G9" s="60"/>
      <c r="H9" s="61"/>
      <c r="I9" s="61"/>
      <c r="J9" s="60" t="s">
        <v>163</v>
      </c>
      <c r="K9" s="62">
        <f t="shared" ref="K9:K15" si="1">if(C9="X",$C$7,0)+if(E9="X",$E$7,0)+if(D9="X",$D$7,0)+if(F9="X",$F$7,0)+if(G9="X",$G$7,0)+if(H9="X",$H$7,0)+if(I9="X",$I$7,0)+if(J9="X",$J$7,0)</f>
        <v>20</v>
      </c>
      <c r="L9" s="63"/>
      <c r="M9" s="69">
        <v>2.0</v>
      </c>
      <c r="N9" s="52">
        <f t="shared" ref="N9:N14" si="2">sum(L9:M9)</f>
        <v>2</v>
      </c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</row>
    <row r="10" ht="15.75" customHeight="1">
      <c r="A10" s="52">
        <v>2.0</v>
      </c>
      <c r="B10" s="59" t="str">
        <f>'Base del Diseño Curricular'!F87</f>
        <v>¿Qué son escenarios?</v>
      </c>
      <c r="C10" s="64"/>
      <c r="D10" s="64" t="s">
        <v>163</v>
      </c>
      <c r="E10" s="64" t="s">
        <v>163</v>
      </c>
      <c r="F10" s="64"/>
      <c r="G10" s="65"/>
      <c r="H10" s="65"/>
      <c r="I10" s="65"/>
      <c r="J10" s="65"/>
      <c r="K10" s="62">
        <f t="shared" si="1"/>
        <v>15</v>
      </c>
      <c r="L10" s="52"/>
      <c r="M10" s="52"/>
      <c r="N10" s="52">
        <f t="shared" si="2"/>
        <v>0</v>
      </c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</row>
    <row r="11" ht="15.75" customHeight="1">
      <c r="A11" s="52">
        <v>3.0</v>
      </c>
      <c r="B11" s="59" t="str">
        <f>'Base del Diseño Curricular'!F88</f>
        <v>Parámetros de experimentos</v>
      </c>
      <c r="C11" s="64"/>
      <c r="D11" s="64" t="s">
        <v>163</v>
      </c>
      <c r="E11" s="66"/>
      <c r="F11" s="64"/>
      <c r="G11" s="67"/>
      <c r="H11" s="67"/>
      <c r="I11" s="67"/>
      <c r="J11" s="67"/>
      <c r="K11" s="62">
        <f t="shared" si="1"/>
        <v>5</v>
      </c>
      <c r="L11" s="52"/>
      <c r="M11" s="52"/>
      <c r="N11" s="52">
        <f t="shared" si="2"/>
        <v>0</v>
      </c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</row>
    <row r="12" ht="15.75" customHeight="1">
      <c r="A12" s="52">
        <v>4.0</v>
      </c>
      <c r="B12" s="59" t="str">
        <f>'Base del Diseño Curricular'!F89</f>
        <v>Configuración de experimentos</v>
      </c>
      <c r="C12" s="64"/>
      <c r="D12" s="64" t="s">
        <v>163</v>
      </c>
      <c r="E12" s="66"/>
      <c r="F12" s="64"/>
      <c r="G12" s="67"/>
      <c r="H12" s="67"/>
      <c r="I12" s="67"/>
      <c r="J12" s="67"/>
      <c r="K12" s="62">
        <f t="shared" si="1"/>
        <v>5</v>
      </c>
      <c r="L12" s="52"/>
      <c r="M12" s="52"/>
      <c r="N12" s="52">
        <f t="shared" si="2"/>
        <v>0</v>
      </c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</row>
    <row r="13" ht="15.75" customHeight="1">
      <c r="A13" s="52">
        <v>5.0</v>
      </c>
      <c r="B13" s="59" t="str">
        <f>'Base del Diseño Curricular'!F90</f>
        <v>Ejecución de experimentos</v>
      </c>
      <c r="C13" s="64"/>
      <c r="D13" s="64" t="s">
        <v>163</v>
      </c>
      <c r="E13" s="66"/>
      <c r="F13" s="64"/>
      <c r="G13" s="65" t="s">
        <v>163</v>
      </c>
      <c r="H13" s="67"/>
      <c r="I13" s="67"/>
      <c r="J13" s="67"/>
      <c r="K13" s="62">
        <f t="shared" si="1"/>
        <v>35</v>
      </c>
      <c r="L13" s="69">
        <v>2.0</v>
      </c>
      <c r="M13" s="52"/>
      <c r="N13" s="52">
        <f t="shared" si="2"/>
        <v>2</v>
      </c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</row>
    <row r="14" ht="15.75" customHeight="1">
      <c r="A14" s="52">
        <v>6.0</v>
      </c>
      <c r="B14" s="68" t="str">
        <f>'Base del Diseño Curricular'!F91</f>
        <v>Análisis de resutaltados</v>
      </c>
      <c r="C14" s="64"/>
      <c r="D14" s="64" t="s">
        <v>163</v>
      </c>
      <c r="E14" s="64"/>
      <c r="F14" s="64" t="s">
        <v>163</v>
      </c>
      <c r="G14" s="67"/>
      <c r="H14" s="67"/>
      <c r="I14" s="67"/>
      <c r="J14" s="67"/>
      <c r="K14" s="62">
        <f t="shared" si="1"/>
        <v>15</v>
      </c>
      <c r="L14" s="52"/>
      <c r="M14" s="52"/>
      <c r="N14" s="52">
        <f t="shared" si="2"/>
        <v>0</v>
      </c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</row>
    <row r="15" ht="18.0" customHeight="1">
      <c r="A15" s="69">
        <v>7.0</v>
      </c>
      <c r="B15" s="78" t="str">
        <f>'Base del Diseño Curricular'!F92</f>
        <v>Análisis comparativo</v>
      </c>
      <c r="C15" s="52"/>
      <c r="D15" s="64" t="s">
        <v>163</v>
      </c>
      <c r="E15" s="52"/>
      <c r="F15" s="52"/>
      <c r="G15" s="52"/>
      <c r="H15" s="52"/>
      <c r="I15" s="52"/>
      <c r="J15" s="79"/>
      <c r="K15" s="62">
        <f t="shared" si="1"/>
        <v>5</v>
      </c>
      <c r="L15" s="52"/>
      <c r="M15" s="53"/>
      <c r="N15" s="52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</row>
    <row r="16" ht="38.25" customHeight="1">
      <c r="A16" s="36"/>
      <c r="B16" s="36"/>
      <c r="C16" s="36"/>
      <c r="D16" s="36"/>
      <c r="E16" s="36"/>
      <c r="F16" s="36"/>
      <c r="G16" s="36"/>
      <c r="H16" s="36"/>
      <c r="I16" s="36"/>
      <c r="J16" s="70" t="s">
        <v>175</v>
      </c>
      <c r="K16" s="71">
        <f>SUM(K9:K15)</f>
        <v>100</v>
      </c>
      <c r="L16" s="36"/>
      <c r="M16" s="39" t="s">
        <v>176</v>
      </c>
      <c r="N16" s="36">
        <f>sum(N9:N14)</f>
        <v>4</v>
      </c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</row>
    <row r="17" ht="15.75" customHeight="1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</row>
    <row r="18" ht="15.75" customHeight="1">
      <c r="A18" s="72" t="s">
        <v>177</v>
      </c>
      <c r="B18" s="36"/>
      <c r="C18" s="36"/>
      <c r="D18" s="36"/>
      <c r="E18" s="36"/>
      <c r="F18" s="36"/>
      <c r="G18" s="36"/>
      <c r="H18" s="36"/>
      <c r="I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</row>
    <row r="19" ht="15.75" customHeight="1">
      <c r="A19" s="72" t="s">
        <v>194</v>
      </c>
      <c r="B19" s="36"/>
      <c r="C19" s="36"/>
      <c r="D19" s="36"/>
      <c r="E19" s="36"/>
      <c r="F19" s="36"/>
      <c r="G19" s="36"/>
      <c r="H19" s="36"/>
      <c r="I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</row>
    <row r="20" ht="15.75" customHeight="1">
      <c r="A20" s="72" t="s">
        <v>179</v>
      </c>
      <c r="B20" s="36"/>
      <c r="C20" s="36"/>
      <c r="D20" s="36"/>
      <c r="E20" s="36"/>
      <c r="F20" s="36"/>
      <c r="G20" s="36"/>
      <c r="H20" s="36"/>
      <c r="I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</row>
    <row r="21" ht="15.75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</row>
    <row r="22" ht="15.75" customHeight="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</row>
    <row r="23" ht="15.75" customHeight="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</row>
    <row r="24" ht="15.75" customHeight="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</row>
    <row r="25" ht="15.75" customHeight="1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</row>
    <row r="26" ht="15.75" customHeight="1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</row>
    <row r="27" ht="15.75" customHeight="1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</row>
    <row r="28" ht="15.75" customHeight="1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</row>
    <row r="29" ht="15.75" customHeight="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</row>
    <row r="30" ht="15.75" customHeight="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</row>
    <row r="31" ht="15.75" customHeight="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</row>
    <row r="32" ht="15.75" customHeight="1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</row>
    <row r="33" ht="15.7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</row>
    <row r="34" ht="15.7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</row>
    <row r="35" ht="15.7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</row>
    <row r="36" ht="15.7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</row>
    <row r="37" ht="15.7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</row>
    <row r="38" ht="15.75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</row>
    <row r="39" ht="15.75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</row>
    <row r="40" ht="15.75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6">
    <mergeCell ref="E7:E8"/>
    <mergeCell ref="F7:F8"/>
    <mergeCell ref="G7:G8"/>
    <mergeCell ref="H7:H8"/>
    <mergeCell ref="I7:I8"/>
    <mergeCell ref="J7:J8"/>
    <mergeCell ref="L7:L8"/>
    <mergeCell ref="M7:M8"/>
    <mergeCell ref="A6:A8"/>
    <mergeCell ref="C6:D6"/>
    <mergeCell ref="G6:H6"/>
    <mergeCell ref="I6:J6"/>
    <mergeCell ref="K6:K8"/>
    <mergeCell ref="N6:N8"/>
    <mergeCell ref="C7:C8"/>
    <mergeCell ref="D7:D8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34" t="s">
        <v>150</v>
      </c>
      <c r="B1" s="75" t="s">
        <v>191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</row>
    <row r="2" ht="15.75" customHeight="1">
      <c r="A2" s="34" t="s">
        <v>33</v>
      </c>
      <c r="B2" s="73">
        <v>14.0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</row>
    <row r="3" ht="15.75" customHeight="1">
      <c r="A3" s="34" t="s">
        <v>32</v>
      </c>
      <c r="B3" s="38" t="str">
        <f>'Base del Diseño Curricular'!B72</f>
        <v>Análisis Financiero y Experimentos Avanzados en Simio</v>
      </c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</row>
    <row r="4" ht="15.75" customHeight="1">
      <c r="A4" s="34" t="s">
        <v>34</v>
      </c>
      <c r="B4" s="39" t="str">
        <f>'Base del Diseño Curricular'!D93</f>
        <v>Aplicacion de fluidos usando Simio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</row>
    <row r="5" ht="15.75" customHeight="1">
      <c r="A5" s="36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</row>
    <row r="6" ht="15.75" customHeight="1">
      <c r="A6" s="40" t="s">
        <v>35</v>
      </c>
      <c r="B6" s="55" t="s">
        <v>154</v>
      </c>
      <c r="C6" s="43" t="s">
        <v>155</v>
      </c>
      <c r="D6" s="43" t="s">
        <v>156</v>
      </c>
      <c r="E6" s="43" t="s">
        <v>157</v>
      </c>
      <c r="F6" s="44" t="s">
        <v>158</v>
      </c>
      <c r="G6" s="45"/>
      <c r="H6" s="44" t="s">
        <v>159</v>
      </c>
      <c r="I6" s="45"/>
      <c r="J6" s="42" t="s">
        <v>160</v>
      </c>
      <c r="K6" s="56" t="s">
        <v>158</v>
      </c>
      <c r="L6" s="56" t="s">
        <v>159</v>
      </c>
      <c r="M6" s="57" t="s">
        <v>171</v>
      </c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</row>
    <row r="7" ht="15.75" customHeight="1">
      <c r="A7" s="46"/>
      <c r="B7" s="55" t="s">
        <v>172</v>
      </c>
      <c r="C7" s="74">
        <v>8.0</v>
      </c>
      <c r="D7" s="74">
        <v>11.0</v>
      </c>
      <c r="E7" s="74">
        <v>15.0</v>
      </c>
      <c r="F7" s="74">
        <v>30.0</v>
      </c>
      <c r="G7" s="48">
        <v>5.0</v>
      </c>
      <c r="H7" s="48">
        <v>5.0</v>
      </c>
      <c r="I7" s="48">
        <v>15.0</v>
      </c>
      <c r="J7" s="46"/>
      <c r="K7" s="58" t="s">
        <v>173</v>
      </c>
      <c r="L7" s="58" t="s">
        <v>173</v>
      </c>
      <c r="M7" s="17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</row>
    <row r="8" ht="15.75" customHeight="1">
      <c r="A8" s="49"/>
      <c r="B8" s="40" t="s">
        <v>36</v>
      </c>
      <c r="C8" s="49"/>
      <c r="D8" s="49"/>
      <c r="E8" s="49"/>
      <c r="F8" s="49"/>
      <c r="G8" s="49"/>
      <c r="H8" s="49"/>
      <c r="I8" s="49"/>
      <c r="J8" s="49"/>
      <c r="K8" s="19"/>
      <c r="L8" s="19"/>
      <c r="M8" s="19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</row>
    <row r="9">
      <c r="A9" s="50">
        <v>1.0</v>
      </c>
      <c r="B9" s="59" t="str">
        <f>'Base del Diseño Curricular'!F93</f>
        <v>Introduccion a la libreria de flujos</v>
      </c>
      <c r="C9" s="60" t="s">
        <v>163</v>
      </c>
      <c r="D9" s="61"/>
      <c r="E9" s="60" t="s">
        <v>163</v>
      </c>
      <c r="F9" s="60"/>
      <c r="G9" s="61"/>
      <c r="H9" s="61"/>
      <c r="I9" s="61"/>
      <c r="J9" s="62">
        <f>if(C9="X",$C$7,0)+if(D9="X",$D$7,0)+if(E9="X",$E$7,0)+if(F9="X",$F$7,0)+if(G9="X",$G$7,0)+if(H9="X",$H$7,0)+if(I9="X",$I$7,0)</f>
        <v>23</v>
      </c>
      <c r="K9" s="63"/>
      <c r="L9" s="52"/>
      <c r="M9" s="52">
        <f t="shared" ref="M9:M14" si="1">sum(K9:L9)</f>
        <v>0</v>
      </c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</row>
    <row r="10" ht="15.75" customHeight="1">
      <c r="A10" s="52">
        <v>2.0</v>
      </c>
      <c r="B10" s="59" t="str">
        <f>'Base del Diseño Curricular'!F94</f>
        <v>Explicacion de como podemos aplicarla en nuestros modelos</v>
      </c>
      <c r="C10" s="64" t="s">
        <v>163</v>
      </c>
      <c r="D10" s="64" t="s">
        <v>163</v>
      </c>
      <c r="E10" s="64"/>
      <c r="F10" s="65"/>
      <c r="G10" s="65"/>
      <c r="H10" s="65"/>
      <c r="I10" s="65"/>
      <c r="J10" s="62">
        <f>IF(C10="X",$C$7,0)+IF(D10="X",$D$7,0)+IF(E10="X",$E$7,0)+IF(F10="X",$F$7,0)+IF(G10="X",$G$7,0)+IF(H10="X",$H$7,0)+IF(I10="X",$I$7,0)</f>
        <v>19</v>
      </c>
      <c r="K10" s="52"/>
      <c r="L10" s="52"/>
      <c r="M10" s="52">
        <f t="shared" si="1"/>
        <v>0</v>
      </c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</row>
    <row r="11" ht="15.75" customHeight="1">
      <c r="A11" s="52">
        <v>3.0</v>
      </c>
      <c r="B11" s="59" t="str">
        <f>'Base del Diseño Curricular'!F95</f>
        <v>Componentes principales de la libreria de flujos</v>
      </c>
      <c r="C11" s="64" t="s">
        <v>163</v>
      </c>
      <c r="D11" s="64"/>
      <c r="E11" s="64"/>
      <c r="F11" s="65" t="s">
        <v>163</v>
      </c>
      <c r="G11" s="65" t="s">
        <v>163</v>
      </c>
      <c r="H11" s="67"/>
      <c r="I11" s="65" t="s">
        <v>163</v>
      </c>
      <c r="J11" s="62">
        <f>if(C11="X",$C$7,0)+if(D11="X",$D$7,0)+if(E11="X",$E$7,0)+if(F11="X",$F$7,0)+if(G11="X",$G$7,0)+if(H11="X",$H$7,0)+if(I11="X",$I$7,0)</f>
        <v>58</v>
      </c>
      <c r="K11" s="52"/>
      <c r="L11" s="69">
        <v>2.0</v>
      </c>
      <c r="M11" s="52">
        <f t="shared" si="1"/>
        <v>2</v>
      </c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</row>
    <row r="12" ht="15.75" customHeight="1">
      <c r="A12" s="52">
        <v>4.0</v>
      </c>
      <c r="B12" s="59" t="str">
        <f>'Base del Diseño Curricular'!F96</f>
        <v/>
      </c>
      <c r="C12" s="66"/>
      <c r="D12" s="66"/>
      <c r="E12" s="64"/>
      <c r="F12" s="67"/>
      <c r="G12" s="67"/>
      <c r="H12" s="67"/>
      <c r="I12" s="67"/>
      <c r="J12" s="62">
        <f>IF(C12="X",$C$7,0)+IF(D12="X",$D$7,0)+IF(E12="X",$E$7,0)+IF(F12="X",$F$7,0)+IF(G12="X",$G$7,0)+IF(H12="X",$H$7,0)+IF(I12="X",$I$7,0)</f>
        <v>0</v>
      </c>
      <c r="K12" s="52"/>
      <c r="L12" s="52"/>
      <c r="M12" s="52">
        <f t="shared" si="1"/>
        <v>0</v>
      </c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</row>
    <row r="13" ht="15.75" customHeight="1">
      <c r="A13" s="52">
        <v>5.0</v>
      </c>
      <c r="B13" s="59" t="str">
        <f>'Base del Diseño Curricular'!F97</f>
        <v/>
      </c>
      <c r="C13" s="64"/>
      <c r="D13" s="66"/>
      <c r="E13" s="64"/>
      <c r="F13" s="67"/>
      <c r="G13" s="67"/>
      <c r="H13" s="67"/>
      <c r="I13" s="67"/>
      <c r="J13" s="62">
        <f>if(C13="X",$C$7,0)+if(D13="X",$D$7,0)+if(E13="X",$E$7,0)+if(F13="X",$F$7,0)+if(G13="X",$G$7,0)+if(H13="X",$H$7,0)+if(I13="X",$I$7,0)</f>
        <v>0</v>
      </c>
      <c r="K13" s="52"/>
      <c r="L13" s="52"/>
      <c r="M13" s="52">
        <f t="shared" si="1"/>
        <v>0</v>
      </c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</row>
    <row r="14" ht="15.75" customHeight="1">
      <c r="A14" s="52">
        <v>6.0</v>
      </c>
      <c r="B14" s="59" t="str">
        <f>'Base del Diseño Curricular'!F98</f>
        <v/>
      </c>
      <c r="C14" s="66"/>
      <c r="D14" s="66"/>
      <c r="E14" s="66"/>
      <c r="F14" s="67"/>
      <c r="G14" s="67"/>
      <c r="H14" s="67"/>
      <c r="I14" s="67"/>
      <c r="J14" s="62">
        <f>IF(C14="X",$C$7,0)+IF(D14="X",$D$7,0)+IF(E14="X",$E$7,0)+IF(F14="X",$F$7,0)+IF(G14="X",$G$7,0)+IF(H14="X",$H$7,0)+IF(I14="X",$I$7,0)</f>
        <v>0</v>
      </c>
      <c r="K14" s="52"/>
      <c r="L14" s="52"/>
      <c r="M14" s="52">
        <f t="shared" si="1"/>
        <v>0</v>
      </c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</row>
    <row r="15" ht="15.75" customHeight="1">
      <c r="A15" s="36"/>
      <c r="B15" s="36"/>
      <c r="C15" s="36"/>
      <c r="D15" s="36"/>
      <c r="E15" s="36"/>
      <c r="F15" s="36"/>
      <c r="G15" s="36"/>
      <c r="H15" s="36"/>
      <c r="I15" s="70" t="s">
        <v>175</v>
      </c>
      <c r="J15" s="71">
        <f>SUM(J9:J14)</f>
        <v>100</v>
      </c>
      <c r="K15" s="36"/>
      <c r="L15" s="39" t="s">
        <v>176</v>
      </c>
      <c r="M15" s="36">
        <f>sum(M9:M14)</f>
        <v>2</v>
      </c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</row>
    <row r="16" ht="15.75" customHeight="1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</row>
    <row r="17" ht="15.75" customHeight="1">
      <c r="A17" s="72" t="s">
        <v>177</v>
      </c>
      <c r="B17" s="36"/>
      <c r="C17" s="36"/>
      <c r="D17" s="36"/>
      <c r="E17" s="36"/>
      <c r="F17" s="36"/>
      <c r="G17" s="36"/>
      <c r="H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</row>
    <row r="18" ht="15.75" customHeight="1">
      <c r="A18" s="72" t="s">
        <v>195</v>
      </c>
      <c r="B18" s="36"/>
      <c r="C18" s="36"/>
      <c r="D18" s="36"/>
      <c r="E18" s="36"/>
      <c r="F18" s="36"/>
      <c r="G18" s="36"/>
      <c r="H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</row>
    <row r="19" ht="15.75" customHeight="1">
      <c r="A19" s="72" t="s">
        <v>179</v>
      </c>
      <c r="B19" s="36"/>
      <c r="C19" s="36"/>
      <c r="D19" s="36"/>
      <c r="E19" s="36"/>
      <c r="F19" s="36"/>
      <c r="G19" s="36"/>
      <c r="H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</row>
    <row r="20" ht="15.75" customHeigh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</row>
    <row r="21" ht="15.75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</row>
    <row r="22" ht="15.75" customHeight="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</row>
    <row r="23" ht="15.75" customHeight="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</row>
    <row r="24" ht="15.75" customHeight="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</row>
    <row r="25" ht="15.75" customHeight="1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</row>
    <row r="26" ht="15.75" customHeight="1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</row>
    <row r="27" ht="15.75" customHeight="1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</row>
    <row r="28" ht="15.75" customHeight="1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</row>
    <row r="29" ht="15.75" customHeight="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</row>
    <row r="30" ht="15.75" customHeight="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</row>
    <row r="31" ht="15.75" customHeight="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</row>
    <row r="32" ht="15.75" customHeight="1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</row>
    <row r="33" ht="15.7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</row>
    <row r="34" ht="15.7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</row>
    <row r="35" ht="15.7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</row>
    <row r="36" ht="15.7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</row>
    <row r="37" ht="15.7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</row>
    <row r="38" ht="15.75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</row>
    <row r="39" ht="15.75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</row>
    <row r="40" ht="15.75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